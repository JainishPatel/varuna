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ORECAST\APY Folders\APY 2024-25\"/>
    </mc:Choice>
  </mc:AlternateContent>
  <bookViews>
    <workbookView xWindow="0" yWindow="0" windowWidth="24000" windowHeight="9480" tabRatio="850"/>
  </bookViews>
  <sheets>
    <sheet name="Final" sheetId="1" r:id="rId1"/>
    <sheet name="SUMMARY" sheetId="2" r:id="rId2"/>
    <sheet name="v. check S Cane Data" sheetId="7" state="hidden" r:id="rId3"/>
    <sheet name="A P Y SUGAR CAne" sheetId="8" state="hidden" r:id="rId4"/>
    <sheet name="VALSAD 2014-15" sheetId="9" state="hidden" r:id="rId5"/>
  </sheets>
  <definedNames>
    <definedName name="_xlnm._FilterDatabase" localSheetId="0" hidden="1">Final!$A$308:$N$2698</definedName>
    <definedName name="_xlnm.Print_Area" localSheetId="0">Final!$A$1:$N$2698</definedName>
    <definedName name="_xlnm.Print_Area" localSheetId="1">SUMMARY!$A$1:$M$86</definedName>
    <definedName name="_xlnm.Print_Titles" localSheetId="1">SUMMARY!$3:$5</definedName>
  </definedNames>
  <calcPr calcId="162913"/>
</workbook>
</file>

<file path=xl/calcChain.xml><?xml version="1.0" encoding="utf-8"?>
<calcChain xmlns="http://schemas.openxmlformats.org/spreadsheetml/2006/main">
  <c r="E7" i="9" l="1"/>
  <c r="D7" i="9"/>
  <c r="F6" i="9"/>
  <c r="H6" i="9" s="1"/>
  <c r="H5" i="9"/>
  <c r="F5" i="9"/>
  <c r="F4" i="9"/>
  <c r="F7" i="9" s="1"/>
  <c r="C30" i="8"/>
  <c r="D29" i="8"/>
  <c r="D28" i="8"/>
  <c r="D27" i="8"/>
  <c r="D26" i="8"/>
  <c r="D25" i="8"/>
  <c r="J24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0" i="8" s="1"/>
  <c r="E30" i="8" s="1"/>
  <c r="J49" i="7"/>
  <c r="C49" i="7"/>
  <c r="F47" i="7"/>
  <c r="F46" i="7"/>
  <c r="F45" i="7"/>
  <c r="F44" i="7"/>
  <c r="F43" i="7"/>
  <c r="E43" i="7"/>
  <c r="D43" i="7"/>
  <c r="F42" i="7"/>
  <c r="H41" i="7"/>
  <c r="H43" i="7" s="1"/>
  <c r="G43" i="7" s="1"/>
  <c r="F41" i="7"/>
  <c r="F40" i="7"/>
  <c r="F39" i="7"/>
  <c r="F38" i="7"/>
  <c r="H36" i="7"/>
  <c r="F36" i="7"/>
  <c r="F37" i="7" s="1"/>
  <c r="F35" i="7"/>
  <c r="H35" i="7" s="1"/>
  <c r="I34" i="7"/>
  <c r="H34" i="7"/>
  <c r="F34" i="7"/>
  <c r="H33" i="7"/>
  <c r="I33" i="7" s="1"/>
  <c r="F33" i="7"/>
  <c r="H32" i="7"/>
  <c r="E32" i="7"/>
  <c r="E37" i="7" s="1"/>
  <c r="D32" i="7"/>
  <c r="D37" i="7" s="1"/>
  <c r="I31" i="7"/>
  <c r="F31" i="7"/>
  <c r="F32" i="7" s="1"/>
  <c r="G32" i="7" s="1"/>
  <c r="F30" i="7"/>
  <c r="I30" i="7" s="1"/>
  <c r="E29" i="7"/>
  <c r="D29" i="7"/>
  <c r="F28" i="7"/>
  <c r="H28" i="7" s="1"/>
  <c r="H27" i="7"/>
  <c r="F27" i="7"/>
  <c r="F26" i="7"/>
  <c r="H26" i="7" s="1"/>
  <c r="H25" i="7"/>
  <c r="F25" i="7"/>
  <c r="F24" i="7"/>
  <c r="H24" i="7" s="1"/>
  <c r="H23" i="7"/>
  <c r="F23" i="7"/>
  <c r="F22" i="7"/>
  <c r="F29" i="7" s="1"/>
  <c r="F21" i="7"/>
  <c r="F20" i="7"/>
  <c r="F19" i="7"/>
  <c r="E18" i="7"/>
  <c r="D18" i="7"/>
  <c r="F17" i="7"/>
  <c r="H17" i="7" s="1"/>
  <c r="I16" i="7"/>
  <c r="H16" i="7"/>
  <c r="H18" i="7" s="1"/>
  <c r="F16" i="7"/>
  <c r="H15" i="7"/>
  <c r="I15" i="7" s="1"/>
  <c r="F15" i="7"/>
  <c r="F14" i="7"/>
  <c r="F13" i="7"/>
  <c r="F12" i="7"/>
  <c r="F11" i="7"/>
  <c r="F10" i="7"/>
  <c r="E9" i="7"/>
  <c r="E49" i="7" s="1"/>
  <c r="D9" i="7"/>
  <c r="H8" i="7"/>
  <c r="F8" i="7"/>
  <c r="O7" i="7"/>
  <c r="H7" i="7"/>
  <c r="F7" i="7"/>
  <c r="F9" i="7" s="1"/>
  <c r="F6" i="7"/>
  <c r="F5" i="7"/>
  <c r="F4" i="7"/>
  <c r="G18" i="7" l="1"/>
  <c r="I18" i="7"/>
  <c r="F48" i="7"/>
  <c r="I32" i="7"/>
  <c r="H37" i="7"/>
  <c r="F49" i="7"/>
  <c r="D49" i="7"/>
  <c r="H9" i="7"/>
  <c r="H4" i="9"/>
  <c r="F18" i="7"/>
  <c r="H22" i="7"/>
  <c r="H29" i="7" l="1"/>
  <c r="I22" i="7"/>
  <c r="G9" i="7"/>
  <c r="I9" i="7"/>
  <c r="I37" i="7"/>
  <c r="H48" i="7"/>
  <c r="G48" i="7" s="1"/>
  <c r="G37" i="7"/>
  <c r="H7" i="9"/>
  <c r="I4" i="9"/>
  <c r="I7" i="9" l="1"/>
  <c r="G7" i="9"/>
  <c r="G29" i="7"/>
  <c r="G49" i="7" s="1"/>
  <c r="I29" i="7"/>
  <c r="H49" i="7"/>
  <c r="I49" i="7" s="1"/>
</calcChain>
</file>

<file path=xl/sharedStrings.xml><?xml version="1.0" encoding="utf-8"?>
<sst xmlns="http://schemas.openxmlformats.org/spreadsheetml/2006/main" count="4121" uniqueCount="256">
  <si>
    <t>RICE IRRIGATED</t>
  </si>
  <si>
    <t>Area: "00" ha, Prod: "00" MT, Yield: Kg/ha</t>
  </si>
  <si>
    <t>SR. No.</t>
  </si>
  <si>
    <t>DISTRICT</t>
  </si>
  <si>
    <t>AVERAGE</t>
  </si>
  <si>
    <t>AREA</t>
  </si>
  <si>
    <t xml:space="preserve">PROD. </t>
  </si>
  <si>
    <t>YIELD</t>
  </si>
  <si>
    <t xml:space="preserve">Kachchh </t>
  </si>
  <si>
    <t xml:space="preserve">Banaskantha </t>
  </si>
  <si>
    <t xml:space="preserve">Patan    </t>
  </si>
  <si>
    <t xml:space="preserve">Mehsana </t>
  </si>
  <si>
    <t xml:space="preserve">Sabarkantha </t>
  </si>
  <si>
    <t xml:space="preserve">Arvalli </t>
  </si>
  <si>
    <t xml:space="preserve">Gandhinagar </t>
  </si>
  <si>
    <t xml:space="preserve">Ahmedabad </t>
  </si>
  <si>
    <t xml:space="preserve">Surendranagar  </t>
  </si>
  <si>
    <t xml:space="preserve">Morbi  </t>
  </si>
  <si>
    <t xml:space="preserve">Rajkot  </t>
  </si>
  <si>
    <t xml:space="preserve">Jamnagar  </t>
  </si>
  <si>
    <t xml:space="preserve">Devbhoomi Dwarka </t>
  </si>
  <si>
    <t xml:space="preserve">Porbandar  </t>
  </si>
  <si>
    <t xml:space="preserve">Junagadh  </t>
  </si>
  <si>
    <t xml:space="preserve">Gir Somnath  </t>
  </si>
  <si>
    <t xml:space="preserve">Amreli  </t>
  </si>
  <si>
    <t xml:space="preserve">Bhavnagar  </t>
  </si>
  <si>
    <t xml:space="preserve">Botad </t>
  </si>
  <si>
    <t xml:space="preserve">Anand   </t>
  </si>
  <si>
    <t xml:space="preserve">Kheda  </t>
  </si>
  <si>
    <t xml:space="preserve">Panchmahal  </t>
  </si>
  <si>
    <t xml:space="preserve">Mahisagar  </t>
  </si>
  <si>
    <t xml:space="preserve">Dahod  </t>
  </si>
  <si>
    <t xml:space="preserve">Vadodara  </t>
  </si>
  <si>
    <t xml:space="preserve">Chhota Udepur  </t>
  </si>
  <si>
    <t xml:space="preserve">Narmada </t>
  </si>
  <si>
    <t xml:space="preserve">Bharuch </t>
  </si>
  <si>
    <t xml:space="preserve">Surat </t>
  </si>
  <si>
    <t xml:space="preserve">Dangs </t>
  </si>
  <si>
    <t xml:space="preserve">Navsari </t>
  </si>
  <si>
    <t xml:space="preserve">Valsad </t>
  </si>
  <si>
    <t xml:space="preserve">Tapi </t>
  </si>
  <si>
    <t>GUJARAT STATE</t>
  </si>
  <si>
    <t>RICE UNIRRIGATED</t>
  </si>
  <si>
    <t>TOTAL KHARIF RICE</t>
  </si>
  <si>
    <t>KHARIF JOWAR</t>
  </si>
  <si>
    <t>KHARIF BAJRA</t>
  </si>
  <si>
    <t>KHARIF MAIZE</t>
  </si>
  <si>
    <t>KHARIF RAGI</t>
  </si>
  <si>
    <t>KHARIF MUNG</t>
  </si>
  <si>
    <t>KHARIF MATH</t>
  </si>
  <si>
    <t>KHARIF UDAD</t>
  </si>
  <si>
    <t>KHARIF TUR</t>
  </si>
  <si>
    <t>KHARIF GROUNDNUT</t>
  </si>
  <si>
    <t>CASTOR</t>
  </si>
  <si>
    <t>KHARIF SESAMUM</t>
  </si>
  <si>
    <t>SOYABEAN</t>
  </si>
  <si>
    <t>COTTON IRRIGATED (LINT)</t>
  </si>
  <si>
    <t>Area: "00" ha, Prod: "00" Bales, Yield: Kg/ha
Bales = 170 Kg lint, Yield is in lint</t>
  </si>
  <si>
    <t>COTTON UNIRRIGATED (LINT)</t>
  </si>
  <si>
    <t>TOTAL COTTON (LINT)</t>
  </si>
  <si>
    <t>KHARIF TOBACCO</t>
  </si>
  <si>
    <t>GUAR SEED</t>
  </si>
  <si>
    <t>BANANA</t>
  </si>
  <si>
    <t>OTHER KHARIF CEREALS</t>
  </si>
  <si>
    <t>OTHER KHARIF PULSES</t>
  </si>
  <si>
    <t>TOTAL KHARIF CEREALS</t>
  </si>
  <si>
    <t>TOTAL KHARIF PULSES</t>
  </si>
  <si>
    <t>TOTAL KHARIF FOODGRAINS</t>
  </si>
  <si>
    <t>WHEAT IRRIGATED</t>
  </si>
  <si>
    <t>WHEAT UNIRRIGATED</t>
  </si>
  <si>
    <t>TOTAL WHEAT</t>
  </si>
  <si>
    <t>RABI JOWAR</t>
  </si>
  <si>
    <t>RABI MAIZE</t>
  </si>
  <si>
    <t>GRAM</t>
  </si>
  <si>
    <t>RAPESEED &amp; MUSTARD</t>
  </si>
  <si>
    <t>SUGARCANE</t>
  </si>
  <si>
    <t>CUMIN</t>
  </si>
  <si>
    <t>FENNEL</t>
  </si>
  <si>
    <t>ISABGUL</t>
  </si>
  <si>
    <t xml:space="preserve">RABI TOBACCO </t>
  </si>
  <si>
    <t xml:space="preserve">RABI ONION </t>
  </si>
  <si>
    <t>GARLIC</t>
  </si>
  <si>
    <t>POTATO</t>
  </si>
  <si>
    <t>OTHER RABI SMALL MILLETES</t>
  </si>
  <si>
    <t>OTHER RABI PULSES</t>
  </si>
  <si>
    <t>TOTAL RABI CEREALS</t>
  </si>
  <si>
    <t>TOTAL RABI PULSES</t>
  </si>
  <si>
    <t>TOTAL RABI FOODGRAINS</t>
  </si>
  <si>
    <t>SUMMER RICE</t>
  </si>
  <si>
    <t>SUMMER MAIZE</t>
  </si>
  <si>
    <t>SUMMER BAJRA</t>
  </si>
  <si>
    <t>SUMMER GROUNDNUT</t>
  </si>
  <si>
    <t>SUMMER MUNG</t>
  </si>
  <si>
    <t>SUMMER UDAD</t>
  </si>
  <si>
    <t>SUMMER SESAMUM</t>
  </si>
  <si>
    <t>SUMMER ONION</t>
  </si>
  <si>
    <t>TOTAL SUMMER CEREALS</t>
  </si>
  <si>
    <t>TOTAL SUMMER PULSES</t>
  </si>
  <si>
    <t>TOTAL SUMMER FOODGRAINS</t>
  </si>
  <si>
    <t>TOTAL JOWAR</t>
  </si>
  <si>
    <t>TOTAL BAJRA</t>
  </si>
  <si>
    <t>TOTAL RICE</t>
  </si>
  <si>
    <t>TOTAL MAIZE</t>
  </si>
  <si>
    <t>TOTAL MUNG</t>
  </si>
  <si>
    <t>TOTAL UDAD</t>
  </si>
  <si>
    <t>TOTAL GROUNDNUT</t>
  </si>
  <si>
    <t>TOTAL SESAMUM</t>
  </si>
  <si>
    <t>TOTAL TOBACCO</t>
  </si>
  <si>
    <t>TOTAL ONION</t>
  </si>
  <si>
    <t>TOTAL CEREALS</t>
  </si>
  <si>
    <t>TOTAL PULSES</t>
  </si>
  <si>
    <t>TOTAL FOODGRAINS</t>
  </si>
  <si>
    <t>TOTAL OIL SEEDS</t>
  </si>
  <si>
    <t>Area: "00" ha, Prod:"00" MT, Yield:Kg/ha</t>
  </si>
  <si>
    <t>Crops</t>
  </si>
  <si>
    <t>KHARIF CEREALS</t>
  </si>
  <si>
    <t>Irrigated Rice</t>
  </si>
  <si>
    <t>Unirrigated Rice</t>
  </si>
  <si>
    <t>Total Kharif Rice</t>
  </si>
  <si>
    <t>Jowar</t>
  </si>
  <si>
    <t>Bajra</t>
  </si>
  <si>
    <t>Maize</t>
  </si>
  <si>
    <t>Ragi</t>
  </si>
  <si>
    <t>Other Kharif Cereals</t>
  </si>
  <si>
    <t>Total Kharif Cereals</t>
  </si>
  <si>
    <t>KHARIF PULSES</t>
  </si>
  <si>
    <t>Tur</t>
  </si>
  <si>
    <t>Mung (Green Gram)</t>
  </si>
  <si>
    <t>Math</t>
  </si>
  <si>
    <t>Udad</t>
  </si>
  <si>
    <t>Other Pulses</t>
  </si>
  <si>
    <t>Total Kharif Pulses</t>
  </si>
  <si>
    <t>Total Kharif Foodgrains</t>
  </si>
  <si>
    <t>RABI CEREALS</t>
  </si>
  <si>
    <t>Wheat Irrigated</t>
  </si>
  <si>
    <t>Wheat Unirrigated</t>
  </si>
  <si>
    <t xml:space="preserve">Total Wheat </t>
  </si>
  <si>
    <t xml:space="preserve">Other Rabi Small Millets </t>
  </si>
  <si>
    <t>Total Rabi Cereals</t>
  </si>
  <si>
    <t>RABI PULSES</t>
  </si>
  <si>
    <t>Gram</t>
  </si>
  <si>
    <t>Other Rabi Pulses</t>
  </si>
  <si>
    <t>Total Rabi Pulses</t>
  </si>
  <si>
    <t>Total Rabi Foodgrains</t>
  </si>
  <si>
    <t>SUMMER CEREALS</t>
  </si>
  <si>
    <t>Rice</t>
  </si>
  <si>
    <t>Total Summer Cereals</t>
  </si>
  <si>
    <t>SUMMER PULSES</t>
  </si>
  <si>
    <t>Total Summer Pulses</t>
  </si>
  <si>
    <t>Total Summer Foodgrains</t>
  </si>
  <si>
    <t xml:space="preserve">Total Foodgrains </t>
  </si>
  <si>
    <t xml:space="preserve">Total Jowar </t>
  </si>
  <si>
    <t xml:space="preserve">Total Bajra </t>
  </si>
  <si>
    <t xml:space="preserve">Total Rice </t>
  </si>
  <si>
    <t>Total Maize</t>
  </si>
  <si>
    <t>Total Mung</t>
  </si>
  <si>
    <t>Total Udad</t>
  </si>
  <si>
    <t>Total Cereals</t>
  </si>
  <si>
    <t>Total Pulses</t>
  </si>
  <si>
    <t>OILSEEDS</t>
  </si>
  <si>
    <t xml:space="preserve">Kharif Groundnut </t>
  </si>
  <si>
    <t xml:space="preserve">Summer Groundnut </t>
  </si>
  <si>
    <t xml:space="preserve">Kharif Sesamum </t>
  </si>
  <si>
    <t xml:space="preserve">Summer Sesamum </t>
  </si>
  <si>
    <t xml:space="preserve">Total Groundnut </t>
  </si>
  <si>
    <t>Total Sesamum</t>
  </si>
  <si>
    <t>Rapeseed &amp; Mustard</t>
  </si>
  <si>
    <t>Castor</t>
  </si>
  <si>
    <t>Soyabean</t>
  </si>
  <si>
    <t>Total Oilseeds</t>
  </si>
  <si>
    <t>CASH CROPS, VEGETABLES , SPICES &amp; OTHER</t>
  </si>
  <si>
    <t xml:space="preserve">Kharif Tobacco </t>
  </si>
  <si>
    <t xml:space="preserve">Rabi Tobacco </t>
  </si>
  <si>
    <t xml:space="preserve">Total Tobacco </t>
  </si>
  <si>
    <t>Potato</t>
  </si>
  <si>
    <t>Fennel</t>
  </si>
  <si>
    <t>Cumin</t>
  </si>
  <si>
    <t>Isabgul</t>
  </si>
  <si>
    <t>Rabi Onion</t>
  </si>
  <si>
    <t xml:space="preserve">Summer Onion </t>
  </si>
  <si>
    <t xml:space="preserve">Total Onion </t>
  </si>
  <si>
    <t>Garlic</t>
  </si>
  <si>
    <t xml:space="preserve">Guar seed </t>
  </si>
  <si>
    <t>Banana</t>
  </si>
  <si>
    <t>CROP SEASON 2013-14 &amp; SUGARCANE CRUSHING  SEASON 2014-15.</t>
  </si>
  <si>
    <t>NO</t>
  </si>
  <si>
    <t>Name of Sugar Factory</t>
  </si>
  <si>
    <t>Fresh Plant</t>
  </si>
  <si>
    <t>Ratoon Crop</t>
  </si>
  <si>
    <t>area Total</t>
  </si>
  <si>
    <t>Avg. Productivity</t>
  </si>
  <si>
    <t>Sugarcane Production</t>
  </si>
  <si>
    <t>Area in Ha</t>
  </si>
  <si>
    <t>AHMEDABAD</t>
  </si>
  <si>
    <t>ANAND</t>
  </si>
  <si>
    <t>BANASKANTHA</t>
  </si>
  <si>
    <t>BHARUCH</t>
  </si>
  <si>
    <t>Ganesh</t>
  </si>
  <si>
    <t>Pandvai</t>
  </si>
  <si>
    <t>Total</t>
  </si>
  <si>
    <t>DAHOD</t>
  </si>
  <si>
    <t>DANG</t>
  </si>
  <si>
    <t>GANDHINAGAR</t>
  </si>
  <si>
    <t>KHEDA</t>
  </si>
  <si>
    <t>MEHSANA</t>
  </si>
  <si>
    <t>NARMADA</t>
  </si>
  <si>
    <t>Narmada</t>
  </si>
  <si>
    <t>NAVSARI</t>
  </si>
  <si>
    <t>Gandevi</t>
  </si>
  <si>
    <t>Maroli</t>
  </si>
  <si>
    <t>PANCHMAHAL</t>
  </si>
  <si>
    <t xml:space="preserve"> </t>
  </si>
  <si>
    <t>PATAN</t>
  </si>
  <si>
    <t>SABARKANTHA</t>
  </si>
  <si>
    <t>SURAT</t>
  </si>
  <si>
    <t>Bardoli</t>
  </si>
  <si>
    <t xml:space="preserve">Madhi </t>
  </si>
  <si>
    <t>Kamrej</t>
  </si>
  <si>
    <t>Chalthan</t>
  </si>
  <si>
    <t>Mahuva</t>
  </si>
  <si>
    <t>Kantha</t>
  </si>
  <si>
    <t>Mandvi</t>
  </si>
  <si>
    <t>TAPI</t>
  </si>
  <si>
    <t>Ukai</t>
  </si>
  <si>
    <t>Govardhan</t>
  </si>
  <si>
    <t>VADODARA</t>
  </si>
  <si>
    <t>Vadodara</t>
  </si>
  <si>
    <t>VALSAD</t>
  </si>
  <si>
    <t>Sayan</t>
  </si>
  <si>
    <t>Coper</t>
  </si>
  <si>
    <t>Valsad</t>
  </si>
  <si>
    <t>AMRELI</t>
  </si>
  <si>
    <t>BHAVNAGAR</t>
  </si>
  <si>
    <t>JAMNAGAR</t>
  </si>
  <si>
    <t>JUNAGADH</t>
  </si>
  <si>
    <t>Kodinar</t>
  </si>
  <si>
    <t>Talala</t>
  </si>
  <si>
    <t>KUTCH</t>
  </si>
  <si>
    <t>PORBANDAR</t>
  </si>
  <si>
    <t>RAJKOT</t>
  </si>
  <si>
    <t>SURENDRANAGAR</t>
  </si>
  <si>
    <t>2013-14</t>
  </si>
  <si>
    <t>SUMMARY</t>
  </si>
  <si>
    <t>2022-23</t>
  </si>
  <si>
    <t>2023-24</t>
  </si>
  <si>
    <t>Area: "00" ha, Prod: "00" MT, Yield: Kg/ha
* As per Final Estimate</t>
  </si>
  <si>
    <t>2024-25</t>
  </si>
  <si>
    <t>Statement showing district-wise Area, Production and Yield in Gujarat state based on Final Forecast reports for the year  2022-23 to 2024-25</t>
  </si>
  <si>
    <t>Statement showing crop-wise area, production and yield of food and non-food crops in Gujarat State for the year 2022-23 to 2024-25.</t>
  </si>
  <si>
    <t>Sugarcane*</t>
  </si>
  <si>
    <t>2024-25*</t>
  </si>
  <si>
    <t>Cotton Total #</t>
  </si>
  <si>
    <t>Cotton Irrigated (Lint) #</t>
  </si>
  <si>
    <t>Cotton Unirrigated (Lint) #</t>
  </si>
  <si>
    <t># Cotton Production in bales of 170 kgs each, Productivity is in lint</t>
  </si>
  <si>
    <t>* Sugarecane 2024-25 As per Final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</si>
</sst>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0"/>
      <color rgb="FF000000"/>
      <name val="Calibri"/>
      <scheme val="minor"/>
    </font>
    <font>
      <b/>
      <sz val="14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name val="Calibri"/>
      <family val="2"/>
    </font>
    <font>
      <sz val="12"/>
      <color rgb="FF000000"/>
      <name val="Calibri"/>
      <family val="2"/>
    </font>
    <font>
      <b/>
      <sz val="20"/>
      <color theme="1"/>
      <name val="Cambria"/>
      <family val="1"/>
    </font>
    <font>
      <sz val="13"/>
      <color theme="1"/>
      <name val="Verdana"/>
      <family val="2"/>
    </font>
    <font>
      <b/>
      <sz val="16"/>
      <color theme="1"/>
      <name val="Cambria"/>
      <family val="1"/>
    </font>
    <font>
      <b/>
      <i/>
      <sz val="16"/>
      <color theme="1"/>
      <name val="Cambria"/>
      <family val="1"/>
    </font>
    <font>
      <sz val="16"/>
      <color theme="1"/>
      <name val="Cambria"/>
      <family val="1"/>
    </font>
    <font>
      <b/>
      <sz val="18"/>
      <color theme="1"/>
      <name val="Cambria"/>
      <family val="1"/>
    </font>
    <font>
      <b/>
      <sz val="13"/>
      <color theme="1"/>
      <name val="Verdana"/>
      <family val="2"/>
    </font>
    <font>
      <sz val="13"/>
      <color rgb="FF00CCFF"/>
      <name val="Verdana"/>
      <family val="2"/>
    </font>
    <font>
      <b/>
      <sz val="9"/>
      <color theme="1"/>
      <name val="Cambria"/>
      <family val="1"/>
    </font>
    <font>
      <b/>
      <sz val="7"/>
      <color theme="1"/>
      <name val="Cambria"/>
      <family val="1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sz val="10"/>
      <color rgb="FF000000"/>
      <name val="Cambria"/>
      <family val="1"/>
    </font>
    <font>
      <sz val="10"/>
      <color rgb="FF000000"/>
      <name val="Calibri"/>
      <family val="2"/>
      <scheme val="minor"/>
    </font>
    <font>
      <b/>
      <sz val="10"/>
      <name val="Calibri"/>
      <family val="2"/>
    </font>
    <font>
      <sz val="10"/>
      <name val="Arial"/>
      <family val="2"/>
    </font>
    <font>
      <b/>
      <sz val="12"/>
      <name val="Calibri"/>
      <family val="2"/>
    </font>
    <font>
      <sz val="16"/>
      <color theme="0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9CC00"/>
        <bgColor rgb="FF99CC00"/>
      </patternFill>
    </fill>
    <fill>
      <patternFill patternType="solid">
        <fgColor rgb="FF969696"/>
        <bgColor rgb="FF969696"/>
      </patternFill>
    </fill>
    <fill>
      <patternFill patternType="solid">
        <fgColor rgb="FF00CCFF"/>
        <bgColor rgb="FF00CCFF"/>
      </patternFill>
    </fill>
    <fill>
      <patternFill patternType="solid">
        <fgColor rgb="FFFF0000"/>
        <bgColor rgb="FFFF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</fills>
  <borders count="8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20" fillId="0" borderId="16"/>
    <xf numFmtId="0" fontId="20" fillId="0" borderId="16"/>
    <xf numFmtId="0" fontId="20" fillId="0" borderId="16"/>
    <xf numFmtId="0" fontId="22" fillId="0" borderId="16"/>
  </cellStyleXfs>
  <cellXfs count="195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8" fillId="3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0" fontId="8" fillId="2" borderId="1" xfId="0" applyFont="1" applyFill="1" applyBorder="1"/>
    <xf numFmtId="0" fontId="8" fillId="3" borderId="1" xfId="0" applyFont="1" applyFill="1" applyBorder="1"/>
    <xf numFmtId="0" fontId="13" fillId="3" borderId="11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8" fillId="2" borderId="5" xfId="0" applyFont="1" applyFill="1" applyBorder="1"/>
    <xf numFmtId="0" fontId="13" fillId="3" borderId="15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vertical="center"/>
    </xf>
    <xf numFmtId="0" fontId="8" fillId="3" borderId="12" xfId="0" applyFont="1" applyFill="1" applyBorder="1" applyAlignment="1">
      <alignment vertical="center"/>
    </xf>
    <xf numFmtId="0" fontId="8" fillId="4" borderId="5" xfId="0" applyFont="1" applyFill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vertical="center"/>
    </xf>
    <xf numFmtId="0" fontId="8" fillId="6" borderId="5" xfId="0" applyFont="1" applyFill="1" applyBorder="1" applyAlignment="1">
      <alignment vertical="center"/>
    </xf>
    <xf numFmtId="0" fontId="8" fillId="4" borderId="12" xfId="0" applyFont="1" applyFill="1" applyBorder="1" applyAlignment="1">
      <alignment vertical="center"/>
    </xf>
    <xf numFmtId="0" fontId="8" fillId="5" borderId="12" xfId="0" applyFont="1" applyFill="1" applyBorder="1" applyAlignment="1">
      <alignment vertical="center"/>
    </xf>
    <xf numFmtId="0" fontId="8" fillId="5" borderId="5" xfId="0" applyFont="1" applyFill="1" applyBorder="1"/>
    <xf numFmtId="0" fontId="8" fillId="5" borderId="1" xfId="0" applyFont="1" applyFill="1" applyBorder="1"/>
    <xf numFmtId="0" fontId="14" fillId="3" borderId="5" xfId="0" applyFont="1" applyFill="1" applyBorder="1" applyAlignment="1">
      <alignment vertical="center"/>
    </xf>
    <xf numFmtId="0" fontId="8" fillId="3" borderId="5" xfId="0" applyFont="1" applyFill="1" applyBorder="1"/>
    <xf numFmtId="0" fontId="8" fillId="3" borderId="12" xfId="0" applyFont="1" applyFill="1" applyBorder="1"/>
    <xf numFmtId="0" fontId="13" fillId="3" borderId="5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2" fontId="13" fillId="7" borderId="5" xfId="0" applyNumberFormat="1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vertical="center"/>
    </xf>
    <xf numFmtId="0" fontId="16" fillId="3" borderId="1" xfId="0" applyFont="1" applyFill="1" applyBorder="1" applyAlignment="1">
      <alignment vertical="center"/>
    </xf>
    <xf numFmtId="1" fontId="17" fillId="3" borderId="1" xfId="0" applyNumberFormat="1" applyFont="1" applyFill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1" fontId="18" fillId="3" borderId="24" xfId="0" applyNumberFormat="1" applyFont="1" applyFill="1" applyBorder="1" applyAlignment="1">
      <alignment horizontal="center" vertical="center"/>
    </xf>
    <xf numFmtId="0" fontId="15" fillId="3" borderId="24" xfId="0" applyFont="1" applyFill="1" applyBorder="1" applyAlignment="1">
      <alignment horizontal="center" vertical="center"/>
    </xf>
    <xf numFmtId="0" fontId="16" fillId="3" borderId="24" xfId="0" applyFont="1" applyFill="1" applyBorder="1" applyAlignment="1">
      <alignment vertical="center"/>
    </xf>
    <xf numFmtId="1" fontId="19" fillId="3" borderId="24" xfId="0" applyNumberFormat="1" applyFont="1" applyFill="1" applyBorder="1"/>
    <xf numFmtId="1" fontId="17" fillId="3" borderId="24" xfId="0" applyNumberFormat="1" applyFont="1" applyFill="1" applyBorder="1" applyAlignment="1">
      <alignment horizontal="center" vertical="center"/>
    </xf>
    <xf numFmtId="1" fontId="17" fillId="3" borderId="24" xfId="0" applyNumberFormat="1" applyFont="1" applyFill="1" applyBorder="1" applyAlignment="1">
      <alignment vertical="center"/>
    </xf>
    <xf numFmtId="1" fontId="17" fillId="3" borderId="25" xfId="0" applyNumberFormat="1" applyFont="1" applyFill="1" applyBorder="1" applyAlignment="1">
      <alignment horizontal="center" vertical="center"/>
    </xf>
    <xf numFmtId="1" fontId="18" fillId="3" borderId="24" xfId="0" applyNumberFormat="1" applyFont="1" applyFill="1" applyBorder="1" applyAlignment="1">
      <alignment vertical="center"/>
    </xf>
    <xf numFmtId="1" fontId="18" fillId="3" borderId="24" xfId="0" applyNumberFormat="1" applyFont="1" applyFill="1" applyBorder="1" applyAlignment="1">
      <alignment horizontal="right" vertical="center"/>
    </xf>
    <xf numFmtId="1" fontId="18" fillId="3" borderId="26" xfId="0" applyNumberFormat="1" applyFont="1" applyFill="1" applyBorder="1" applyAlignment="1">
      <alignment vertical="center"/>
    </xf>
    <xf numFmtId="1" fontId="18" fillId="3" borderId="27" xfId="0" applyNumberFormat="1" applyFont="1" applyFill="1" applyBorder="1" applyAlignment="1">
      <alignment vertical="center"/>
    </xf>
    <xf numFmtId="1" fontId="18" fillId="3" borderId="26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Font="1" applyFill="1" applyAlignment="1"/>
    <xf numFmtId="2" fontId="0" fillId="0" borderId="0" xfId="0" applyNumberFormat="1" applyFont="1" applyFill="1" applyAlignment="1"/>
    <xf numFmtId="1" fontId="3" fillId="0" borderId="0" xfId="0" applyNumberFormat="1" applyFont="1" applyFill="1" applyAlignment="1">
      <alignment vertical="center" wrapText="1"/>
    </xf>
    <xf numFmtId="2" fontId="3" fillId="0" borderId="0" xfId="0" applyNumberFormat="1" applyFont="1" applyFill="1" applyAlignment="1">
      <alignment vertical="center"/>
    </xf>
    <xf numFmtId="2" fontId="3" fillId="0" borderId="0" xfId="0" applyNumberFormat="1" applyFont="1" applyFill="1" applyAlignment="1">
      <alignment horizontal="center" vertical="center"/>
    </xf>
    <xf numFmtId="2" fontId="6" fillId="0" borderId="5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8" fillId="0" borderId="1" xfId="0" applyFont="1" applyFill="1" applyBorder="1" applyAlignment="1">
      <alignment vertical="center"/>
    </xf>
    <xf numFmtId="0" fontId="12" fillId="0" borderId="0" xfId="0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11" fillId="0" borderId="16" xfId="0" applyFont="1" applyFill="1" applyBorder="1" applyAlignment="1">
      <alignment vertical="center"/>
    </xf>
    <xf numFmtId="0" fontId="10" fillId="0" borderId="16" xfId="0" applyFont="1" applyFill="1" applyBorder="1" applyAlignment="1">
      <alignment vertical="center"/>
    </xf>
    <xf numFmtId="0" fontId="10" fillId="0" borderId="16" xfId="0" applyFont="1" applyFill="1" applyBorder="1" applyAlignment="1">
      <alignment horizontal="left" vertical="center"/>
    </xf>
    <xf numFmtId="0" fontId="8" fillId="0" borderId="16" xfId="0" applyFont="1" applyFill="1" applyBorder="1" applyAlignment="1">
      <alignment vertical="center"/>
    </xf>
    <xf numFmtId="1" fontId="11" fillId="0" borderId="28" xfId="0" applyNumberFormat="1" applyFont="1" applyFill="1" applyBorder="1" applyAlignment="1">
      <alignment vertical="center"/>
    </xf>
    <xf numFmtId="1" fontId="9" fillId="0" borderId="28" xfId="0" applyNumberFormat="1" applyFont="1" applyFill="1" applyBorder="1" applyAlignment="1">
      <alignment vertical="center"/>
    </xf>
    <xf numFmtId="1" fontId="11" fillId="0" borderId="28" xfId="0" applyNumberFormat="1" applyFont="1" applyFill="1" applyBorder="1" applyAlignment="1">
      <alignment horizontal="right" vertical="center"/>
    </xf>
    <xf numFmtId="1" fontId="11" fillId="0" borderId="34" xfId="0" applyNumberFormat="1" applyFont="1" applyFill="1" applyBorder="1" applyAlignment="1">
      <alignment vertical="center"/>
    </xf>
    <xf numFmtId="1" fontId="9" fillId="0" borderId="36" xfId="0" applyNumberFormat="1" applyFont="1" applyFill="1" applyBorder="1" applyAlignment="1">
      <alignment vertical="center"/>
    </xf>
    <xf numFmtId="1" fontId="9" fillId="0" borderId="37" xfId="0" applyNumberFormat="1" applyFont="1" applyFill="1" applyBorder="1" applyAlignment="1">
      <alignment vertical="center"/>
    </xf>
    <xf numFmtId="0" fontId="9" fillId="0" borderId="29" xfId="0" applyFont="1" applyFill="1" applyBorder="1" applyAlignment="1">
      <alignment horizontal="center" vertical="center"/>
    </xf>
    <xf numFmtId="0" fontId="9" fillId="0" borderId="39" xfId="0" applyFont="1" applyFill="1" applyBorder="1" applyAlignment="1">
      <alignment horizontal="center" vertical="center"/>
    </xf>
    <xf numFmtId="1" fontId="9" fillId="0" borderId="41" xfId="0" applyNumberFormat="1" applyFont="1" applyFill="1" applyBorder="1" applyAlignment="1">
      <alignment vertical="center"/>
    </xf>
    <xf numFmtId="1" fontId="9" fillId="0" borderId="42" xfId="0" applyNumberFormat="1" applyFont="1" applyFill="1" applyBorder="1" applyAlignment="1">
      <alignment vertical="center"/>
    </xf>
    <xf numFmtId="1" fontId="11" fillId="0" borderId="34" xfId="0" applyNumberFormat="1" applyFont="1" applyFill="1" applyBorder="1" applyAlignment="1">
      <alignment horizontal="right" vertical="center"/>
    </xf>
    <xf numFmtId="1" fontId="11" fillId="0" borderId="31" xfId="0" applyNumberFormat="1" applyFont="1" applyFill="1" applyBorder="1" applyAlignment="1">
      <alignment horizontal="right" vertical="center"/>
    </xf>
    <xf numFmtId="1" fontId="11" fillId="0" borderId="32" xfId="0" applyNumberFormat="1" applyFont="1" applyFill="1" applyBorder="1" applyAlignment="1">
      <alignment horizontal="right" vertical="center"/>
    </xf>
    <xf numFmtId="1" fontId="11" fillId="0" borderId="36" xfId="0" applyNumberFormat="1" applyFont="1" applyFill="1" applyBorder="1" applyAlignment="1">
      <alignment vertical="center"/>
    </xf>
    <xf numFmtId="1" fontId="11" fillId="0" borderId="37" xfId="0" applyNumberFormat="1" applyFont="1" applyFill="1" applyBorder="1" applyAlignment="1">
      <alignment vertical="center"/>
    </xf>
    <xf numFmtId="1" fontId="9" fillId="0" borderId="34" xfId="0" applyNumberFormat="1" applyFont="1" applyFill="1" applyBorder="1" applyAlignment="1">
      <alignment vertical="center"/>
    </xf>
    <xf numFmtId="2" fontId="6" fillId="0" borderId="56" xfId="0" applyNumberFormat="1" applyFont="1" applyFill="1" applyBorder="1" applyAlignment="1">
      <alignment horizontal="center" vertical="center"/>
    </xf>
    <xf numFmtId="2" fontId="3" fillId="0" borderId="59" xfId="0" applyNumberFormat="1" applyFont="1" applyFill="1" applyBorder="1" applyAlignment="1">
      <alignment horizontal="center" vertical="center"/>
    </xf>
    <xf numFmtId="2" fontId="3" fillId="0" borderId="60" xfId="0" applyNumberFormat="1" applyFont="1" applyFill="1" applyBorder="1" applyAlignment="1">
      <alignment horizontal="center" vertical="center"/>
    </xf>
    <xf numFmtId="2" fontId="3" fillId="0" borderId="12" xfId="0" applyNumberFormat="1" applyFont="1" applyFill="1" applyBorder="1" applyAlignment="1">
      <alignment horizontal="left" vertical="center"/>
    </xf>
    <xf numFmtId="2" fontId="6" fillId="0" borderId="13" xfId="0" applyNumberFormat="1" applyFont="1" applyFill="1" applyBorder="1" applyAlignment="1">
      <alignment horizontal="center" vertical="center"/>
    </xf>
    <xf numFmtId="2" fontId="3" fillId="0" borderId="58" xfId="0" applyNumberFormat="1" applyFont="1" applyFill="1" applyBorder="1" applyAlignment="1">
      <alignment horizontal="center" vertical="center"/>
    </xf>
    <xf numFmtId="2" fontId="6" fillId="0" borderId="57" xfId="0" applyNumberFormat="1" applyFont="1" applyFill="1" applyBorder="1" applyAlignment="1">
      <alignment horizontal="center" vertical="center"/>
    </xf>
    <xf numFmtId="2" fontId="3" fillId="0" borderId="63" xfId="0" applyNumberFormat="1" applyFont="1" applyFill="1" applyBorder="1" applyAlignment="1">
      <alignment horizontal="center" vertical="center"/>
    </xf>
    <xf numFmtId="2" fontId="3" fillId="0" borderId="18" xfId="0" applyNumberFormat="1" applyFont="1" applyFill="1" applyBorder="1" applyAlignment="1">
      <alignment horizontal="left" vertical="center"/>
    </xf>
    <xf numFmtId="2" fontId="6" fillId="0" borderId="55" xfId="0" applyNumberFormat="1" applyFont="1" applyFill="1" applyBorder="1" applyAlignment="1">
      <alignment horizontal="center" vertical="center"/>
    </xf>
    <xf numFmtId="2" fontId="6" fillId="0" borderId="15" xfId="0" applyNumberFormat="1" applyFont="1" applyFill="1" applyBorder="1" applyAlignment="1">
      <alignment horizontal="center" vertical="center"/>
    </xf>
    <xf numFmtId="2" fontId="6" fillId="0" borderId="64" xfId="0" applyNumberFormat="1" applyFont="1" applyFill="1" applyBorder="1" applyAlignment="1">
      <alignment horizontal="center" vertical="center"/>
    </xf>
    <xf numFmtId="2" fontId="6" fillId="0" borderId="9" xfId="0" applyNumberFormat="1" applyFont="1" applyFill="1" applyBorder="1" applyAlignment="1">
      <alignment horizontal="center" vertical="center"/>
    </xf>
    <xf numFmtId="2" fontId="3" fillId="0" borderId="17" xfId="0" applyNumberFormat="1" applyFont="1" applyFill="1" applyBorder="1" applyAlignment="1">
      <alignment horizontal="left" vertical="center"/>
    </xf>
    <xf numFmtId="2" fontId="6" fillId="0" borderId="67" xfId="0" applyNumberFormat="1" applyFont="1" applyFill="1" applyBorder="1" applyAlignment="1">
      <alignment horizontal="center" vertical="center"/>
    </xf>
    <xf numFmtId="2" fontId="6" fillId="0" borderId="11" xfId="0" applyNumberFormat="1" applyFont="1" applyFill="1" applyBorder="1" applyAlignment="1">
      <alignment horizontal="center" vertical="center"/>
    </xf>
    <xf numFmtId="2" fontId="6" fillId="0" borderId="68" xfId="0" applyNumberFormat="1" applyFont="1" applyFill="1" applyBorder="1" applyAlignment="1">
      <alignment horizontal="center" vertical="center"/>
    </xf>
    <xf numFmtId="2" fontId="6" fillId="0" borderId="8" xfId="0" applyNumberFormat="1" applyFont="1" applyFill="1" applyBorder="1" applyAlignment="1">
      <alignment horizontal="center" vertical="center"/>
    </xf>
    <xf numFmtId="2" fontId="3" fillId="0" borderId="71" xfId="0" applyNumberFormat="1" applyFont="1" applyFill="1" applyBorder="1" applyAlignment="1">
      <alignment horizontal="center" vertical="center"/>
    </xf>
    <xf numFmtId="2" fontId="3" fillId="0" borderId="72" xfId="0" applyNumberFormat="1" applyFont="1" applyFill="1" applyBorder="1" applyAlignment="1">
      <alignment horizontal="center" vertical="center"/>
    </xf>
    <xf numFmtId="2" fontId="3" fillId="0" borderId="73" xfId="0" applyNumberFormat="1" applyFont="1" applyFill="1" applyBorder="1" applyAlignment="1">
      <alignment horizontal="center" vertical="center"/>
    </xf>
    <xf numFmtId="2" fontId="3" fillId="0" borderId="74" xfId="0" applyNumberFormat="1" applyFont="1" applyFill="1" applyBorder="1" applyAlignment="1">
      <alignment horizontal="center" vertical="center"/>
    </xf>
    <xf numFmtId="1" fontId="3" fillId="0" borderId="55" xfId="0" applyNumberFormat="1" applyFont="1" applyFill="1" applyBorder="1" applyAlignment="1">
      <alignment horizontal="center" vertical="center"/>
    </xf>
    <xf numFmtId="1" fontId="3" fillId="0" borderId="57" xfId="0" applyNumberFormat="1" applyFont="1" applyFill="1" applyBorder="1" applyAlignment="1">
      <alignment horizontal="center" vertical="center"/>
    </xf>
    <xf numFmtId="1" fontId="3" fillId="0" borderId="67" xfId="0" applyNumberFormat="1" applyFont="1" applyFill="1" applyBorder="1" applyAlignment="1">
      <alignment horizontal="center" vertical="center"/>
    </xf>
    <xf numFmtId="0" fontId="0" fillId="0" borderId="0" xfId="0" applyFont="1" applyFill="1" applyAlignment="1"/>
    <xf numFmtId="0" fontId="10" fillId="0" borderId="43" xfId="0" applyFont="1" applyFill="1" applyBorder="1" applyAlignment="1">
      <alignment vertical="center"/>
    </xf>
    <xf numFmtId="0" fontId="5" fillId="0" borderId="75" xfId="0" applyFont="1" applyFill="1" applyBorder="1" applyAlignment="1"/>
    <xf numFmtId="0" fontId="5" fillId="0" borderId="76" xfId="0" applyFont="1" applyFill="1" applyBorder="1" applyAlignment="1"/>
    <xf numFmtId="0" fontId="9" fillId="0" borderId="77" xfId="0" applyFont="1" applyFill="1" applyBorder="1" applyAlignment="1">
      <alignment horizontal="center" vertical="center"/>
    </xf>
    <xf numFmtId="1" fontId="11" fillId="0" borderId="51" xfId="0" applyNumberFormat="1" applyFont="1" applyFill="1" applyBorder="1" applyAlignment="1">
      <alignment vertical="center"/>
    </xf>
    <xf numFmtId="1" fontId="9" fillId="0" borderId="50" xfId="0" applyNumberFormat="1" applyFont="1" applyFill="1" applyBorder="1" applyAlignment="1">
      <alignment vertical="center"/>
    </xf>
    <xf numFmtId="1" fontId="9" fillId="0" borderId="78" xfId="0" applyNumberFormat="1" applyFont="1" applyFill="1" applyBorder="1" applyAlignment="1">
      <alignment vertical="center"/>
    </xf>
    <xf numFmtId="1" fontId="11" fillId="0" borderId="51" xfId="0" applyNumberFormat="1" applyFont="1" applyFill="1" applyBorder="1" applyAlignment="1">
      <alignment horizontal="right" vertical="center"/>
    </xf>
    <xf numFmtId="1" fontId="11" fillId="0" borderId="49" xfId="0" applyNumberFormat="1" applyFont="1" applyFill="1" applyBorder="1" applyAlignment="1">
      <alignment horizontal="right" vertical="center"/>
    </xf>
    <xf numFmtId="1" fontId="11" fillId="0" borderId="50" xfId="0" applyNumberFormat="1" applyFont="1" applyFill="1" applyBorder="1" applyAlignment="1">
      <alignment vertical="center"/>
    </xf>
    <xf numFmtId="1" fontId="9" fillId="0" borderId="51" xfId="0" applyNumberFormat="1" applyFont="1" applyFill="1" applyBorder="1" applyAlignment="1">
      <alignment vertical="center"/>
    </xf>
    <xf numFmtId="0" fontId="9" fillId="0" borderId="79" xfId="0" applyFont="1" applyFill="1" applyBorder="1" applyAlignment="1">
      <alignment horizontal="center" vertical="center"/>
    </xf>
    <xf numFmtId="1" fontId="11" fillId="0" borderId="48" xfId="0" applyNumberFormat="1" applyFont="1" applyFill="1" applyBorder="1" applyAlignment="1">
      <alignment vertical="center"/>
    </xf>
    <xf numFmtId="1" fontId="9" fillId="0" borderId="47" xfId="0" applyNumberFormat="1" applyFont="1" applyFill="1" applyBorder="1" applyAlignment="1">
      <alignment vertical="center"/>
    </xf>
    <xf numFmtId="1" fontId="9" fillId="0" borderId="80" xfId="0" applyNumberFormat="1" applyFont="1" applyFill="1" applyBorder="1" applyAlignment="1">
      <alignment vertical="center"/>
    </xf>
    <xf numFmtId="1" fontId="11" fillId="0" borderId="48" xfId="0" applyNumberFormat="1" applyFont="1" applyFill="1" applyBorder="1" applyAlignment="1">
      <alignment horizontal="right" vertical="center"/>
    </xf>
    <xf numFmtId="1" fontId="11" fillId="0" borderId="46" xfId="0" applyNumberFormat="1" applyFont="1" applyFill="1" applyBorder="1" applyAlignment="1">
      <alignment horizontal="right" vertical="center"/>
    </xf>
    <xf numFmtId="1" fontId="11" fillId="0" borderId="47" xfId="0" applyNumberFormat="1" applyFont="1" applyFill="1" applyBorder="1" applyAlignment="1">
      <alignment vertical="center"/>
    </xf>
    <xf numFmtId="1" fontId="9" fillId="0" borderId="48" xfId="0" applyNumberFormat="1" applyFont="1" applyFill="1" applyBorder="1" applyAlignment="1">
      <alignment vertical="center"/>
    </xf>
    <xf numFmtId="0" fontId="9" fillId="0" borderId="38" xfId="0" applyFont="1" applyFill="1" applyBorder="1" applyAlignment="1">
      <alignment horizontal="center" vertical="center"/>
    </xf>
    <xf numFmtId="1" fontId="11" fillId="0" borderId="33" xfId="0" applyNumberFormat="1" applyFont="1" applyFill="1" applyBorder="1" applyAlignment="1">
      <alignment vertical="center"/>
    </xf>
    <xf numFmtId="1" fontId="9" fillId="0" borderId="35" xfId="0" applyNumberFormat="1" applyFont="1" applyFill="1" applyBorder="1" applyAlignment="1">
      <alignment vertical="center"/>
    </xf>
    <xf numFmtId="1" fontId="9" fillId="0" borderId="40" xfId="0" applyNumberFormat="1" applyFont="1" applyFill="1" applyBorder="1" applyAlignment="1">
      <alignment vertical="center"/>
    </xf>
    <xf numFmtId="1" fontId="11" fillId="0" borderId="33" xfId="0" applyNumberFormat="1" applyFont="1" applyFill="1" applyBorder="1" applyAlignment="1">
      <alignment horizontal="right" vertical="center"/>
    </xf>
    <xf numFmtId="1" fontId="11" fillId="0" borderId="30" xfId="0" applyNumberFormat="1" applyFont="1" applyFill="1" applyBorder="1" applyAlignment="1">
      <alignment horizontal="right" vertical="center"/>
    </xf>
    <xf numFmtId="1" fontId="11" fillId="0" borderId="35" xfId="0" applyNumberFormat="1" applyFont="1" applyFill="1" applyBorder="1" applyAlignment="1">
      <alignment vertical="center"/>
    </xf>
    <xf numFmtId="1" fontId="9" fillId="0" borderId="33" xfId="0" applyNumberFormat="1" applyFont="1" applyFill="1" applyBorder="1" applyAlignment="1">
      <alignment vertical="center"/>
    </xf>
    <xf numFmtId="0" fontId="11" fillId="0" borderId="45" xfId="0" applyFont="1" applyFill="1" applyBorder="1" applyAlignment="1">
      <alignment vertical="center"/>
    </xf>
    <xf numFmtId="0" fontId="9" fillId="0" borderId="45" xfId="0" applyFont="1" applyFill="1" applyBorder="1" applyAlignment="1">
      <alignment vertical="center"/>
    </xf>
    <xf numFmtId="0" fontId="9" fillId="0" borderId="44" xfId="0" applyFont="1" applyFill="1" applyBorder="1" applyAlignment="1">
      <alignment horizontal="left" vertical="center"/>
    </xf>
    <xf numFmtId="0" fontId="9" fillId="0" borderId="44" xfId="0" applyFont="1" applyFill="1" applyBorder="1" applyAlignment="1">
      <alignment vertical="center"/>
    </xf>
    <xf numFmtId="0" fontId="9" fillId="0" borderId="69" xfId="0" applyFont="1" applyFill="1" applyBorder="1" applyAlignment="1">
      <alignment vertical="center"/>
    </xf>
    <xf numFmtId="0" fontId="9" fillId="0" borderId="43" xfId="0" applyFont="1" applyFill="1" applyBorder="1" applyAlignment="1">
      <alignment vertical="center"/>
    </xf>
    <xf numFmtId="0" fontId="11" fillId="0" borderId="44" xfId="0" applyFont="1" applyFill="1" applyBorder="1" applyAlignment="1">
      <alignment vertical="center"/>
    </xf>
    <xf numFmtId="2" fontId="3" fillId="9" borderId="1" xfId="0" applyNumberFormat="1" applyFont="1" applyFill="1" applyBorder="1" applyAlignment="1">
      <alignment vertical="center"/>
    </xf>
    <xf numFmtId="2" fontId="3" fillId="9" borderId="0" xfId="0" applyNumberFormat="1" applyFont="1" applyFill="1" applyAlignment="1">
      <alignment vertical="center"/>
    </xf>
    <xf numFmtId="2" fontId="23" fillId="9" borderId="0" xfId="0" applyNumberFormat="1" applyFont="1" applyFill="1" applyAlignment="1">
      <alignment vertical="center"/>
    </xf>
    <xf numFmtId="2" fontId="23" fillId="9" borderId="1" xfId="0" applyNumberFormat="1" applyFont="1" applyFill="1" applyBorder="1" applyAlignment="1">
      <alignment vertical="center"/>
    </xf>
    <xf numFmtId="1" fontId="24" fillId="0" borderId="35" xfId="0" applyNumberFormat="1" applyFont="1" applyFill="1" applyBorder="1" applyAlignment="1">
      <alignment horizontal="right" vertical="center"/>
    </xf>
    <xf numFmtId="1" fontId="24" fillId="0" borderId="36" xfId="0" applyNumberFormat="1" applyFont="1" applyFill="1" applyBorder="1" applyAlignment="1">
      <alignment horizontal="right" vertical="center"/>
    </xf>
    <xf numFmtId="1" fontId="24" fillId="0" borderId="37" xfId="0" applyNumberFormat="1" applyFont="1" applyFill="1" applyBorder="1" applyAlignment="1">
      <alignment horizontal="right" vertical="center"/>
    </xf>
    <xf numFmtId="1" fontId="24" fillId="0" borderId="47" xfId="0" applyNumberFormat="1" applyFont="1" applyFill="1" applyBorder="1" applyAlignment="1">
      <alignment horizontal="right" vertical="center"/>
    </xf>
    <xf numFmtId="1" fontId="24" fillId="0" borderId="50" xfId="0" applyNumberFormat="1" applyFont="1" applyFill="1" applyBorder="1" applyAlignment="1">
      <alignment horizontal="right" vertical="center"/>
    </xf>
    <xf numFmtId="0" fontId="0" fillId="0" borderId="0" xfId="0" applyFont="1" applyFill="1" applyAlignment="1"/>
    <xf numFmtId="2" fontId="3" fillId="0" borderId="62" xfId="0" applyNumberFormat="1" applyFont="1" applyFill="1" applyBorder="1" applyAlignment="1">
      <alignment horizontal="center" vertical="center"/>
    </xf>
    <xf numFmtId="0" fontId="5" fillId="0" borderId="53" xfId="0" applyFont="1" applyFill="1" applyBorder="1"/>
    <xf numFmtId="0" fontId="5" fillId="0" borderId="54" xfId="0" applyFont="1" applyFill="1" applyBorder="1"/>
    <xf numFmtId="2" fontId="3" fillId="0" borderId="69" xfId="0" applyNumberFormat="1" applyFont="1" applyFill="1" applyBorder="1" applyAlignment="1">
      <alignment horizontal="center" vertical="center"/>
    </xf>
    <xf numFmtId="0" fontId="21" fillId="0" borderId="70" xfId="0" applyFont="1" applyFill="1" applyBorder="1"/>
    <xf numFmtId="2" fontId="1" fillId="0" borderId="0" xfId="0" applyNumberFormat="1" applyFont="1" applyFill="1" applyAlignment="1">
      <alignment horizontal="center" vertical="center" wrapText="1"/>
    </xf>
    <xf numFmtId="0" fontId="0" fillId="0" borderId="0" xfId="0" applyFont="1" applyFill="1" applyAlignment="1"/>
    <xf numFmtId="2" fontId="4" fillId="0" borderId="0" xfId="0" applyNumberFormat="1" applyFont="1" applyFill="1" applyAlignment="1">
      <alignment horizontal="right" vertical="center"/>
    </xf>
    <xf numFmtId="1" fontId="3" fillId="0" borderId="52" xfId="0" applyNumberFormat="1" applyFont="1" applyFill="1" applyBorder="1" applyAlignment="1">
      <alignment horizontal="center" vertical="center" wrapText="1"/>
    </xf>
    <xf numFmtId="0" fontId="21" fillId="0" borderId="65" xfId="0" applyFont="1" applyFill="1" applyBorder="1"/>
    <xf numFmtId="2" fontId="3" fillId="0" borderId="61" xfId="0" applyNumberFormat="1" applyFont="1" applyFill="1" applyBorder="1" applyAlignment="1">
      <alignment horizontal="center" vertical="center"/>
    </xf>
    <xf numFmtId="0" fontId="21" fillId="0" borderId="66" xfId="0" applyFont="1" applyFill="1" applyBorder="1"/>
    <xf numFmtId="2" fontId="4" fillId="0" borderId="0" xfId="0" applyNumberFormat="1" applyFont="1" applyFill="1" applyAlignment="1">
      <alignment horizontal="right" vertical="center" wrapText="1"/>
    </xf>
    <xf numFmtId="2" fontId="4" fillId="0" borderId="7" xfId="0" applyNumberFormat="1" applyFont="1" applyFill="1" applyBorder="1" applyAlignment="1">
      <alignment horizontal="right" vertical="center" wrapText="1"/>
    </xf>
    <xf numFmtId="0" fontId="5" fillId="0" borderId="7" xfId="0" applyFont="1" applyFill="1" applyBorder="1"/>
    <xf numFmtId="0" fontId="5" fillId="0" borderId="65" xfId="0" applyFont="1" applyFill="1" applyBorder="1"/>
    <xf numFmtId="2" fontId="3" fillId="0" borderId="53" xfId="0" applyNumberFormat="1" applyFont="1" applyFill="1" applyBorder="1" applyAlignment="1">
      <alignment horizontal="center" vertical="center"/>
    </xf>
    <xf numFmtId="0" fontId="5" fillId="0" borderId="66" xfId="0" applyFont="1" applyFill="1" applyBorder="1"/>
    <xf numFmtId="0" fontId="5" fillId="0" borderId="70" xfId="0" applyFont="1" applyFill="1" applyBorder="1"/>
    <xf numFmtId="0" fontId="7" fillId="0" borderId="16" xfId="0" applyFont="1" applyFill="1" applyBorder="1" applyAlignment="1">
      <alignment horizontal="center" vertical="center" wrapText="1"/>
    </xf>
    <xf numFmtId="0" fontId="5" fillId="0" borderId="16" xfId="0" applyFont="1" applyFill="1" applyBorder="1"/>
    <xf numFmtId="0" fontId="7" fillId="8" borderId="16" xfId="0" applyFont="1" applyFill="1" applyBorder="1" applyAlignment="1">
      <alignment horizontal="center" vertical="center" wrapText="1"/>
    </xf>
    <xf numFmtId="0" fontId="5" fillId="8" borderId="16" xfId="0" applyFont="1" applyFill="1" applyBorder="1"/>
    <xf numFmtId="0" fontId="9" fillId="0" borderId="43" xfId="0" applyFont="1" applyFill="1" applyBorder="1" applyAlignment="1">
      <alignment horizontal="left" vertical="center"/>
    </xf>
    <xf numFmtId="0" fontId="5" fillId="0" borderId="81" xfId="0" applyFont="1" applyFill="1" applyBorder="1"/>
    <xf numFmtId="2" fontId="9" fillId="0" borderId="43" xfId="0" applyNumberFormat="1" applyFont="1" applyFill="1" applyBorder="1" applyAlignment="1">
      <alignment horizontal="center" vertical="center"/>
    </xf>
    <xf numFmtId="2" fontId="9" fillId="0" borderId="75" xfId="0" applyNumberFormat="1" applyFont="1" applyFill="1" applyBorder="1" applyAlignment="1">
      <alignment horizontal="center" vertical="center"/>
    </xf>
    <xf numFmtId="2" fontId="9" fillId="0" borderId="76" xfId="0" applyNumberFormat="1" applyFont="1" applyFill="1" applyBorder="1" applyAlignment="1">
      <alignment horizontal="center" vertical="center"/>
    </xf>
    <xf numFmtId="0" fontId="9" fillId="0" borderId="75" xfId="0" applyFont="1" applyFill="1" applyBorder="1" applyAlignment="1">
      <alignment horizontal="center" vertical="center"/>
    </xf>
    <xf numFmtId="0" fontId="9" fillId="0" borderId="76" xfId="0" applyFont="1" applyFill="1" applyBorder="1" applyAlignment="1">
      <alignment horizontal="center" vertical="center"/>
    </xf>
    <xf numFmtId="2" fontId="9" fillId="0" borderId="30" xfId="0" applyNumberFormat="1" applyFont="1" applyFill="1" applyBorder="1" applyAlignment="1">
      <alignment horizontal="center" vertical="center"/>
    </xf>
    <xf numFmtId="0" fontId="5" fillId="0" borderId="31" xfId="0" applyFont="1" applyFill="1" applyBorder="1"/>
    <xf numFmtId="0" fontId="5" fillId="0" borderId="32" xfId="0" applyFont="1" applyFill="1" applyBorder="1"/>
    <xf numFmtId="0" fontId="9" fillId="0" borderId="16" xfId="0" applyFont="1" applyFill="1" applyBorder="1" applyAlignment="1">
      <alignment horizontal="right" vertical="center"/>
    </xf>
    <xf numFmtId="0" fontId="13" fillId="3" borderId="17" xfId="0" applyFont="1" applyFill="1" applyBorder="1" applyAlignment="1">
      <alignment horizontal="center" vertical="center" wrapText="1"/>
    </xf>
    <xf numFmtId="0" fontId="5" fillId="0" borderId="18" xfId="0" applyFont="1" applyBorder="1"/>
    <xf numFmtId="0" fontId="13" fillId="3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13" fillId="3" borderId="2" xfId="0" applyFont="1" applyFill="1" applyBorder="1" applyAlignment="1">
      <alignment horizontal="center" vertical="center"/>
    </xf>
    <xf numFmtId="0" fontId="5" fillId="0" borderId="6" xfId="0" applyFont="1" applyBorder="1"/>
    <xf numFmtId="0" fontId="13" fillId="3" borderId="2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/>
    </xf>
    <xf numFmtId="0" fontId="5" fillId="0" borderId="23" xfId="0" applyFont="1" applyBorder="1"/>
    <xf numFmtId="0" fontId="16" fillId="3" borderId="19" xfId="0" applyFont="1" applyFill="1" applyBorder="1" applyAlignment="1">
      <alignment horizontal="center" vertical="center"/>
    </xf>
    <xf numFmtId="0" fontId="18" fillId="3" borderId="20" xfId="0" applyFont="1" applyFill="1" applyBorder="1" applyAlignment="1">
      <alignment horizontal="center" vertical="center"/>
    </xf>
    <xf numFmtId="0" fontId="5" fillId="0" borderId="21" xfId="0" applyFont="1" applyBorder="1"/>
    <xf numFmtId="0" fontId="5" fillId="0" borderId="22" xfId="0" applyFont="1" applyBorder="1"/>
  </cellXfs>
  <cellStyles count="5">
    <cellStyle name="Normal" xfId="0" builtinId="0"/>
    <cellStyle name="Normal 2" xfId="1"/>
    <cellStyle name="Normal 3" xfId="2"/>
    <cellStyle name="Normal 3 2" xfId="4"/>
    <cellStyle name="Normal 4" xfId="3"/>
  </cellStyles>
  <dxfs count="2">
    <dxf>
      <font>
        <color theme="1" tint="0.499984740745262"/>
      </font>
    </dxf>
    <dxf>
      <font>
        <color theme="1" tint="0.499984740745262"/>
      </font>
    </dxf>
  </dxfs>
  <tableStyles count="0" defaultTableStyle="TableStyleMedium2" defaultPivotStyle="PivotStyleLight16"/>
  <colors>
    <mruColors>
      <color rgb="FF8F77AD"/>
      <color rgb="FFFFE9E7"/>
      <color rgb="FFEEF8EE"/>
      <color rgb="FFD2D2FA"/>
      <color rgb="FFDDE89C"/>
      <color rgb="FFBAABCD"/>
      <color rgb="FFB3E5F7"/>
      <color rgb="FF29B7E9"/>
      <color rgb="FFF3E5C9"/>
      <color rgb="FFDBE8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Q2701"/>
  <sheetViews>
    <sheetView tabSelected="1" view="pageBreakPreview" topLeftCell="A1279" zoomScale="115" zoomScaleNormal="100" zoomScaleSheetLayoutView="115" workbookViewId="0">
      <selection activeCell="K1292" sqref="K1292"/>
    </sheetView>
  </sheetViews>
  <sheetFormatPr defaultColWidth="14.42578125" defaultRowHeight="15" customHeight="1" outlineLevelRow="1" x14ac:dyDescent="0.2"/>
  <cols>
    <col min="1" max="1" width="6.5703125" style="103" customWidth="1"/>
    <col min="2" max="2" width="22" style="103" customWidth="1"/>
    <col min="3" max="3" width="10.5703125" style="103" customWidth="1"/>
    <col min="4" max="4" width="11.7109375" style="103" customWidth="1"/>
    <col min="5" max="6" width="10.5703125" style="103" customWidth="1"/>
    <col min="7" max="7" width="11.7109375" style="103" customWidth="1"/>
    <col min="8" max="8" width="10.5703125" style="103" customWidth="1"/>
    <col min="9" max="9" width="13" style="103" customWidth="1"/>
    <col min="10" max="11" width="11.7109375" style="103" customWidth="1"/>
    <col min="12" max="12" width="13" style="103" customWidth="1"/>
    <col min="13" max="14" width="11.7109375" style="103" customWidth="1"/>
    <col min="15" max="16384" width="14.42578125" style="103"/>
  </cols>
  <sheetData>
    <row r="1" spans="1:14" ht="34.5" customHeight="1" x14ac:dyDescent="0.2">
      <c r="A1" s="153" t="s">
        <v>247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</row>
    <row r="2" spans="1:14" ht="19.5" customHeight="1" thickBot="1" x14ac:dyDescent="0.25">
      <c r="A2" s="50"/>
      <c r="B2" s="138" t="s">
        <v>0</v>
      </c>
      <c r="C2" s="52"/>
      <c r="D2" s="52"/>
      <c r="E2" s="52"/>
      <c r="F2" s="52"/>
      <c r="G2" s="52"/>
      <c r="H2" s="52"/>
      <c r="I2" s="52"/>
      <c r="J2" s="52"/>
      <c r="K2" s="155" t="s">
        <v>1</v>
      </c>
      <c r="L2" s="154"/>
      <c r="M2" s="154"/>
      <c r="N2" s="154"/>
    </row>
    <row r="3" spans="1:14" ht="19.5" customHeight="1" x14ac:dyDescent="0.2">
      <c r="A3" s="156" t="s">
        <v>2</v>
      </c>
      <c r="B3" s="158" t="s">
        <v>3</v>
      </c>
      <c r="C3" s="148" t="s">
        <v>243</v>
      </c>
      <c r="D3" s="149"/>
      <c r="E3" s="150"/>
      <c r="F3" s="148" t="s">
        <v>244</v>
      </c>
      <c r="G3" s="149"/>
      <c r="H3" s="150"/>
      <c r="I3" s="148" t="s">
        <v>246</v>
      </c>
      <c r="J3" s="149"/>
      <c r="K3" s="150"/>
      <c r="L3" s="164" t="s">
        <v>4</v>
      </c>
      <c r="M3" s="149"/>
      <c r="N3" s="150"/>
    </row>
    <row r="4" spans="1:14" ht="19.5" customHeight="1" thickBot="1" x14ac:dyDescent="0.25">
      <c r="A4" s="163"/>
      <c r="B4" s="165"/>
      <c r="C4" s="85" t="s">
        <v>5</v>
      </c>
      <c r="D4" s="79" t="s">
        <v>6</v>
      </c>
      <c r="E4" s="80" t="s">
        <v>7</v>
      </c>
      <c r="F4" s="85" t="s">
        <v>5</v>
      </c>
      <c r="G4" s="79" t="s">
        <v>6</v>
      </c>
      <c r="H4" s="80" t="s">
        <v>7</v>
      </c>
      <c r="I4" s="85" t="s">
        <v>5</v>
      </c>
      <c r="J4" s="79" t="s">
        <v>6</v>
      </c>
      <c r="K4" s="80" t="s">
        <v>7</v>
      </c>
      <c r="L4" s="83" t="s">
        <v>5</v>
      </c>
      <c r="M4" s="79" t="s">
        <v>6</v>
      </c>
      <c r="N4" s="80" t="s">
        <v>7</v>
      </c>
    </row>
    <row r="5" spans="1:14" ht="19.5" customHeight="1" outlineLevel="1" x14ac:dyDescent="0.2">
      <c r="A5" s="100">
        <v>1</v>
      </c>
      <c r="B5" s="86" t="s">
        <v>8</v>
      </c>
      <c r="C5" s="87">
        <v>0</v>
      </c>
      <c r="D5" s="88">
        <v>0</v>
      </c>
      <c r="E5" s="89">
        <v>0</v>
      </c>
      <c r="F5" s="87">
        <v>0</v>
      </c>
      <c r="G5" s="88">
        <v>0</v>
      </c>
      <c r="H5" s="89">
        <v>0</v>
      </c>
      <c r="I5" s="87">
        <v>0</v>
      </c>
      <c r="J5" s="88">
        <v>0</v>
      </c>
      <c r="K5" s="89">
        <v>0</v>
      </c>
      <c r="L5" s="90">
        <v>0</v>
      </c>
      <c r="M5" s="88">
        <v>0</v>
      </c>
      <c r="N5" s="89">
        <v>0</v>
      </c>
    </row>
    <row r="6" spans="1:14" ht="19.5" customHeight="1" outlineLevel="1" x14ac:dyDescent="0.2">
      <c r="A6" s="101">
        <v>2</v>
      </c>
      <c r="B6" s="81" t="s">
        <v>9</v>
      </c>
      <c r="C6" s="84">
        <v>0</v>
      </c>
      <c r="D6" s="53">
        <v>0</v>
      </c>
      <c r="E6" s="78">
        <v>0</v>
      </c>
      <c r="F6" s="84">
        <v>0</v>
      </c>
      <c r="G6" s="53">
        <v>0</v>
      </c>
      <c r="H6" s="78">
        <v>0</v>
      </c>
      <c r="I6" s="84">
        <v>0</v>
      </c>
      <c r="J6" s="53">
        <v>0</v>
      </c>
      <c r="K6" s="78">
        <v>0</v>
      </c>
      <c r="L6" s="82">
        <v>0</v>
      </c>
      <c r="M6" s="53">
        <v>0</v>
      </c>
      <c r="N6" s="78">
        <v>0</v>
      </c>
    </row>
    <row r="7" spans="1:14" ht="19.5" customHeight="1" outlineLevel="1" x14ac:dyDescent="0.2">
      <c r="A7" s="101">
        <v>3</v>
      </c>
      <c r="B7" s="81" t="s">
        <v>10</v>
      </c>
      <c r="C7" s="84">
        <v>0</v>
      </c>
      <c r="D7" s="53">
        <v>0</v>
      </c>
      <c r="E7" s="78">
        <v>0</v>
      </c>
      <c r="F7" s="84">
        <v>0</v>
      </c>
      <c r="G7" s="53">
        <v>0</v>
      </c>
      <c r="H7" s="78">
        <v>0</v>
      </c>
      <c r="I7" s="84">
        <v>0</v>
      </c>
      <c r="J7" s="53">
        <v>0</v>
      </c>
      <c r="K7" s="78">
        <v>0</v>
      </c>
      <c r="L7" s="82">
        <v>0</v>
      </c>
      <c r="M7" s="53">
        <v>0</v>
      </c>
      <c r="N7" s="78">
        <v>0</v>
      </c>
    </row>
    <row r="8" spans="1:14" ht="19.5" customHeight="1" outlineLevel="1" x14ac:dyDescent="0.2">
      <c r="A8" s="101">
        <v>4</v>
      </c>
      <c r="B8" s="81" t="s">
        <v>11</v>
      </c>
      <c r="C8" s="84">
        <v>53.31</v>
      </c>
      <c r="D8" s="53">
        <v>123.67589477999999</v>
      </c>
      <c r="E8" s="78">
        <v>2319.9379999999996</v>
      </c>
      <c r="F8" s="84">
        <v>65.040000000000006</v>
      </c>
      <c r="G8" s="53">
        <v>148.62940799999998</v>
      </c>
      <c r="H8" s="78">
        <v>2285.1999999999998</v>
      </c>
      <c r="I8" s="84">
        <v>81</v>
      </c>
      <c r="J8" s="53">
        <v>188.81532000000001</v>
      </c>
      <c r="K8" s="78">
        <v>2331.0533333333333</v>
      </c>
      <c r="L8" s="82">
        <v>66.45</v>
      </c>
      <c r="M8" s="53">
        <v>153.70687425999998</v>
      </c>
      <c r="N8" s="78">
        <v>2313.1207563581638</v>
      </c>
    </row>
    <row r="9" spans="1:14" ht="19.5" customHeight="1" outlineLevel="1" x14ac:dyDescent="0.2">
      <c r="A9" s="101">
        <v>5</v>
      </c>
      <c r="B9" s="81" t="s">
        <v>12</v>
      </c>
      <c r="C9" s="84">
        <v>67.22</v>
      </c>
      <c r="D9" s="53">
        <v>233.9322168423586</v>
      </c>
      <c r="E9" s="78">
        <v>3480.0984356197355</v>
      </c>
      <c r="F9" s="84">
        <v>65.67</v>
      </c>
      <c r="G9" s="53">
        <v>211.90395599999999</v>
      </c>
      <c r="H9" s="78">
        <v>3226.8</v>
      </c>
      <c r="I9" s="84">
        <v>66.88</v>
      </c>
      <c r="J9" s="53">
        <v>222.83970133333329</v>
      </c>
      <c r="K9" s="78">
        <v>3331.9333333333329</v>
      </c>
      <c r="L9" s="82">
        <v>66.589999999999989</v>
      </c>
      <c r="M9" s="53">
        <v>222.89195805856397</v>
      </c>
      <c r="N9" s="78">
        <v>3347.2286838649047</v>
      </c>
    </row>
    <row r="10" spans="1:14" ht="19.5" customHeight="1" outlineLevel="1" x14ac:dyDescent="0.2">
      <c r="A10" s="101">
        <v>6</v>
      </c>
      <c r="B10" s="81" t="s">
        <v>13</v>
      </c>
      <c r="C10" s="84">
        <v>14.42</v>
      </c>
      <c r="D10" s="53">
        <v>38.036704098607096</v>
      </c>
      <c r="E10" s="78">
        <v>2637.7742093347501</v>
      </c>
      <c r="F10" s="84">
        <v>8.82</v>
      </c>
      <c r="G10" s="53">
        <v>23.540356577971696</v>
      </c>
      <c r="H10" s="78">
        <v>2668.9746687042739</v>
      </c>
      <c r="I10" s="84">
        <v>9.2200000000000006</v>
      </c>
      <c r="J10" s="53">
        <v>20.193029333333332</v>
      </c>
      <c r="K10" s="78">
        <v>2190.1333333333332</v>
      </c>
      <c r="L10" s="82">
        <v>10.82</v>
      </c>
      <c r="M10" s="53">
        <v>27.256696669970708</v>
      </c>
      <c r="N10" s="78">
        <v>2519.103204248679</v>
      </c>
    </row>
    <row r="11" spans="1:14" ht="19.5" customHeight="1" outlineLevel="1" x14ac:dyDescent="0.2">
      <c r="A11" s="101">
        <v>7</v>
      </c>
      <c r="B11" s="81" t="s">
        <v>14</v>
      </c>
      <c r="C11" s="84">
        <v>127.97</v>
      </c>
      <c r="D11" s="53">
        <v>316.24900733244363</v>
      </c>
      <c r="E11" s="78">
        <v>2471.2745747631757</v>
      </c>
      <c r="F11" s="84">
        <v>120.11</v>
      </c>
      <c r="G11" s="53">
        <v>291.40556850414515</v>
      </c>
      <c r="H11" s="78">
        <v>2426.1557614199078</v>
      </c>
      <c r="I11" s="84">
        <v>121.59</v>
      </c>
      <c r="J11" s="53">
        <v>281.47410945990447</v>
      </c>
      <c r="K11" s="78">
        <v>2314.9445633679125</v>
      </c>
      <c r="L11" s="82">
        <v>123.22333333333331</v>
      </c>
      <c r="M11" s="53">
        <v>296.3762284321644</v>
      </c>
      <c r="N11" s="78">
        <v>2405.1956753225672</v>
      </c>
    </row>
    <row r="12" spans="1:14" ht="19.5" customHeight="1" outlineLevel="1" x14ac:dyDescent="0.2">
      <c r="A12" s="101">
        <v>8</v>
      </c>
      <c r="B12" s="81" t="s">
        <v>15</v>
      </c>
      <c r="C12" s="84">
        <v>1515.25</v>
      </c>
      <c r="D12" s="53">
        <v>4253.2650373403849</v>
      </c>
      <c r="E12" s="78">
        <v>2806.9724714340109</v>
      </c>
      <c r="F12" s="84">
        <v>1449.06</v>
      </c>
      <c r="G12" s="53">
        <v>4008.9952224624967</v>
      </c>
      <c r="H12" s="78">
        <v>2766.6178229076068</v>
      </c>
      <c r="I12" s="84">
        <v>1509.68</v>
      </c>
      <c r="J12" s="53">
        <v>3647.2987057405626</v>
      </c>
      <c r="K12" s="78">
        <v>2415.9415940732888</v>
      </c>
      <c r="L12" s="82">
        <v>1491.33</v>
      </c>
      <c r="M12" s="53">
        <v>3969.8529885144817</v>
      </c>
      <c r="N12" s="78">
        <v>2661.954757508051</v>
      </c>
    </row>
    <row r="13" spans="1:14" ht="19.5" customHeight="1" outlineLevel="1" x14ac:dyDescent="0.2">
      <c r="A13" s="101">
        <v>9</v>
      </c>
      <c r="B13" s="81" t="s">
        <v>16</v>
      </c>
      <c r="C13" s="84">
        <v>0</v>
      </c>
      <c r="D13" s="53">
        <v>0</v>
      </c>
      <c r="E13" s="78">
        <v>0</v>
      </c>
      <c r="F13" s="84">
        <v>16.8</v>
      </c>
      <c r="G13" s="53">
        <v>44.838774434231802</v>
      </c>
      <c r="H13" s="78">
        <v>2668.9746687042739</v>
      </c>
      <c r="I13" s="84">
        <v>21.65</v>
      </c>
      <c r="J13" s="53">
        <v>17.363790733333335</v>
      </c>
      <c r="K13" s="78">
        <v>802.02266666666674</v>
      </c>
      <c r="L13" s="82">
        <v>19.225000000000001</v>
      </c>
      <c r="M13" s="53">
        <v>31.10128258378257</v>
      </c>
      <c r="N13" s="78">
        <v>1617.7520199626822</v>
      </c>
    </row>
    <row r="14" spans="1:14" ht="19.5" customHeight="1" outlineLevel="1" x14ac:dyDescent="0.2">
      <c r="A14" s="101">
        <v>10</v>
      </c>
      <c r="B14" s="81" t="s">
        <v>17</v>
      </c>
      <c r="C14" s="84">
        <v>0</v>
      </c>
      <c r="D14" s="53">
        <v>0</v>
      </c>
      <c r="E14" s="78">
        <v>0</v>
      </c>
      <c r="F14" s="84">
        <v>0</v>
      </c>
      <c r="G14" s="53">
        <v>0</v>
      </c>
      <c r="H14" s="78">
        <v>0</v>
      </c>
      <c r="I14" s="84">
        <v>0</v>
      </c>
      <c r="J14" s="53">
        <v>0</v>
      </c>
      <c r="K14" s="78">
        <v>0</v>
      </c>
      <c r="L14" s="82">
        <v>0</v>
      </c>
      <c r="M14" s="53">
        <v>0</v>
      </c>
      <c r="N14" s="78">
        <v>0</v>
      </c>
    </row>
    <row r="15" spans="1:14" ht="19.5" customHeight="1" outlineLevel="1" x14ac:dyDescent="0.2">
      <c r="A15" s="101">
        <v>11</v>
      </c>
      <c r="B15" s="81" t="s">
        <v>18</v>
      </c>
      <c r="C15" s="84">
        <v>0</v>
      </c>
      <c r="D15" s="53">
        <v>0</v>
      </c>
      <c r="E15" s="78">
        <v>0</v>
      </c>
      <c r="F15" s="84">
        <v>0</v>
      </c>
      <c r="G15" s="53">
        <v>0</v>
      </c>
      <c r="H15" s="78">
        <v>0</v>
      </c>
      <c r="I15" s="84">
        <v>0</v>
      </c>
      <c r="J15" s="53">
        <v>0</v>
      </c>
      <c r="K15" s="78">
        <v>0</v>
      </c>
      <c r="L15" s="82">
        <v>0</v>
      </c>
      <c r="M15" s="53">
        <v>0</v>
      </c>
      <c r="N15" s="78">
        <v>0</v>
      </c>
    </row>
    <row r="16" spans="1:14" ht="19.5" customHeight="1" outlineLevel="1" x14ac:dyDescent="0.2">
      <c r="A16" s="101">
        <v>12</v>
      </c>
      <c r="B16" s="81" t="s">
        <v>19</v>
      </c>
      <c r="C16" s="84">
        <v>0</v>
      </c>
      <c r="D16" s="53">
        <v>0</v>
      </c>
      <c r="E16" s="78">
        <v>0</v>
      </c>
      <c r="F16" s="84">
        <v>0</v>
      </c>
      <c r="G16" s="53">
        <v>0</v>
      </c>
      <c r="H16" s="78">
        <v>0</v>
      </c>
      <c r="I16" s="84">
        <v>0</v>
      </c>
      <c r="J16" s="53">
        <v>0</v>
      </c>
      <c r="K16" s="78">
        <v>0</v>
      </c>
      <c r="L16" s="82">
        <v>0</v>
      </c>
      <c r="M16" s="53">
        <v>0</v>
      </c>
      <c r="N16" s="78">
        <v>0</v>
      </c>
    </row>
    <row r="17" spans="1:14" ht="19.5" customHeight="1" outlineLevel="1" x14ac:dyDescent="0.2">
      <c r="A17" s="101">
        <v>13</v>
      </c>
      <c r="B17" s="81" t="s">
        <v>20</v>
      </c>
      <c r="C17" s="84">
        <v>0</v>
      </c>
      <c r="D17" s="53">
        <v>0</v>
      </c>
      <c r="E17" s="78">
        <v>0</v>
      </c>
      <c r="F17" s="84">
        <v>0</v>
      </c>
      <c r="G17" s="53">
        <v>0</v>
      </c>
      <c r="H17" s="78">
        <v>0</v>
      </c>
      <c r="I17" s="84">
        <v>0</v>
      </c>
      <c r="J17" s="53">
        <v>0</v>
      </c>
      <c r="K17" s="78">
        <v>0</v>
      </c>
      <c r="L17" s="82">
        <v>0</v>
      </c>
      <c r="M17" s="53">
        <v>0</v>
      </c>
      <c r="N17" s="78">
        <v>0</v>
      </c>
    </row>
    <row r="18" spans="1:14" ht="19.5" customHeight="1" outlineLevel="1" x14ac:dyDescent="0.2">
      <c r="A18" s="101">
        <v>14</v>
      </c>
      <c r="B18" s="81" t="s">
        <v>21</v>
      </c>
      <c r="C18" s="84">
        <v>0</v>
      </c>
      <c r="D18" s="53">
        <v>0</v>
      </c>
      <c r="E18" s="78">
        <v>0</v>
      </c>
      <c r="F18" s="84">
        <v>0</v>
      </c>
      <c r="G18" s="53">
        <v>0</v>
      </c>
      <c r="H18" s="78">
        <v>0</v>
      </c>
      <c r="I18" s="84">
        <v>0</v>
      </c>
      <c r="J18" s="53">
        <v>0</v>
      </c>
      <c r="K18" s="78">
        <v>0</v>
      </c>
      <c r="L18" s="82">
        <v>0</v>
      </c>
      <c r="M18" s="53">
        <v>0</v>
      </c>
      <c r="N18" s="78">
        <v>0</v>
      </c>
    </row>
    <row r="19" spans="1:14" ht="19.5" customHeight="1" outlineLevel="1" x14ac:dyDescent="0.2">
      <c r="A19" s="101">
        <v>15</v>
      </c>
      <c r="B19" s="81" t="s">
        <v>22</v>
      </c>
      <c r="C19" s="84">
        <v>0</v>
      </c>
      <c r="D19" s="53">
        <v>0</v>
      </c>
      <c r="E19" s="78">
        <v>0</v>
      </c>
      <c r="F19" s="84">
        <v>0</v>
      </c>
      <c r="G19" s="53">
        <v>0</v>
      </c>
      <c r="H19" s="78">
        <v>0</v>
      </c>
      <c r="I19" s="84">
        <v>0</v>
      </c>
      <c r="J19" s="53">
        <v>0</v>
      </c>
      <c r="K19" s="78">
        <v>0</v>
      </c>
      <c r="L19" s="82">
        <v>0</v>
      </c>
      <c r="M19" s="53">
        <v>0</v>
      </c>
      <c r="N19" s="78">
        <v>0</v>
      </c>
    </row>
    <row r="20" spans="1:14" ht="19.5" customHeight="1" outlineLevel="1" x14ac:dyDescent="0.2">
      <c r="A20" s="101">
        <v>16</v>
      </c>
      <c r="B20" s="81" t="s">
        <v>23</v>
      </c>
      <c r="C20" s="84">
        <v>0</v>
      </c>
      <c r="D20" s="53">
        <v>0</v>
      </c>
      <c r="E20" s="78">
        <v>0</v>
      </c>
      <c r="F20" s="84">
        <v>0</v>
      </c>
      <c r="G20" s="53">
        <v>0</v>
      </c>
      <c r="H20" s="78">
        <v>0</v>
      </c>
      <c r="I20" s="84">
        <v>0</v>
      </c>
      <c r="J20" s="53">
        <v>0</v>
      </c>
      <c r="K20" s="78">
        <v>0</v>
      </c>
      <c r="L20" s="82">
        <v>0</v>
      </c>
      <c r="M20" s="53">
        <v>0</v>
      </c>
      <c r="N20" s="78">
        <v>0</v>
      </c>
    </row>
    <row r="21" spans="1:14" ht="19.5" customHeight="1" outlineLevel="1" x14ac:dyDescent="0.2">
      <c r="A21" s="101">
        <v>17</v>
      </c>
      <c r="B21" s="81" t="s">
        <v>24</v>
      </c>
      <c r="C21" s="84">
        <v>0</v>
      </c>
      <c r="D21" s="53">
        <v>0</v>
      </c>
      <c r="E21" s="78">
        <v>0</v>
      </c>
      <c r="F21" s="84">
        <v>0</v>
      </c>
      <c r="G21" s="53">
        <v>0</v>
      </c>
      <c r="H21" s="78">
        <v>0</v>
      </c>
      <c r="I21" s="84">
        <v>0</v>
      </c>
      <c r="J21" s="53">
        <v>0</v>
      </c>
      <c r="K21" s="78">
        <v>0</v>
      </c>
      <c r="L21" s="82">
        <v>0</v>
      </c>
      <c r="M21" s="53">
        <v>0</v>
      </c>
      <c r="N21" s="78">
        <v>0</v>
      </c>
    </row>
    <row r="22" spans="1:14" ht="19.5" customHeight="1" outlineLevel="1" x14ac:dyDescent="0.2">
      <c r="A22" s="101">
        <v>18</v>
      </c>
      <c r="B22" s="81" t="s">
        <v>25</v>
      </c>
      <c r="C22" s="84">
        <v>0</v>
      </c>
      <c r="D22" s="53">
        <v>0</v>
      </c>
      <c r="E22" s="78">
        <v>0</v>
      </c>
      <c r="F22" s="84">
        <v>0</v>
      </c>
      <c r="G22" s="53">
        <v>0</v>
      </c>
      <c r="H22" s="78">
        <v>0</v>
      </c>
      <c r="I22" s="84">
        <v>0</v>
      </c>
      <c r="J22" s="53">
        <v>0</v>
      </c>
      <c r="K22" s="78">
        <v>0</v>
      </c>
      <c r="L22" s="82">
        <v>0</v>
      </c>
      <c r="M22" s="53">
        <v>0</v>
      </c>
      <c r="N22" s="78">
        <v>0</v>
      </c>
    </row>
    <row r="23" spans="1:14" ht="19.5" customHeight="1" outlineLevel="1" x14ac:dyDescent="0.2">
      <c r="A23" s="101">
        <v>19</v>
      </c>
      <c r="B23" s="81" t="s">
        <v>26</v>
      </c>
      <c r="C23" s="84">
        <v>0</v>
      </c>
      <c r="D23" s="53">
        <v>0</v>
      </c>
      <c r="E23" s="78">
        <v>0</v>
      </c>
      <c r="F23" s="84">
        <v>0.32</v>
      </c>
      <c r="G23" s="53">
        <v>0.85407189398536765</v>
      </c>
      <c r="H23" s="78">
        <v>2668.9746687042739</v>
      </c>
      <c r="I23" s="84">
        <v>0.63</v>
      </c>
      <c r="J23" s="53">
        <v>1.5797011021245269</v>
      </c>
      <c r="K23" s="78">
        <v>2507.4620668643283</v>
      </c>
      <c r="L23" s="82">
        <v>0.47499999999999998</v>
      </c>
      <c r="M23" s="53">
        <v>1.2168864980549472</v>
      </c>
      <c r="N23" s="78">
        <v>2561.8663116946259</v>
      </c>
    </row>
    <row r="24" spans="1:14" ht="19.5" customHeight="1" outlineLevel="1" x14ac:dyDescent="0.2">
      <c r="A24" s="101">
        <v>20</v>
      </c>
      <c r="B24" s="81" t="s">
        <v>27</v>
      </c>
      <c r="C24" s="84">
        <v>1219.07</v>
      </c>
      <c r="D24" s="53">
        <v>3218.3944473333327</v>
      </c>
      <c r="E24" s="78">
        <v>2640.0407255804284</v>
      </c>
      <c r="F24" s="84">
        <v>1230.07</v>
      </c>
      <c r="G24" s="53">
        <v>3559.0999386666667</v>
      </c>
      <c r="H24" s="78">
        <v>2893.4125201546799</v>
      </c>
      <c r="I24" s="84">
        <v>1217.93</v>
      </c>
      <c r="J24" s="53">
        <v>3325.0329219999999</v>
      </c>
      <c r="K24" s="78">
        <v>2730.06898754444</v>
      </c>
      <c r="L24" s="82">
        <v>1222.3566666666666</v>
      </c>
      <c r="M24" s="53">
        <v>3367.5091026666664</v>
      </c>
      <c r="N24" s="78">
        <v>2754.9316778790694</v>
      </c>
    </row>
    <row r="25" spans="1:14" ht="19.5" customHeight="1" outlineLevel="1" x14ac:dyDescent="0.2">
      <c r="A25" s="101">
        <v>21</v>
      </c>
      <c r="B25" s="81" t="s">
        <v>28</v>
      </c>
      <c r="C25" s="84">
        <v>1134.22</v>
      </c>
      <c r="D25" s="53">
        <v>3286.9413213333332</v>
      </c>
      <c r="E25" s="78">
        <v>2897.9751030076468</v>
      </c>
      <c r="F25" s="84">
        <v>1147.28</v>
      </c>
      <c r="G25" s="53">
        <v>3258.682025999999</v>
      </c>
      <c r="H25" s="78">
        <v>2840.3546004462723</v>
      </c>
      <c r="I25" s="84">
        <v>1155.96</v>
      </c>
      <c r="J25" s="53">
        <v>3038.6064033333323</v>
      </c>
      <c r="K25" s="78">
        <v>2628.6432085308593</v>
      </c>
      <c r="L25" s="82">
        <v>1145.82</v>
      </c>
      <c r="M25" s="53">
        <v>3194.7432502222218</v>
      </c>
      <c r="N25" s="78">
        <v>2788.1720080136688</v>
      </c>
    </row>
    <row r="26" spans="1:14" ht="19.5" customHeight="1" outlineLevel="1" x14ac:dyDescent="0.2">
      <c r="A26" s="101">
        <v>22</v>
      </c>
      <c r="B26" s="81" t="s">
        <v>29</v>
      </c>
      <c r="C26" s="84">
        <v>287.67</v>
      </c>
      <c r="D26" s="53">
        <v>568.53741333333346</v>
      </c>
      <c r="E26" s="78">
        <v>1976.3528116707803</v>
      </c>
      <c r="F26" s="84">
        <v>293.20999999999998</v>
      </c>
      <c r="G26" s="53">
        <v>569.28501733333326</v>
      </c>
      <c r="H26" s="78">
        <v>1941.5607153007513</v>
      </c>
      <c r="I26" s="84">
        <v>297.13</v>
      </c>
      <c r="J26" s="53">
        <v>585.35056226666654</v>
      </c>
      <c r="K26" s="78">
        <v>1970.0150178934023</v>
      </c>
      <c r="L26" s="82">
        <v>292.67</v>
      </c>
      <c r="M26" s="53">
        <v>574.39099764444438</v>
      </c>
      <c r="N26" s="78">
        <v>1962.5892563106718</v>
      </c>
    </row>
    <row r="27" spans="1:14" ht="19.5" customHeight="1" outlineLevel="1" x14ac:dyDescent="0.2">
      <c r="A27" s="101">
        <v>23</v>
      </c>
      <c r="B27" s="81" t="s">
        <v>30</v>
      </c>
      <c r="C27" s="84">
        <v>346.36</v>
      </c>
      <c r="D27" s="53">
        <v>893.89278782565486</v>
      </c>
      <c r="E27" s="78">
        <v>2580.8199209656277</v>
      </c>
      <c r="F27" s="84">
        <v>363.73</v>
      </c>
      <c r="G27" s="53">
        <v>859.72095787526166</v>
      </c>
      <c r="H27" s="78">
        <v>2363.624000976718</v>
      </c>
      <c r="I27" s="84">
        <v>389.85</v>
      </c>
      <c r="J27" s="53">
        <v>1005.5743246666667</v>
      </c>
      <c r="K27" s="78">
        <v>2579.3877764952331</v>
      </c>
      <c r="L27" s="82">
        <v>366.6466666666667</v>
      </c>
      <c r="M27" s="53">
        <v>919.72935678919441</v>
      </c>
      <c r="N27" s="78">
        <v>2508.4896179496909</v>
      </c>
    </row>
    <row r="28" spans="1:14" ht="19.5" customHeight="1" outlineLevel="1" x14ac:dyDescent="0.2">
      <c r="A28" s="101">
        <v>24</v>
      </c>
      <c r="B28" s="81" t="s">
        <v>31</v>
      </c>
      <c r="C28" s="84">
        <v>233.12</v>
      </c>
      <c r="D28" s="53">
        <v>369.02666600000003</v>
      </c>
      <c r="E28" s="78">
        <v>1582.9901595744682</v>
      </c>
      <c r="F28" s="84">
        <v>263.77999999999997</v>
      </c>
      <c r="G28" s="53">
        <v>525.49544492467885</v>
      </c>
      <c r="H28" s="78">
        <v>1992.1731932848547</v>
      </c>
      <c r="I28" s="84">
        <v>288.37</v>
      </c>
      <c r="J28" s="53">
        <v>614.0062145459674</v>
      </c>
      <c r="K28" s="78">
        <v>2129.2305529214809</v>
      </c>
      <c r="L28" s="82">
        <v>261.75666666666666</v>
      </c>
      <c r="M28" s="53">
        <v>502.84277515688206</v>
      </c>
      <c r="N28" s="78">
        <v>1921.0313974437406</v>
      </c>
    </row>
    <row r="29" spans="1:14" ht="19.5" customHeight="1" outlineLevel="1" x14ac:dyDescent="0.2">
      <c r="A29" s="101">
        <v>25</v>
      </c>
      <c r="B29" s="81" t="s">
        <v>32</v>
      </c>
      <c r="C29" s="84">
        <v>302.60000000000002</v>
      </c>
      <c r="D29" s="53">
        <v>625.31373733333328</v>
      </c>
      <c r="E29" s="78">
        <v>2066.4697202026873</v>
      </c>
      <c r="F29" s="84">
        <v>338.26</v>
      </c>
      <c r="G29" s="53">
        <v>699.40549799999985</v>
      </c>
      <c r="H29" s="78">
        <v>2067.6565304795126</v>
      </c>
      <c r="I29" s="84">
        <v>331.52</v>
      </c>
      <c r="J29" s="53">
        <v>678.49402458637053</v>
      </c>
      <c r="K29" s="78">
        <v>2046.6156629656448</v>
      </c>
      <c r="L29" s="82">
        <v>324.12666666666667</v>
      </c>
      <c r="M29" s="53">
        <v>667.73775330656781</v>
      </c>
      <c r="N29" s="78">
        <v>2060.1135974821605</v>
      </c>
    </row>
    <row r="30" spans="1:14" ht="19.5" customHeight="1" outlineLevel="1" x14ac:dyDescent="0.2">
      <c r="A30" s="101">
        <v>26</v>
      </c>
      <c r="B30" s="81" t="s">
        <v>33</v>
      </c>
      <c r="C30" s="84">
        <v>72.8</v>
      </c>
      <c r="D30" s="53">
        <v>145.14100666666667</v>
      </c>
      <c r="E30" s="78">
        <v>1993.6951465201466</v>
      </c>
      <c r="F30" s="84">
        <v>66.36</v>
      </c>
      <c r="G30" s="53">
        <v>129.87236533333333</v>
      </c>
      <c r="H30" s="78">
        <v>1957.0880851918828</v>
      </c>
      <c r="I30" s="84">
        <v>123.74</v>
      </c>
      <c r="J30" s="53">
        <v>223.51557933333333</v>
      </c>
      <c r="K30" s="78">
        <v>1806.3324659231723</v>
      </c>
      <c r="L30" s="82">
        <v>87.633333333333326</v>
      </c>
      <c r="M30" s="53">
        <v>166.1763171111111</v>
      </c>
      <c r="N30" s="78">
        <v>1896.2683580575631</v>
      </c>
    </row>
    <row r="31" spans="1:14" ht="19.5" customHeight="1" outlineLevel="1" x14ac:dyDescent="0.2">
      <c r="A31" s="101">
        <v>27</v>
      </c>
      <c r="B31" s="81" t="s">
        <v>34</v>
      </c>
      <c r="C31" s="84">
        <v>0</v>
      </c>
      <c r="D31" s="53">
        <v>0</v>
      </c>
      <c r="E31" s="78">
        <v>0</v>
      </c>
      <c r="F31" s="84">
        <v>0</v>
      </c>
      <c r="G31" s="53">
        <v>0</v>
      </c>
      <c r="H31" s="78">
        <v>0</v>
      </c>
      <c r="I31" s="84">
        <v>0</v>
      </c>
      <c r="J31" s="53">
        <v>0</v>
      </c>
      <c r="K31" s="78">
        <v>0</v>
      </c>
      <c r="L31" s="82">
        <v>0</v>
      </c>
      <c r="M31" s="53">
        <v>0</v>
      </c>
      <c r="N31" s="78">
        <v>0</v>
      </c>
    </row>
    <row r="32" spans="1:14" ht="19.5" customHeight="1" outlineLevel="1" x14ac:dyDescent="0.2">
      <c r="A32" s="101">
        <v>28</v>
      </c>
      <c r="B32" s="81" t="s">
        <v>35</v>
      </c>
      <c r="C32" s="84">
        <v>85.19</v>
      </c>
      <c r="D32" s="53">
        <v>165.76781999999997</v>
      </c>
      <c r="E32" s="78">
        <v>1945.8600774738818</v>
      </c>
      <c r="F32" s="84">
        <v>88.8</v>
      </c>
      <c r="G32" s="53">
        <v>169.74023333333338</v>
      </c>
      <c r="H32" s="78">
        <v>1911.4891141141145</v>
      </c>
      <c r="I32" s="84">
        <v>97.45</v>
      </c>
      <c r="J32" s="53">
        <v>172.08839547606519</v>
      </c>
      <c r="K32" s="78">
        <v>1765.914781693845</v>
      </c>
      <c r="L32" s="82">
        <v>90.48</v>
      </c>
      <c r="M32" s="53">
        <v>169.19881626979952</v>
      </c>
      <c r="N32" s="78">
        <v>1870.013442415998</v>
      </c>
    </row>
    <row r="33" spans="1:14" ht="19.5" customHeight="1" outlineLevel="1" x14ac:dyDescent="0.2">
      <c r="A33" s="101">
        <v>29</v>
      </c>
      <c r="B33" s="81" t="s">
        <v>36</v>
      </c>
      <c r="C33" s="84">
        <v>322.66000000000003</v>
      </c>
      <c r="D33" s="53">
        <v>834.83367306416233</v>
      </c>
      <c r="E33" s="78">
        <v>2587.3478989157697</v>
      </c>
      <c r="F33" s="84">
        <v>349.66</v>
      </c>
      <c r="G33" s="53">
        <v>932.93547239533973</v>
      </c>
      <c r="H33" s="78">
        <v>2668.121810888691</v>
      </c>
      <c r="I33" s="84">
        <v>364.17</v>
      </c>
      <c r="J33" s="53">
        <v>863.07118684530087</v>
      </c>
      <c r="K33" s="78">
        <v>2369.9678360252101</v>
      </c>
      <c r="L33" s="82">
        <v>345.49666666666667</v>
      </c>
      <c r="M33" s="53">
        <v>876.94677743493423</v>
      </c>
      <c r="N33" s="78">
        <v>2538.2206604065673</v>
      </c>
    </row>
    <row r="34" spans="1:14" ht="19.5" customHeight="1" outlineLevel="1" x14ac:dyDescent="0.2">
      <c r="A34" s="101">
        <v>30</v>
      </c>
      <c r="B34" s="81" t="s">
        <v>37</v>
      </c>
      <c r="C34" s="84">
        <v>0</v>
      </c>
      <c r="D34" s="53">
        <v>0</v>
      </c>
      <c r="E34" s="78">
        <v>0</v>
      </c>
      <c r="F34" s="84">
        <v>0</v>
      </c>
      <c r="G34" s="53">
        <v>0</v>
      </c>
      <c r="H34" s="78">
        <v>0</v>
      </c>
      <c r="I34" s="84">
        <v>0</v>
      </c>
      <c r="J34" s="53">
        <v>0</v>
      </c>
      <c r="K34" s="78">
        <v>0</v>
      </c>
      <c r="L34" s="82">
        <v>0</v>
      </c>
      <c r="M34" s="53">
        <v>0</v>
      </c>
      <c r="N34" s="78">
        <v>0</v>
      </c>
    </row>
    <row r="35" spans="1:14" ht="19.5" customHeight="1" outlineLevel="1" x14ac:dyDescent="0.2">
      <c r="A35" s="101">
        <v>31</v>
      </c>
      <c r="B35" s="81" t="s">
        <v>38</v>
      </c>
      <c r="C35" s="84">
        <v>224.44</v>
      </c>
      <c r="D35" s="53">
        <v>634.7052666666666</v>
      </c>
      <c r="E35" s="78">
        <v>2827.9507515000296</v>
      </c>
      <c r="F35" s="84">
        <v>236.42</v>
      </c>
      <c r="G35" s="53">
        <v>666.12765999999988</v>
      </c>
      <c r="H35" s="78">
        <v>2817.5605278741223</v>
      </c>
      <c r="I35" s="84">
        <v>353.49</v>
      </c>
      <c r="J35" s="53">
        <v>1076.8735466666665</v>
      </c>
      <c r="K35" s="78">
        <v>3046.4045564702437</v>
      </c>
      <c r="L35" s="82">
        <v>271.45</v>
      </c>
      <c r="M35" s="53">
        <v>792.5688244444442</v>
      </c>
      <c r="N35" s="78">
        <v>2919.7598984875453</v>
      </c>
    </row>
    <row r="36" spans="1:14" ht="19.5" customHeight="1" outlineLevel="1" x14ac:dyDescent="0.2">
      <c r="A36" s="101">
        <v>32</v>
      </c>
      <c r="B36" s="81" t="s">
        <v>39</v>
      </c>
      <c r="C36" s="84">
        <v>756.89</v>
      </c>
      <c r="D36" s="53">
        <v>1956.1744626666662</v>
      </c>
      <c r="E36" s="78">
        <v>2584.4897708605822</v>
      </c>
      <c r="F36" s="84">
        <v>755.1</v>
      </c>
      <c r="G36" s="53">
        <v>2102.5321433333334</v>
      </c>
      <c r="H36" s="78">
        <v>2784.4419856089703</v>
      </c>
      <c r="I36" s="84">
        <v>755.11</v>
      </c>
      <c r="J36" s="53">
        <v>1925.1785986666666</v>
      </c>
      <c r="K36" s="78">
        <v>2549.5339734166764</v>
      </c>
      <c r="L36" s="82">
        <v>755.69999999999993</v>
      </c>
      <c r="M36" s="53">
        <v>1994.6284015555555</v>
      </c>
      <c r="N36" s="78">
        <v>2639.4447552673755</v>
      </c>
    </row>
    <row r="37" spans="1:14" ht="19.5" customHeight="1" outlineLevel="1" thickBot="1" x14ac:dyDescent="0.25">
      <c r="A37" s="102">
        <v>33</v>
      </c>
      <c r="B37" s="91" t="s">
        <v>40</v>
      </c>
      <c r="C37" s="92">
        <v>275.25</v>
      </c>
      <c r="D37" s="93">
        <v>901.92804333333322</v>
      </c>
      <c r="E37" s="94">
        <v>3276.7594671510742</v>
      </c>
      <c r="F37" s="92">
        <v>307.36</v>
      </c>
      <c r="G37" s="93">
        <v>922.40801466666653</v>
      </c>
      <c r="H37" s="94">
        <v>3001.0672002429283</v>
      </c>
      <c r="I37" s="92">
        <v>228.62</v>
      </c>
      <c r="J37" s="93">
        <v>702.94257303944414</v>
      </c>
      <c r="K37" s="94">
        <v>3074.7203789670375</v>
      </c>
      <c r="L37" s="95">
        <v>270.41000000000003</v>
      </c>
      <c r="M37" s="93">
        <v>842.4262103464813</v>
      </c>
      <c r="N37" s="94">
        <v>3115.3663338873607</v>
      </c>
    </row>
    <row r="38" spans="1:14" ht="19.5" customHeight="1" thickBot="1" x14ac:dyDescent="0.25">
      <c r="A38" s="151" t="s">
        <v>41</v>
      </c>
      <c r="B38" s="166"/>
      <c r="C38" s="96">
        <v>7038.44</v>
      </c>
      <c r="D38" s="97">
        <v>18565.815505950275</v>
      </c>
      <c r="E38" s="98">
        <v>2637.7742093347783</v>
      </c>
      <c r="F38" s="96">
        <v>7165.8499999999985</v>
      </c>
      <c r="G38" s="97">
        <v>19125.472129734775</v>
      </c>
      <c r="H38" s="98">
        <v>2668.9746687043103</v>
      </c>
      <c r="I38" s="96">
        <v>7413.9900000000007</v>
      </c>
      <c r="J38" s="97">
        <v>18590.298689129067</v>
      </c>
      <c r="K38" s="98">
        <v>2507.4620668667026</v>
      </c>
      <c r="L38" s="99">
        <v>7206.0933333333332</v>
      </c>
      <c r="M38" s="97">
        <v>18760.528774938037</v>
      </c>
      <c r="N38" s="98">
        <v>2603.4257269687555</v>
      </c>
    </row>
    <row r="39" spans="1:14" ht="34.5" customHeight="1" x14ac:dyDescent="0.2">
      <c r="A39" s="153" t="s">
        <v>247</v>
      </c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</row>
    <row r="40" spans="1:14" ht="19.5" customHeight="1" thickBot="1" x14ac:dyDescent="0.25">
      <c r="A40" s="50"/>
      <c r="B40" s="138" t="s">
        <v>42</v>
      </c>
      <c r="C40" s="52"/>
      <c r="D40" s="52"/>
      <c r="E40" s="52"/>
      <c r="F40" s="52"/>
      <c r="G40" s="52"/>
      <c r="H40" s="52"/>
      <c r="I40" s="52"/>
      <c r="J40" s="52"/>
      <c r="K40" s="155" t="s">
        <v>1</v>
      </c>
      <c r="L40" s="154"/>
      <c r="M40" s="154"/>
      <c r="N40" s="154"/>
    </row>
    <row r="41" spans="1:14" ht="19.5" customHeight="1" x14ac:dyDescent="0.2">
      <c r="A41" s="156" t="s">
        <v>2</v>
      </c>
      <c r="B41" s="158" t="s">
        <v>3</v>
      </c>
      <c r="C41" s="148" t="s">
        <v>243</v>
      </c>
      <c r="D41" s="149"/>
      <c r="E41" s="150"/>
      <c r="F41" s="148" t="s">
        <v>244</v>
      </c>
      <c r="G41" s="149"/>
      <c r="H41" s="150"/>
      <c r="I41" s="148" t="s">
        <v>246</v>
      </c>
      <c r="J41" s="149"/>
      <c r="K41" s="150"/>
      <c r="L41" s="148" t="s">
        <v>4</v>
      </c>
      <c r="M41" s="149"/>
      <c r="N41" s="150"/>
    </row>
    <row r="42" spans="1:14" ht="19.5" customHeight="1" thickBot="1" x14ac:dyDescent="0.25">
      <c r="A42" s="157"/>
      <c r="B42" s="159"/>
      <c r="C42" s="85" t="s">
        <v>5</v>
      </c>
      <c r="D42" s="79" t="s">
        <v>6</v>
      </c>
      <c r="E42" s="80" t="s">
        <v>7</v>
      </c>
      <c r="F42" s="85" t="s">
        <v>5</v>
      </c>
      <c r="G42" s="79" t="s">
        <v>6</v>
      </c>
      <c r="H42" s="80" t="s">
        <v>7</v>
      </c>
      <c r="I42" s="85" t="s">
        <v>5</v>
      </c>
      <c r="J42" s="79" t="s">
        <v>6</v>
      </c>
      <c r="K42" s="80" t="s">
        <v>7</v>
      </c>
      <c r="L42" s="85" t="s">
        <v>5</v>
      </c>
      <c r="M42" s="79" t="s">
        <v>6</v>
      </c>
      <c r="N42" s="80" t="s">
        <v>7</v>
      </c>
    </row>
    <row r="43" spans="1:14" ht="19.5" customHeight="1" outlineLevel="1" x14ac:dyDescent="0.2">
      <c r="A43" s="100">
        <v>1</v>
      </c>
      <c r="B43" s="86" t="s">
        <v>8</v>
      </c>
      <c r="C43" s="87">
        <v>0</v>
      </c>
      <c r="D43" s="88">
        <v>0</v>
      </c>
      <c r="E43" s="89">
        <v>0</v>
      </c>
      <c r="F43" s="87">
        <v>0</v>
      </c>
      <c r="G43" s="88">
        <v>0</v>
      </c>
      <c r="H43" s="89">
        <v>0</v>
      </c>
      <c r="I43" s="87">
        <v>0</v>
      </c>
      <c r="J43" s="88">
        <v>0</v>
      </c>
      <c r="K43" s="89">
        <v>0</v>
      </c>
      <c r="L43" s="87">
        <v>0</v>
      </c>
      <c r="M43" s="88">
        <v>0</v>
      </c>
      <c r="N43" s="89">
        <v>0</v>
      </c>
    </row>
    <row r="44" spans="1:14" ht="19.5" customHeight="1" outlineLevel="1" x14ac:dyDescent="0.2">
      <c r="A44" s="101">
        <v>2</v>
      </c>
      <c r="B44" s="81" t="s">
        <v>9</v>
      </c>
      <c r="C44" s="84">
        <v>0</v>
      </c>
      <c r="D44" s="53">
        <v>0</v>
      </c>
      <c r="E44" s="78">
        <v>0</v>
      </c>
      <c r="F44" s="84">
        <v>0</v>
      </c>
      <c r="G44" s="53">
        <v>0</v>
      </c>
      <c r="H44" s="78">
        <v>0</v>
      </c>
      <c r="I44" s="84">
        <v>0</v>
      </c>
      <c r="J44" s="53">
        <v>0</v>
      </c>
      <c r="K44" s="78">
        <v>0</v>
      </c>
      <c r="L44" s="84">
        <v>0</v>
      </c>
      <c r="M44" s="53">
        <v>0</v>
      </c>
      <c r="N44" s="78">
        <v>0</v>
      </c>
    </row>
    <row r="45" spans="1:14" ht="19.5" customHeight="1" outlineLevel="1" x14ac:dyDescent="0.2">
      <c r="A45" s="101">
        <v>3</v>
      </c>
      <c r="B45" s="81" t="s">
        <v>10</v>
      </c>
      <c r="C45" s="84">
        <v>0</v>
      </c>
      <c r="D45" s="53">
        <v>0</v>
      </c>
      <c r="E45" s="78">
        <v>0</v>
      </c>
      <c r="F45" s="84">
        <v>0</v>
      </c>
      <c r="G45" s="53">
        <v>0</v>
      </c>
      <c r="H45" s="78">
        <v>0</v>
      </c>
      <c r="I45" s="84">
        <v>0</v>
      </c>
      <c r="J45" s="53">
        <v>0</v>
      </c>
      <c r="K45" s="78">
        <v>0</v>
      </c>
      <c r="L45" s="84">
        <v>0</v>
      </c>
      <c r="M45" s="53">
        <v>0</v>
      </c>
      <c r="N45" s="78">
        <v>0</v>
      </c>
    </row>
    <row r="46" spans="1:14" ht="19.5" customHeight="1" outlineLevel="1" x14ac:dyDescent="0.2">
      <c r="A46" s="101">
        <v>4</v>
      </c>
      <c r="B46" s="81" t="s">
        <v>11</v>
      </c>
      <c r="C46" s="84">
        <v>0</v>
      </c>
      <c r="D46" s="53">
        <v>0</v>
      </c>
      <c r="E46" s="78">
        <v>0</v>
      </c>
      <c r="F46" s="84">
        <v>0</v>
      </c>
      <c r="G46" s="53">
        <v>0</v>
      </c>
      <c r="H46" s="78">
        <v>0</v>
      </c>
      <c r="I46" s="84">
        <v>0</v>
      </c>
      <c r="J46" s="53">
        <v>0</v>
      </c>
      <c r="K46" s="78">
        <v>0</v>
      </c>
      <c r="L46" s="84">
        <v>0</v>
      </c>
      <c r="M46" s="53">
        <v>0</v>
      </c>
      <c r="N46" s="78">
        <v>0</v>
      </c>
    </row>
    <row r="47" spans="1:14" ht="19.5" customHeight="1" outlineLevel="1" x14ac:dyDescent="0.2">
      <c r="A47" s="101">
        <v>5</v>
      </c>
      <c r="B47" s="81" t="s">
        <v>12</v>
      </c>
      <c r="C47" s="84">
        <v>6.7</v>
      </c>
      <c r="D47" s="53">
        <v>10.096453333333335</v>
      </c>
      <c r="E47" s="78">
        <v>1506.9333333333334</v>
      </c>
      <c r="F47" s="84">
        <v>6.54</v>
      </c>
      <c r="G47" s="53">
        <v>9.0339200000000002</v>
      </c>
      <c r="H47" s="78">
        <v>1381.3333333333333</v>
      </c>
      <c r="I47" s="84">
        <v>6.7</v>
      </c>
      <c r="J47" s="53">
        <v>9.1334399999999984</v>
      </c>
      <c r="K47" s="78">
        <v>1363.1999999999998</v>
      </c>
      <c r="L47" s="84">
        <v>6.6466666666666674</v>
      </c>
      <c r="M47" s="53">
        <v>9.4212711111111105</v>
      </c>
      <c r="N47" s="78">
        <v>1417.4429956536273</v>
      </c>
    </row>
    <row r="48" spans="1:14" ht="19.5" customHeight="1" outlineLevel="1" x14ac:dyDescent="0.2">
      <c r="A48" s="101">
        <v>6</v>
      </c>
      <c r="B48" s="81" t="s">
        <v>13</v>
      </c>
      <c r="C48" s="84">
        <v>0</v>
      </c>
      <c r="D48" s="53">
        <v>0</v>
      </c>
      <c r="E48" s="78">
        <v>0</v>
      </c>
      <c r="F48" s="84">
        <v>0</v>
      </c>
      <c r="G48" s="53">
        <v>0</v>
      </c>
      <c r="H48" s="78">
        <v>0</v>
      </c>
      <c r="I48" s="84">
        <v>0</v>
      </c>
      <c r="J48" s="53">
        <v>0</v>
      </c>
      <c r="K48" s="78">
        <v>0</v>
      </c>
      <c r="L48" s="84">
        <v>0</v>
      </c>
      <c r="M48" s="53">
        <v>0</v>
      </c>
      <c r="N48" s="78">
        <v>0</v>
      </c>
    </row>
    <row r="49" spans="1:14" ht="19.5" customHeight="1" outlineLevel="1" x14ac:dyDescent="0.2">
      <c r="A49" s="101">
        <v>7</v>
      </c>
      <c r="B49" s="81" t="s">
        <v>14</v>
      </c>
      <c r="C49" s="84">
        <v>0</v>
      </c>
      <c r="D49" s="53">
        <v>0</v>
      </c>
      <c r="E49" s="78">
        <v>0</v>
      </c>
      <c r="F49" s="84">
        <v>0</v>
      </c>
      <c r="G49" s="53">
        <v>0</v>
      </c>
      <c r="H49" s="78">
        <v>0</v>
      </c>
      <c r="I49" s="84">
        <v>0</v>
      </c>
      <c r="J49" s="53">
        <v>0</v>
      </c>
      <c r="K49" s="78">
        <v>0</v>
      </c>
      <c r="L49" s="84">
        <v>0</v>
      </c>
      <c r="M49" s="53">
        <v>0</v>
      </c>
      <c r="N49" s="78">
        <v>0</v>
      </c>
    </row>
    <row r="50" spans="1:14" ht="19.5" customHeight="1" outlineLevel="1" x14ac:dyDescent="0.2">
      <c r="A50" s="101">
        <v>8</v>
      </c>
      <c r="B50" s="81" t="s">
        <v>15</v>
      </c>
      <c r="C50" s="84">
        <v>0</v>
      </c>
      <c r="D50" s="53">
        <v>0</v>
      </c>
      <c r="E50" s="78">
        <v>0</v>
      </c>
      <c r="F50" s="84">
        <v>0</v>
      </c>
      <c r="G50" s="53">
        <v>0</v>
      </c>
      <c r="H50" s="78">
        <v>0</v>
      </c>
      <c r="I50" s="84">
        <v>0.6</v>
      </c>
      <c r="J50" s="53">
        <v>1.2450275302053362</v>
      </c>
      <c r="K50" s="78">
        <v>2075.0458836755606</v>
      </c>
      <c r="L50" s="84">
        <v>0.6</v>
      </c>
      <c r="M50" s="53">
        <v>1.2450275302053362</v>
      </c>
      <c r="N50" s="78">
        <v>2075.0458836755606</v>
      </c>
    </row>
    <row r="51" spans="1:14" ht="19.5" customHeight="1" outlineLevel="1" x14ac:dyDescent="0.2">
      <c r="A51" s="101">
        <v>9</v>
      </c>
      <c r="B51" s="81" t="s">
        <v>16</v>
      </c>
      <c r="C51" s="84">
        <v>25.37</v>
      </c>
      <c r="D51" s="53">
        <v>47.874854175033036</v>
      </c>
      <c r="E51" s="78">
        <v>1887.0655961778884</v>
      </c>
      <c r="F51" s="84">
        <v>3.04</v>
      </c>
      <c r="G51" s="53">
        <v>6.0187403899301612</v>
      </c>
      <c r="H51" s="78">
        <v>1979.848812477027</v>
      </c>
      <c r="I51" s="84">
        <v>6.3</v>
      </c>
      <c r="J51" s="53">
        <v>13.07278906715603</v>
      </c>
      <c r="K51" s="78">
        <v>2075.0458836755606</v>
      </c>
      <c r="L51" s="84">
        <v>11.57</v>
      </c>
      <c r="M51" s="53">
        <v>22.322127877373077</v>
      </c>
      <c r="N51" s="78">
        <v>1929.3109660650887</v>
      </c>
    </row>
    <row r="52" spans="1:14" ht="19.5" customHeight="1" outlineLevel="1" x14ac:dyDescent="0.2">
      <c r="A52" s="101">
        <v>10</v>
      </c>
      <c r="B52" s="81" t="s">
        <v>17</v>
      </c>
      <c r="C52" s="84">
        <v>0</v>
      </c>
      <c r="D52" s="53">
        <v>0</v>
      </c>
      <c r="E52" s="78">
        <v>0</v>
      </c>
      <c r="F52" s="84">
        <v>0</v>
      </c>
      <c r="G52" s="53">
        <v>0</v>
      </c>
      <c r="H52" s="78">
        <v>0</v>
      </c>
      <c r="I52" s="84">
        <v>0</v>
      </c>
      <c r="J52" s="53">
        <v>0</v>
      </c>
      <c r="K52" s="78">
        <v>0</v>
      </c>
      <c r="L52" s="84">
        <v>0</v>
      </c>
      <c r="M52" s="53">
        <v>0</v>
      </c>
      <c r="N52" s="78">
        <v>0</v>
      </c>
    </row>
    <row r="53" spans="1:14" ht="19.5" customHeight="1" outlineLevel="1" x14ac:dyDescent="0.2">
      <c r="A53" s="101">
        <v>11</v>
      </c>
      <c r="B53" s="81" t="s">
        <v>18</v>
      </c>
      <c r="C53" s="84">
        <v>0</v>
      </c>
      <c r="D53" s="53">
        <v>0</v>
      </c>
      <c r="E53" s="78">
        <v>0</v>
      </c>
      <c r="F53" s="84">
        <v>0</v>
      </c>
      <c r="G53" s="53">
        <v>0</v>
      </c>
      <c r="H53" s="78">
        <v>0</v>
      </c>
      <c r="I53" s="84">
        <v>0</v>
      </c>
      <c r="J53" s="53">
        <v>0</v>
      </c>
      <c r="K53" s="78">
        <v>0</v>
      </c>
      <c r="L53" s="84">
        <v>0</v>
      </c>
      <c r="M53" s="53">
        <v>0</v>
      </c>
      <c r="N53" s="78">
        <v>0</v>
      </c>
    </row>
    <row r="54" spans="1:14" ht="19.5" customHeight="1" outlineLevel="1" x14ac:dyDescent="0.2">
      <c r="A54" s="101">
        <v>12</v>
      </c>
      <c r="B54" s="81" t="s">
        <v>19</v>
      </c>
      <c r="C54" s="84">
        <v>0</v>
      </c>
      <c r="D54" s="53">
        <v>0</v>
      </c>
      <c r="E54" s="78">
        <v>0</v>
      </c>
      <c r="F54" s="84">
        <v>0</v>
      </c>
      <c r="G54" s="53">
        <v>0</v>
      </c>
      <c r="H54" s="78">
        <v>0</v>
      </c>
      <c r="I54" s="84">
        <v>0</v>
      </c>
      <c r="J54" s="53">
        <v>0</v>
      </c>
      <c r="K54" s="78">
        <v>0</v>
      </c>
      <c r="L54" s="84">
        <v>0</v>
      </c>
      <c r="M54" s="53">
        <v>0</v>
      </c>
      <c r="N54" s="78">
        <v>0</v>
      </c>
    </row>
    <row r="55" spans="1:14" ht="19.5" customHeight="1" outlineLevel="1" x14ac:dyDescent="0.2">
      <c r="A55" s="101">
        <v>13</v>
      </c>
      <c r="B55" s="81" t="s">
        <v>20</v>
      </c>
      <c r="C55" s="84">
        <v>0</v>
      </c>
      <c r="D55" s="53">
        <v>0</v>
      </c>
      <c r="E55" s="78">
        <v>0</v>
      </c>
      <c r="F55" s="84">
        <v>0</v>
      </c>
      <c r="G55" s="53">
        <v>0</v>
      </c>
      <c r="H55" s="78">
        <v>0</v>
      </c>
      <c r="I55" s="84">
        <v>0</v>
      </c>
      <c r="J55" s="53">
        <v>0</v>
      </c>
      <c r="K55" s="78">
        <v>0</v>
      </c>
      <c r="L55" s="84">
        <v>0</v>
      </c>
      <c r="M55" s="53">
        <v>0</v>
      </c>
      <c r="N55" s="78">
        <v>0</v>
      </c>
    </row>
    <row r="56" spans="1:14" ht="19.5" customHeight="1" outlineLevel="1" x14ac:dyDescent="0.2">
      <c r="A56" s="101">
        <v>14</v>
      </c>
      <c r="B56" s="81" t="s">
        <v>21</v>
      </c>
      <c r="C56" s="84">
        <v>0</v>
      </c>
      <c r="D56" s="53">
        <v>0</v>
      </c>
      <c r="E56" s="78">
        <v>0</v>
      </c>
      <c r="F56" s="84">
        <v>0</v>
      </c>
      <c r="G56" s="53">
        <v>0</v>
      </c>
      <c r="H56" s="78">
        <v>0</v>
      </c>
      <c r="I56" s="84">
        <v>0</v>
      </c>
      <c r="J56" s="53">
        <v>0</v>
      </c>
      <c r="K56" s="78">
        <v>0</v>
      </c>
      <c r="L56" s="84">
        <v>0</v>
      </c>
      <c r="M56" s="53">
        <v>0</v>
      </c>
      <c r="N56" s="78">
        <v>0</v>
      </c>
    </row>
    <row r="57" spans="1:14" ht="19.5" customHeight="1" outlineLevel="1" x14ac:dyDescent="0.2">
      <c r="A57" s="101">
        <v>15</v>
      </c>
      <c r="B57" s="81" t="s">
        <v>22</v>
      </c>
      <c r="C57" s="84">
        <v>0</v>
      </c>
      <c r="D57" s="53">
        <v>0</v>
      </c>
      <c r="E57" s="78">
        <v>0</v>
      </c>
      <c r="F57" s="84">
        <v>0</v>
      </c>
      <c r="G57" s="53">
        <v>0</v>
      </c>
      <c r="H57" s="78">
        <v>0</v>
      </c>
      <c r="I57" s="84">
        <v>0</v>
      </c>
      <c r="J57" s="53">
        <v>0</v>
      </c>
      <c r="K57" s="78">
        <v>0</v>
      </c>
      <c r="L57" s="84">
        <v>0</v>
      </c>
      <c r="M57" s="53">
        <v>0</v>
      </c>
      <c r="N57" s="78">
        <v>0</v>
      </c>
    </row>
    <row r="58" spans="1:14" ht="19.5" customHeight="1" outlineLevel="1" x14ac:dyDescent="0.2">
      <c r="A58" s="101">
        <v>16</v>
      </c>
      <c r="B58" s="81" t="s">
        <v>23</v>
      </c>
      <c r="C58" s="84">
        <v>0.1</v>
      </c>
      <c r="D58" s="53">
        <v>0.18870655961778884</v>
      </c>
      <c r="E58" s="78">
        <v>1887.0655961778884</v>
      </c>
      <c r="F58" s="84">
        <v>0.05</v>
      </c>
      <c r="G58" s="53">
        <v>9.8992440623851347E-2</v>
      </c>
      <c r="H58" s="78">
        <v>1979.848812477027</v>
      </c>
      <c r="I58" s="84">
        <v>0.1</v>
      </c>
      <c r="J58" s="53">
        <v>0.20750458836755606</v>
      </c>
      <c r="K58" s="78">
        <v>2075.0458836755606</v>
      </c>
      <c r="L58" s="84">
        <v>8.3333333333333329E-2</v>
      </c>
      <c r="M58" s="53">
        <v>0.16506786286973207</v>
      </c>
      <c r="N58" s="78">
        <v>1980.8143544367849</v>
      </c>
    </row>
    <row r="59" spans="1:14" ht="19.5" customHeight="1" outlineLevel="1" x14ac:dyDescent="0.2">
      <c r="A59" s="101">
        <v>17</v>
      </c>
      <c r="B59" s="81" t="s">
        <v>24</v>
      </c>
      <c r="C59" s="84">
        <v>0</v>
      </c>
      <c r="D59" s="53">
        <v>0</v>
      </c>
      <c r="E59" s="78">
        <v>0</v>
      </c>
      <c r="F59" s="84">
        <v>0</v>
      </c>
      <c r="G59" s="53">
        <v>0</v>
      </c>
      <c r="H59" s="78">
        <v>0</v>
      </c>
      <c r="I59" s="84">
        <v>0</v>
      </c>
      <c r="J59" s="53">
        <v>0</v>
      </c>
      <c r="K59" s="78">
        <v>0</v>
      </c>
      <c r="L59" s="84">
        <v>0</v>
      </c>
      <c r="M59" s="53">
        <v>0</v>
      </c>
      <c r="N59" s="78">
        <v>0</v>
      </c>
    </row>
    <row r="60" spans="1:14" ht="19.5" customHeight="1" outlineLevel="1" x14ac:dyDescent="0.2">
      <c r="A60" s="101">
        <v>18</v>
      </c>
      <c r="B60" s="81" t="s">
        <v>25</v>
      </c>
      <c r="C60" s="84">
        <v>0</v>
      </c>
      <c r="D60" s="53">
        <v>0</v>
      </c>
      <c r="E60" s="78">
        <v>0</v>
      </c>
      <c r="F60" s="84">
        <v>0</v>
      </c>
      <c r="G60" s="53">
        <v>0</v>
      </c>
      <c r="H60" s="78">
        <v>0</v>
      </c>
      <c r="I60" s="84">
        <v>0</v>
      </c>
      <c r="J60" s="53">
        <v>0</v>
      </c>
      <c r="K60" s="78">
        <v>0</v>
      </c>
      <c r="L60" s="84">
        <v>0</v>
      </c>
      <c r="M60" s="53">
        <v>0</v>
      </c>
      <c r="N60" s="78">
        <v>0</v>
      </c>
    </row>
    <row r="61" spans="1:14" ht="19.5" customHeight="1" outlineLevel="1" x14ac:dyDescent="0.2">
      <c r="A61" s="101">
        <v>19</v>
      </c>
      <c r="B61" s="81" t="s">
        <v>26</v>
      </c>
      <c r="C61" s="84">
        <v>0</v>
      </c>
      <c r="D61" s="53">
        <v>0</v>
      </c>
      <c r="E61" s="78">
        <v>0</v>
      </c>
      <c r="F61" s="84">
        <v>0</v>
      </c>
      <c r="G61" s="53">
        <v>0</v>
      </c>
      <c r="H61" s="78">
        <v>0</v>
      </c>
      <c r="I61" s="84">
        <v>0</v>
      </c>
      <c r="J61" s="53">
        <v>0</v>
      </c>
      <c r="K61" s="78">
        <v>0</v>
      </c>
      <c r="L61" s="84">
        <v>0</v>
      </c>
      <c r="M61" s="53">
        <v>0</v>
      </c>
      <c r="N61" s="78">
        <v>0</v>
      </c>
    </row>
    <row r="62" spans="1:14" ht="19.5" customHeight="1" outlineLevel="1" x14ac:dyDescent="0.2">
      <c r="A62" s="101">
        <v>20</v>
      </c>
      <c r="B62" s="81" t="s">
        <v>27</v>
      </c>
      <c r="C62" s="84">
        <v>0</v>
      </c>
      <c r="D62" s="53">
        <v>0</v>
      </c>
      <c r="E62" s="78">
        <v>0</v>
      </c>
      <c r="F62" s="84">
        <v>0</v>
      </c>
      <c r="G62" s="53">
        <v>0</v>
      </c>
      <c r="H62" s="78">
        <v>0</v>
      </c>
      <c r="I62" s="84">
        <v>0</v>
      </c>
      <c r="J62" s="53">
        <v>0</v>
      </c>
      <c r="K62" s="78">
        <v>0</v>
      </c>
      <c r="L62" s="84">
        <v>0</v>
      </c>
      <c r="M62" s="53">
        <v>0</v>
      </c>
      <c r="N62" s="78">
        <v>0</v>
      </c>
    </row>
    <row r="63" spans="1:14" ht="19.5" customHeight="1" outlineLevel="1" x14ac:dyDescent="0.2">
      <c r="A63" s="101">
        <v>21</v>
      </c>
      <c r="B63" s="81" t="s">
        <v>28</v>
      </c>
      <c r="C63" s="84">
        <v>0</v>
      </c>
      <c r="D63" s="53">
        <v>0</v>
      </c>
      <c r="E63" s="78">
        <v>0</v>
      </c>
      <c r="F63" s="84">
        <v>0</v>
      </c>
      <c r="G63" s="53">
        <v>0</v>
      </c>
      <c r="H63" s="78">
        <v>0</v>
      </c>
      <c r="I63" s="84">
        <v>0</v>
      </c>
      <c r="J63" s="53">
        <v>0</v>
      </c>
      <c r="K63" s="78">
        <v>0</v>
      </c>
      <c r="L63" s="84">
        <v>0</v>
      </c>
      <c r="M63" s="53">
        <v>0</v>
      </c>
      <c r="N63" s="78">
        <v>0</v>
      </c>
    </row>
    <row r="64" spans="1:14" ht="19.5" customHeight="1" outlineLevel="1" x14ac:dyDescent="0.2">
      <c r="A64" s="101">
        <v>22</v>
      </c>
      <c r="B64" s="81" t="s">
        <v>29</v>
      </c>
      <c r="C64" s="84">
        <v>168.15</v>
      </c>
      <c r="D64" s="53">
        <v>203.83332450670642</v>
      </c>
      <c r="E64" s="78">
        <v>1212.2112667660208</v>
      </c>
      <c r="F64" s="84">
        <v>181.66</v>
      </c>
      <c r="G64" s="53">
        <v>322.46630351176327</v>
      </c>
      <c r="H64" s="78">
        <v>1775.1090141570148</v>
      </c>
      <c r="I64" s="84">
        <v>196.15</v>
      </c>
      <c r="J64" s="53">
        <v>366.5537857280068</v>
      </c>
      <c r="K64" s="78">
        <v>1868.7422163038837</v>
      </c>
      <c r="L64" s="84">
        <v>181.98666666666668</v>
      </c>
      <c r="M64" s="53">
        <v>297.61780458215884</v>
      </c>
      <c r="N64" s="78">
        <v>1635.3824707789518</v>
      </c>
    </row>
    <row r="65" spans="1:14" ht="19.5" customHeight="1" outlineLevel="1" x14ac:dyDescent="0.2">
      <c r="A65" s="101">
        <v>23</v>
      </c>
      <c r="B65" s="81" t="s">
        <v>30</v>
      </c>
      <c r="C65" s="84">
        <v>53.53</v>
      </c>
      <c r="D65" s="53">
        <v>117.51347504738429</v>
      </c>
      <c r="E65" s="78">
        <v>2195.2825527252808</v>
      </c>
      <c r="F65" s="84">
        <v>50.51</v>
      </c>
      <c r="G65" s="53">
        <v>102.17418568564146</v>
      </c>
      <c r="H65" s="78">
        <v>2022.8506372132542</v>
      </c>
      <c r="I65" s="84">
        <v>23.69</v>
      </c>
      <c r="J65" s="53">
        <v>63.025681379608201</v>
      </c>
      <c r="K65" s="78">
        <v>2660.433996606509</v>
      </c>
      <c r="L65" s="84">
        <v>42.576666666666661</v>
      </c>
      <c r="M65" s="53">
        <v>94.237780704211318</v>
      </c>
      <c r="N65" s="78">
        <v>2213.366805861066</v>
      </c>
    </row>
    <row r="66" spans="1:14" ht="19.5" customHeight="1" outlineLevel="1" x14ac:dyDescent="0.2">
      <c r="A66" s="101">
        <v>24</v>
      </c>
      <c r="B66" s="81" t="s">
        <v>31</v>
      </c>
      <c r="C66" s="84">
        <v>194.61</v>
      </c>
      <c r="D66" s="53">
        <v>176.24531948189707</v>
      </c>
      <c r="E66" s="78">
        <v>905.63341802526634</v>
      </c>
      <c r="F66" s="84">
        <v>133.68</v>
      </c>
      <c r="G66" s="53">
        <v>132.62674041536613</v>
      </c>
      <c r="H66" s="78">
        <v>992.121038415366</v>
      </c>
      <c r="I66" s="84">
        <v>90.06</v>
      </c>
      <c r="J66" s="53">
        <v>110.40367200000001</v>
      </c>
      <c r="K66" s="78">
        <v>1225.8902065289808</v>
      </c>
      <c r="L66" s="84">
        <v>139.45000000000002</v>
      </c>
      <c r="M66" s="53">
        <v>139.75857729908773</v>
      </c>
      <c r="N66" s="78">
        <v>1002.2128167736661</v>
      </c>
    </row>
    <row r="67" spans="1:14" ht="19.5" customHeight="1" outlineLevel="1" x14ac:dyDescent="0.2">
      <c r="A67" s="101">
        <v>25</v>
      </c>
      <c r="B67" s="81" t="s">
        <v>32</v>
      </c>
      <c r="C67" s="84">
        <v>0</v>
      </c>
      <c r="D67" s="53">
        <v>0</v>
      </c>
      <c r="E67" s="78">
        <v>0</v>
      </c>
      <c r="F67" s="84">
        <v>0</v>
      </c>
      <c r="G67" s="53">
        <v>0</v>
      </c>
      <c r="H67" s="78">
        <v>0</v>
      </c>
      <c r="I67" s="84">
        <v>0</v>
      </c>
      <c r="J67" s="53">
        <v>0</v>
      </c>
      <c r="K67" s="78">
        <v>0</v>
      </c>
      <c r="L67" s="84">
        <v>0</v>
      </c>
      <c r="M67" s="53">
        <v>0</v>
      </c>
      <c r="N67" s="78">
        <v>0</v>
      </c>
    </row>
    <row r="68" spans="1:14" ht="19.5" customHeight="1" outlineLevel="1" x14ac:dyDescent="0.2">
      <c r="A68" s="101">
        <v>26</v>
      </c>
      <c r="B68" s="81" t="s">
        <v>33</v>
      </c>
      <c r="C68" s="84">
        <v>85.3</v>
      </c>
      <c r="D68" s="53">
        <v>59.417985222856188</v>
      </c>
      <c r="E68" s="78">
        <v>696.57661457041252</v>
      </c>
      <c r="F68" s="84">
        <v>78.91</v>
      </c>
      <c r="G68" s="53">
        <v>60.064418878093313</v>
      </c>
      <c r="H68" s="78">
        <v>761.17626255345726</v>
      </c>
      <c r="I68" s="84">
        <v>43.16</v>
      </c>
      <c r="J68" s="53">
        <v>44.394390018676418</v>
      </c>
      <c r="K68" s="78">
        <v>1028.6003248071459</v>
      </c>
      <c r="L68" s="84">
        <v>69.123333333333321</v>
      </c>
      <c r="M68" s="53">
        <v>54.625598039875307</v>
      </c>
      <c r="N68" s="78">
        <v>790.26278690083404</v>
      </c>
    </row>
    <row r="69" spans="1:14" ht="19.5" customHeight="1" outlineLevel="1" x14ac:dyDescent="0.2">
      <c r="A69" s="101">
        <v>27</v>
      </c>
      <c r="B69" s="81" t="s">
        <v>34</v>
      </c>
      <c r="C69" s="84">
        <v>116.87</v>
      </c>
      <c r="D69" s="53">
        <v>120.01266957479682</v>
      </c>
      <c r="E69" s="78">
        <v>1026.8903018293558</v>
      </c>
      <c r="F69" s="84">
        <v>112.93</v>
      </c>
      <c r="G69" s="53">
        <v>116.44460515866085</v>
      </c>
      <c r="H69" s="78">
        <v>1031.121979621543</v>
      </c>
      <c r="I69" s="84">
        <v>106.65</v>
      </c>
      <c r="J69" s="53">
        <v>109.98148339362209</v>
      </c>
      <c r="K69" s="78">
        <v>1031.2375376804696</v>
      </c>
      <c r="L69" s="84">
        <v>112.15000000000002</v>
      </c>
      <c r="M69" s="53">
        <v>115.47958604235991</v>
      </c>
      <c r="N69" s="78">
        <v>1029.6886851748541</v>
      </c>
    </row>
    <row r="70" spans="1:14" ht="19.5" customHeight="1" outlineLevel="1" x14ac:dyDescent="0.2">
      <c r="A70" s="101">
        <v>28</v>
      </c>
      <c r="B70" s="81" t="s">
        <v>35</v>
      </c>
      <c r="C70" s="84">
        <v>13.27</v>
      </c>
      <c r="D70" s="53">
        <v>7.1268746666666676</v>
      </c>
      <c r="E70" s="78">
        <v>537.06666666666672</v>
      </c>
      <c r="F70" s="84">
        <v>10.8</v>
      </c>
      <c r="G70" s="53">
        <v>5.1026400000000001</v>
      </c>
      <c r="H70" s="78">
        <v>472.4666666666667</v>
      </c>
      <c r="I70" s="84">
        <v>7.45</v>
      </c>
      <c r="J70" s="53">
        <v>4.6989633333333334</v>
      </c>
      <c r="K70" s="78">
        <v>630.73333333333335</v>
      </c>
      <c r="L70" s="84">
        <v>10.506666666666666</v>
      </c>
      <c r="M70" s="53">
        <v>5.6428259999999995</v>
      </c>
      <c r="N70" s="78">
        <v>537.07100253807107</v>
      </c>
    </row>
    <row r="71" spans="1:14" ht="19.5" customHeight="1" outlineLevel="1" x14ac:dyDescent="0.2">
      <c r="A71" s="101">
        <v>29</v>
      </c>
      <c r="B71" s="81" t="s">
        <v>36</v>
      </c>
      <c r="C71" s="84">
        <v>89.53</v>
      </c>
      <c r="D71" s="53">
        <v>111.50072152929039</v>
      </c>
      <c r="E71" s="78">
        <v>1245.4006649088617</v>
      </c>
      <c r="F71" s="84">
        <v>81.510000000000005</v>
      </c>
      <c r="G71" s="53">
        <v>108.03118000000001</v>
      </c>
      <c r="H71" s="78">
        <v>1325.3733284259599</v>
      </c>
      <c r="I71" s="84">
        <v>97.79</v>
      </c>
      <c r="J71" s="53">
        <v>112.92183933333332</v>
      </c>
      <c r="K71" s="78">
        <v>1154.7381054640896</v>
      </c>
      <c r="L71" s="84">
        <v>89.610000000000014</v>
      </c>
      <c r="M71" s="53">
        <v>110.81791362087456</v>
      </c>
      <c r="N71" s="78">
        <v>1236.6690505621532</v>
      </c>
    </row>
    <row r="72" spans="1:14" ht="19.5" customHeight="1" outlineLevel="1" x14ac:dyDescent="0.2">
      <c r="A72" s="101">
        <v>30</v>
      </c>
      <c r="B72" s="81" t="s">
        <v>37</v>
      </c>
      <c r="C72" s="84">
        <v>283.7</v>
      </c>
      <c r="D72" s="53">
        <v>499.98124666666666</v>
      </c>
      <c r="E72" s="78">
        <v>1762.3589942427448</v>
      </c>
      <c r="F72" s="84">
        <v>307.57</v>
      </c>
      <c r="G72" s="53">
        <v>626.16810666666652</v>
      </c>
      <c r="H72" s="78">
        <v>2035.8555992673751</v>
      </c>
      <c r="I72" s="84">
        <v>307.98</v>
      </c>
      <c r="J72" s="53">
        <v>456.65839</v>
      </c>
      <c r="K72" s="78">
        <v>1482.7533930774725</v>
      </c>
      <c r="L72" s="84">
        <v>299.75</v>
      </c>
      <c r="M72" s="53">
        <v>527.60258111111114</v>
      </c>
      <c r="N72" s="78">
        <v>1760.1420554165509</v>
      </c>
    </row>
    <row r="73" spans="1:14" ht="19.5" customHeight="1" outlineLevel="1" x14ac:dyDescent="0.2">
      <c r="A73" s="101">
        <v>31</v>
      </c>
      <c r="B73" s="81" t="s">
        <v>38</v>
      </c>
      <c r="C73" s="84">
        <v>234.8</v>
      </c>
      <c r="D73" s="53">
        <v>703.87039333333337</v>
      </c>
      <c r="E73" s="78">
        <v>2997.7444349801249</v>
      </c>
      <c r="F73" s="84">
        <v>216.95</v>
      </c>
      <c r="G73" s="53">
        <v>666.0665399999998</v>
      </c>
      <c r="H73" s="78">
        <v>3070.1384650841201</v>
      </c>
      <c r="I73" s="84">
        <v>102.02</v>
      </c>
      <c r="J73" s="53">
        <v>288.28334666666666</v>
      </c>
      <c r="K73" s="78">
        <v>2825.7532509965367</v>
      </c>
      <c r="L73" s="84">
        <v>184.59</v>
      </c>
      <c r="M73" s="53">
        <v>552.74009333333322</v>
      </c>
      <c r="N73" s="78">
        <v>2994.4205717174996</v>
      </c>
    </row>
    <row r="74" spans="1:14" ht="19.5" customHeight="1" outlineLevel="1" x14ac:dyDescent="0.2">
      <c r="A74" s="101">
        <v>32</v>
      </c>
      <c r="B74" s="81" t="s">
        <v>39</v>
      </c>
      <c r="C74" s="84">
        <v>0</v>
      </c>
      <c r="D74" s="53">
        <v>0</v>
      </c>
      <c r="E74" s="78">
        <v>0</v>
      </c>
      <c r="F74" s="84">
        <v>0</v>
      </c>
      <c r="G74" s="53">
        <v>0</v>
      </c>
      <c r="H74" s="78">
        <v>0</v>
      </c>
      <c r="I74" s="84">
        <v>0</v>
      </c>
      <c r="J74" s="53">
        <v>0</v>
      </c>
      <c r="K74" s="78">
        <v>0</v>
      </c>
      <c r="L74" s="84">
        <v>0</v>
      </c>
      <c r="M74" s="53">
        <v>0</v>
      </c>
      <c r="N74" s="78">
        <v>0</v>
      </c>
    </row>
    <row r="75" spans="1:14" ht="19.5" customHeight="1" outlineLevel="1" thickBot="1" x14ac:dyDescent="0.25">
      <c r="A75" s="102">
        <v>33</v>
      </c>
      <c r="B75" s="91" t="s">
        <v>40</v>
      </c>
      <c r="C75" s="92">
        <v>369.24</v>
      </c>
      <c r="D75" s="93">
        <v>1039.3334203816739</v>
      </c>
      <c r="E75" s="94">
        <v>2814.7909770926062</v>
      </c>
      <c r="F75" s="92">
        <v>381.13</v>
      </c>
      <c r="G75" s="93">
        <v>944.7213760471825</v>
      </c>
      <c r="H75" s="94">
        <v>2478.7379005777098</v>
      </c>
      <c r="I75" s="92">
        <v>459.81</v>
      </c>
      <c r="J75" s="93">
        <v>1425.0406476296905</v>
      </c>
      <c r="K75" s="94">
        <v>3099.194553467064</v>
      </c>
      <c r="L75" s="92">
        <v>403.39333333333337</v>
      </c>
      <c r="M75" s="93">
        <v>1136.3651480195156</v>
      </c>
      <c r="N75" s="94">
        <v>2817.0151911769708</v>
      </c>
    </row>
    <row r="76" spans="1:14" ht="19.5" customHeight="1" thickBot="1" x14ac:dyDescent="0.25">
      <c r="A76" s="151" t="s">
        <v>41</v>
      </c>
      <c r="B76" s="152"/>
      <c r="C76" s="96">
        <v>1641.1699999999998</v>
      </c>
      <c r="D76" s="97">
        <v>3096.9954444792561</v>
      </c>
      <c r="E76" s="98">
        <v>1887.065596177883</v>
      </c>
      <c r="F76" s="96">
        <v>1565.2799999999997</v>
      </c>
      <c r="G76" s="97">
        <v>3099.0177491939276</v>
      </c>
      <c r="H76" s="98">
        <v>1979.8488124769551</v>
      </c>
      <c r="I76" s="96">
        <v>1448.46</v>
      </c>
      <c r="J76" s="97">
        <v>3005.6209606686662</v>
      </c>
      <c r="K76" s="98">
        <v>2075.0458836755356</v>
      </c>
      <c r="L76" s="96">
        <v>1551.6366666666665</v>
      </c>
      <c r="M76" s="97">
        <v>3067.2113847806163</v>
      </c>
      <c r="N76" s="98">
        <v>1976.7587674824756</v>
      </c>
    </row>
    <row r="77" spans="1:14" ht="34.5" customHeight="1" x14ac:dyDescent="0.2">
      <c r="A77" s="153" t="s">
        <v>247</v>
      </c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</row>
    <row r="78" spans="1:14" ht="19.5" customHeight="1" thickBot="1" x14ac:dyDescent="0.25">
      <c r="A78" s="50"/>
      <c r="B78" s="51" t="s">
        <v>43</v>
      </c>
      <c r="C78" s="52"/>
      <c r="D78" s="52"/>
      <c r="E78" s="52"/>
      <c r="F78" s="52"/>
      <c r="G78" s="52"/>
      <c r="H78" s="52"/>
      <c r="I78" s="52"/>
      <c r="J78" s="52"/>
      <c r="K78" s="155" t="s">
        <v>1</v>
      </c>
      <c r="L78" s="154"/>
      <c r="M78" s="154"/>
      <c r="N78" s="154"/>
    </row>
    <row r="79" spans="1:14" ht="19.5" customHeight="1" x14ac:dyDescent="0.2">
      <c r="A79" s="156" t="s">
        <v>2</v>
      </c>
      <c r="B79" s="158" t="s">
        <v>3</v>
      </c>
      <c r="C79" s="148" t="s">
        <v>243</v>
      </c>
      <c r="D79" s="149"/>
      <c r="E79" s="150"/>
      <c r="F79" s="148" t="s">
        <v>244</v>
      </c>
      <c r="G79" s="149"/>
      <c r="H79" s="150"/>
      <c r="I79" s="148" t="s">
        <v>246</v>
      </c>
      <c r="J79" s="149"/>
      <c r="K79" s="150"/>
      <c r="L79" s="148" t="s">
        <v>4</v>
      </c>
      <c r="M79" s="149"/>
      <c r="N79" s="150"/>
    </row>
    <row r="80" spans="1:14" ht="19.5" customHeight="1" thickBot="1" x14ac:dyDescent="0.25">
      <c r="A80" s="157"/>
      <c r="B80" s="159"/>
      <c r="C80" s="85" t="s">
        <v>5</v>
      </c>
      <c r="D80" s="79" t="s">
        <v>6</v>
      </c>
      <c r="E80" s="80" t="s">
        <v>7</v>
      </c>
      <c r="F80" s="85" t="s">
        <v>5</v>
      </c>
      <c r="G80" s="79" t="s">
        <v>6</v>
      </c>
      <c r="H80" s="80" t="s">
        <v>7</v>
      </c>
      <c r="I80" s="85" t="s">
        <v>5</v>
      </c>
      <c r="J80" s="79" t="s">
        <v>6</v>
      </c>
      <c r="K80" s="80" t="s">
        <v>7</v>
      </c>
      <c r="L80" s="85" t="s">
        <v>5</v>
      </c>
      <c r="M80" s="79" t="s">
        <v>6</v>
      </c>
      <c r="N80" s="80" t="s">
        <v>7</v>
      </c>
    </row>
    <row r="81" spans="1:14" ht="19.5" customHeight="1" outlineLevel="1" x14ac:dyDescent="0.2">
      <c r="A81" s="100">
        <v>1</v>
      </c>
      <c r="B81" s="86" t="s">
        <v>8</v>
      </c>
      <c r="C81" s="87">
        <v>0</v>
      </c>
      <c r="D81" s="88">
        <v>0</v>
      </c>
      <c r="E81" s="89">
        <v>0</v>
      </c>
      <c r="F81" s="87">
        <v>0</v>
      </c>
      <c r="G81" s="88">
        <v>0</v>
      </c>
      <c r="H81" s="89">
        <v>0</v>
      </c>
      <c r="I81" s="87">
        <v>0</v>
      </c>
      <c r="J81" s="88">
        <v>0</v>
      </c>
      <c r="K81" s="89">
        <v>0</v>
      </c>
      <c r="L81" s="87">
        <v>0</v>
      </c>
      <c r="M81" s="88">
        <v>0</v>
      </c>
      <c r="N81" s="89">
        <v>0</v>
      </c>
    </row>
    <row r="82" spans="1:14" ht="19.5" customHeight="1" outlineLevel="1" x14ac:dyDescent="0.2">
      <c r="A82" s="101">
        <v>2</v>
      </c>
      <c r="B82" s="81" t="s">
        <v>9</v>
      </c>
      <c r="C82" s="84">
        <v>0</v>
      </c>
      <c r="D82" s="53">
        <v>0</v>
      </c>
      <c r="E82" s="78">
        <v>0</v>
      </c>
      <c r="F82" s="84">
        <v>0</v>
      </c>
      <c r="G82" s="53">
        <v>0</v>
      </c>
      <c r="H82" s="78">
        <v>0</v>
      </c>
      <c r="I82" s="84">
        <v>0</v>
      </c>
      <c r="J82" s="53">
        <v>0</v>
      </c>
      <c r="K82" s="78">
        <v>0</v>
      </c>
      <c r="L82" s="84">
        <v>0</v>
      </c>
      <c r="M82" s="53">
        <v>0</v>
      </c>
      <c r="N82" s="78">
        <v>0</v>
      </c>
    </row>
    <row r="83" spans="1:14" ht="19.5" customHeight="1" outlineLevel="1" x14ac:dyDescent="0.2">
      <c r="A83" s="101">
        <v>3</v>
      </c>
      <c r="B83" s="81" t="s">
        <v>10</v>
      </c>
      <c r="C83" s="84">
        <v>0</v>
      </c>
      <c r="D83" s="53">
        <v>0</v>
      </c>
      <c r="E83" s="78">
        <v>0</v>
      </c>
      <c r="F83" s="84">
        <v>0</v>
      </c>
      <c r="G83" s="53">
        <v>0</v>
      </c>
      <c r="H83" s="78">
        <v>0</v>
      </c>
      <c r="I83" s="84">
        <v>0</v>
      </c>
      <c r="J83" s="53">
        <v>0</v>
      </c>
      <c r="K83" s="78">
        <v>0</v>
      </c>
      <c r="L83" s="84">
        <v>0</v>
      </c>
      <c r="M83" s="53">
        <v>0</v>
      </c>
      <c r="N83" s="78">
        <v>0</v>
      </c>
    </row>
    <row r="84" spans="1:14" ht="19.5" customHeight="1" outlineLevel="1" x14ac:dyDescent="0.2">
      <c r="A84" s="101">
        <v>4</v>
      </c>
      <c r="B84" s="81" t="s">
        <v>11</v>
      </c>
      <c r="C84" s="84">
        <v>53.31</v>
      </c>
      <c r="D84" s="53">
        <v>123.67589477999999</v>
      </c>
      <c r="E84" s="78">
        <v>2319.9379999999996</v>
      </c>
      <c r="F84" s="84">
        <v>65.040000000000006</v>
      </c>
      <c r="G84" s="53">
        <v>148.62940799999998</v>
      </c>
      <c r="H84" s="78">
        <v>2285.1999999999998</v>
      </c>
      <c r="I84" s="84">
        <v>81</v>
      </c>
      <c r="J84" s="53">
        <v>188.81532000000001</v>
      </c>
      <c r="K84" s="78">
        <v>2331.0533333333333</v>
      </c>
      <c r="L84" s="84">
        <v>66.45</v>
      </c>
      <c r="M84" s="53">
        <v>153.70687425999998</v>
      </c>
      <c r="N84" s="78">
        <v>2313.1207563581638</v>
      </c>
    </row>
    <row r="85" spans="1:14" ht="19.5" customHeight="1" outlineLevel="1" x14ac:dyDescent="0.2">
      <c r="A85" s="101">
        <v>5</v>
      </c>
      <c r="B85" s="81" t="s">
        <v>12</v>
      </c>
      <c r="C85" s="84">
        <v>73.92</v>
      </c>
      <c r="D85" s="53">
        <v>244.02867017569193</v>
      </c>
      <c r="E85" s="78">
        <v>3301.2536549741872</v>
      </c>
      <c r="F85" s="84">
        <v>72.210000000000008</v>
      </c>
      <c r="G85" s="53">
        <v>220.93787599999999</v>
      </c>
      <c r="H85" s="78">
        <v>3059.6576097493416</v>
      </c>
      <c r="I85" s="84">
        <v>73.58</v>
      </c>
      <c r="J85" s="53">
        <v>231.9731413333333</v>
      </c>
      <c r="K85" s="78">
        <v>3152.6656881398926</v>
      </c>
      <c r="L85" s="84">
        <v>73.236666666666665</v>
      </c>
      <c r="M85" s="53">
        <v>232.31322916967508</v>
      </c>
      <c r="N85" s="78">
        <v>3172.0890606209337</v>
      </c>
    </row>
    <row r="86" spans="1:14" ht="19.5" customHeight="1" outlineLevel="1" x14ac:dyDescent="0.2">
      <c r="A86" s="101">
        <v>6</v>
      </c>
      <c r="B86" s="81" t="s">
        <v>13</v>
      </c>
      <c r="C86" s="84">
        <v>14.42</v>
      </c>
      <c r="D86" s="53">
        <v>38.036704098607096</v>
      </c>
      <c r="E86" s="78">
        <v>2637.7742093347497</v>
      </c>
      <c r="F86" s="84">
        <v>8.82</v>
      </c>
      <c r="G86" s="53">
        <v>23.540356577971696</v>
      </c>
      <c r="H86" s="78">
        <v>2668.9746687042739</v>
      </c>
      <c r="I86" s="84">
        <v>9.2200000000000006</v>
      </c>
      <c r="J86" s="53">
        <v>20.193029333333332</v>
      </c>
      <c r="K86" s="78">
        <v>2190.1333333333332</v>
      </c>
      <c r="L86" s="84">
        <v>10.82</v>
      </c>
      <c r="M86" s="53">
        <v>27.256696669970708</v>
      </c>
      <c r="N86" s="78">
        <v>2519.103204248679</v>
      </c>
    </row>
    <row r="87" spans="1:14" ht="19.5" customHeight="1" outlineLevel="1" x14ac:dyDescent="0.2">
      <c r="A87" s="101">
        <v>7</v>
      </c>
      <c r="B87" s="81" t="s">
        <v>14</v>
      </c>
      <c r="C87" s="84">
        <v>127.97</v>
      </c>
      <c r="D87" s="53">
        <v>316.24900733244363</v>
      </c>
      <c r="E87" s="78">
        <v>2471.2745747631757</v>
      </c>
      <c r="F87" s="84">
        <v>120.11</v>
      </c>
      <c r="G87" s="53">
        <v>291.40556850414515</v>
      </c>
      <c r="H87" s="78">
        <v>2426.1557614199078</v>
      </c>
      <c r="I87" s="84">
        <v>121.59</v>
      </c>
      <c r="J87" s="53">
        <v>281.47410945990447</v>
      </c>
      <c r="K87" s="78">
        <v>2314.9445633679125</v>
      </c>
      <c r="L87" s="84">
        <v>123.22333333333331</v>
      </c>
      <c r="M87" s="53">
        <v>296.3762284321644</v>
      </c>
      <c r="N87" s="78">
        <v>2405.1956753225672</v>
      </c>
    </row>
    <row r="88" spans="1:14" ht="19.5" customHeight="1" outlineLevel="1" x14ac:dyDescent="0.2">
      <c r="A88" s="101">
        <v>8</v>
      </c>
      <c r="B88" s="81" t="s">
        <v>15</v>
      </c>
      <c r="C88" s="84">
        <v>1515.25</v>
      </c>
      <c r="D88" s="53">
        <v>4253.2650373403849</v>
      </c>
      <c r="E88" s="78">
        <v>2806.9724714340109</v>
      </c>
      <c r="F88" s="84">
        <v>1449.06</v>
      </c>
      <c r="G88" s="53">
        <v>4008.9952224624967</v>
      </c>
      <c r="H88" s="78">
        <v>2766.6178229076068</v>
      </c>
      <c r="I88" s="84">
        <v>1510.28</v>
      </c>
      <c r="J88" s="53">
        <v>3648.5437332707679</v>
      </c>
      <c r="K88" s="78">
        <v>2415.8061639369971</v>
      </c>
      <c r="L88" s="84">
        <v>1491.53</v>
      </c>
      <c r="M88" s="53">
        <v>3970.2679976912168</v>
      </c>
      <c r="N88" s="78">
        <v>2661.876058605068</v>
      </c>
    </row>
    <row r="89" spans="1:14" ht="19.5" customHeight="1" outlineLevel="1" x14ac:dyDescent="0.2">
      <c r="A89" s="101">
        <v>9</v>
      </c>
      <c r="B89" s="81" t="s">
        <v>16</v>
      </c>
      <c r="C89" s="84">
        <v>25.37</v>
      </c>
      <c r="D89" s="53">
        <v>47.874854175033036</v>
      </c>
      <c r="E89" s="78">
        <v>1887.0655961778884</v>
      </c>
      <c r="F89" s="84">
        <v>19.84</v>
      </c>
      <c r="G89" s="53">
        <v>50.85751482416196</v>
      </c>
      <c r="H89" s="78">
        <v>2563.3828036371956</v>
      </c>
      <c r="I89" s="84">
        <v>27.95</v>
      </c>
      <c r="J89" s="53">
        <v>30.436579800489366</v>
      </c>
      <c r="K89" s="78">
        <v>1088.9652880318199</v>
      </c>
      <c r="L89" s="84">
        <v>24.386666666666667</v>
      </c>
      <c r="M89" s="53">
        <v>43.056316266561453</v>
      </c>
      <c r="N89" s="78">
        <v>1765.5679168901634</v>
      </c>
    </row>
    <row r="90" spans="1:14" ht="19.5" customHeight="1" outlineLevel="1" x14ac:dyDescent="0.2">
      <c r="A90" s="101">
        <v>10</v>
      </c>
      <c r="B90" s="81" t="s">
        <v>17</v>
      </c>
      <c r="C90" s="84">
        <v>0</v>
      </c>
      <c r="D90" s="53">
        <v>0</v>
      </c>
      <c r="E90" s="78">
        <v>0</v>
      </c>
      <c r="F90" s="84">
        <v>0</v>
      </c>
      <c r="G90" s="53">
        <v>0</v>
      </c>
      <c r="H90" s="78">
        <v>0</v>
      </c>
      <c r="I90" s="84">
        <v>0</v>
      </c>
      <c r="J90" s="53">
        <v>0</v>
      </c>
      <c r="K90" s="78">
        <v>0</v>
      </c>
      <c r="L90" s="84">
        <v>0</v>
      </c>
      <c r="M90" s="53">
        <v>0</v>
      </c>
      <c r="N90" s="78">
        <v>0</v>
      </c>
    </row>
    <row r="91" spans="1:14" ht="19.5" customHeight="1" outlineLevel="1" x14ac:dyDescent="0.2">
      <c r="A91" s="101">
        <v>11</v>
      </c>
      <c r="B91" s="81" t="s">
        <v>18</v>
      </c>
      <c r="C91" s="84">
        <v>0</v>
      </c>
      <c r="D91" s="53">
        <v>0</v>
      </c>
      <c r="E91" s="78">
        <v>0</v>
      </c>
      <c r="F91" s="84">
        <v>0</v>
      </c>
      <c r="G91" s="53">
        <v>0</v>
      </c>
      <c r="H91" s="78">
        <v>0</v>
      </c>
      <c r="I91" s="84">
        <v>0</v>
      </c>
      <c r="J91" s="53">
        <v>0</v>
      </c>
      <c r="K91" s="78">
        <v>0</v>
      </c>
      <c r="L91" s="84">
        <v>0</v>
      </c>
      <c r="M91" s="53">
        <v>0</v>
      </c>
      <c r="N91" s="78">
        <v>0</v>
      </c>
    </row>
    <row r="92" spans="1:14" ht="19.5" customHeight="1" outlineLevel="1" x14ac:dyDescent="0.2">
      <c r="A92" s="101">
        <v>12</v>
      </c>
      <c r="B92" s="81" t="s">
        <v>19</v>
      </c>
      <c r="C92" s="84">
        <v>0</v>
      </c>
      <c r="D92" s="53">
        <v>0</v>
      </c>
      <c r="E92" s="78">
        <v>0</v>
      </c>
      <c r="F92" s="84">
        <v>0</v>
      </c>
      <c r="G92" s="53">
        <v>0</v>
      </c>
      <c r="H92" s="78">
        <v>0</v>
      </c>
      <c r="I92" s="84">
        <v>0</v>
      </c>
      <c r="J92" s="53">
        <v>0</v>
      </c>
      <c r="K92" s="78">
        <v>0</v>
      </c>
      <c r="L92" s="84">
        <v>0</v>
      </c>
      <c r="M92" s="53">
        <v>0</v>
      </c>
      <c r="N92" s="78">
        <v>0</v>
      </c>
    </row>
    <row r="93" spans="1:14" ht="19.5" customHeight="1" outlineLevel="1" x14ac:dyDescent="0.2">
      <c r="A93" s="101">
        <v>13</v>
      </c>
      <c r="B93" s="81" t="s">
        <v>20</v>
      </c>
      <c r="C93" s="84">
        <v>0</v>
      </c>
      <c r="D93" s="53">
        <v>0</v>
      </c>
      <c r="E93" s="78">
        <v>0</v>
      </c>
      <c r="F93" s="84">
        <v>0</v>
      </c>
      <c r="G93" s="53">
        <v>0</v>
      </c>
      <c r="H93" s="78">
        <v>0</v>
      </c>
      <c r="I93" s="84">
        <v>0</v>
      </c>
      <c r="J93" s="53">
        <v>0</v>
      </c>
      <c r="K93" s="78">
        <v>0</v>
      </c>
      <c r="L93" s="84">
        <v>0</v>
      </c>
      <c r="M93" s="53">
        <v>0</v>
      </c>
      <c r="N93" s="78">
        <v>0</v>
      </c>
    </row>
    <row r="94" spans="1:14" ht="19.5" customHeight="1" outlineLevel="1" x14ac:dyDescent="0.2">
      <c r="A94" s="101">
        <v>14</v>
      </c>
      <c r="B94" s="81" t="s">
        <v>21</v>
      </c>
      <c r="C94" s="84">
        <v>0</v>
      </c>
      <c r="D94" s="53">
        <v>0</v>
      </c>
      <c r="E94" s="78">
        <v>0</v>
      </c>
      <c r="F94" s="84">
        <v>0</v>
      </c>
      <c r="G94" s="53">
        <v>0</v>
      </c>
      <c r="H94" s="78">
        <v>0</v>
      </c>
      <c r="I94" s="84">
        <v>0</v>
      </c>
      <c r="J94" s="53">
        <v>0</v>
      </c>
      <c r="K94" s="78">
        <v>0</v>
      </c>
      <c r="L94" s="84">
        <v>0</v>
      </c>
      <c r="M94" s="53">
        <v>0</v>
      </c>
      <c r="N94" s="78">
        <v>0</v>
      </c>
    </row>
    <row r="95" spans="1:14" ht="19.5" customHeight="1" outlineLevel="1" x14ac:dyDescent="0.2">
      <c r="A95" s="101">
        <v>15</v>
      </c>
      <c r="B95" s="81" t="s">
        <v>22</v>
      </c>
      <c r="C95" s="84">
        <v>0</v>
      </c>
      <c r="D95" s="53">
        <v>0</v>
      </c>
      <c r="E95" s="78">
        <v>0</v>
      </c>
      <c r="F95" s="84">
        <v>0</v>
      </c>
      <c r="G95" s="53">
        <v>0</v>
      </c>
      <c r="H95" s="78">
        <v>0</v>
      </c>
      <c r="I95" s="84">
        <v>0</v>
      </c>
      <c r="J95" s="53">
        <v>0</v>
      </c>
      <c r="K95" s="78">
        <v>0</v>
      </c>
      <c r="L95" s="84">
        <v>0</v>
      </c>
      <c r="M95" s="53">
        <v>0</v>
      </c>
      <c r="N95" s="78">
        <v>0</v>
      </c>
    </row>
    <row r="96" spans="1:14" ht="19.5" customHeight="1" outlineLevel="1" x14ac:dyDescent="0.2">
      <c r="A96" s="101">
        <v>16</v>
      </c>
      <c r="B96" s="81" t="s">
        <v>23</v>
      </c>
      <c r="C96" s="84">
        <v>0.1</v>
      </c>
      <c r="D96" s="53">
        <v>0.18870655961778884</v>
      </c>
      <c r="E96" s="78">
        <v>1887.0655961778884</v>
      </c>
      <c r="F96" s="84">
        <v>0.05</v>
      </c>
      <c r="G96" s="53">
        <v>9.8992440623851347E-2</v>
      </c>
      <c r="H96" s="78">
        <v>1979.848812477027</v>
      </c>
      <c r="I96" s="84">
        <v>0.1</v>
      </c>
      <c r="J96" s="53">
        <v>0.20750458836755606</v>
      </c>
      <c r="K96" s="78">
        <v>2075.0458836755606</v>
      </c>
      <c r="L96" s="84">
        <v>8.3333333333333329E-2</v>
      </c>
      <c r="M96" s="53">
        <v>0.16506786286973207</v>
      </c>
      <c r="N96" s="78">
        <v>1980.8143544367849</v>
      </c>
    </row>
    <row r="97" spans="1:14" ht="19.5" customHeight="1" outlineLevel="1" x14ac:dyDescent="0.2">
      <c r="A97" s="101">
        <v>17</v>
      </c>
      <c r="B97" s="81" t="s">
        <v>24</v>
      </c>
      <c r="C97" s="84">
        <v>0</v>
      </c>
      <c r="D97" s="53">
        <v>0</v>
      </c>
      <c r="E97" s="78">
        <v>0</v>
      </c>
      <c r="F97" s="84">
        <v>0</v>
      </c>
      <c r="G97" s="53">
        <v>0</v>
      </c>
      <c r="H97" s="78">
        <v>0</v>
      </c>
      <c r="I97" s="84">
        <v>0</v>
      </c>
      <c r="J97" s="53">
        <v>0</v>
      </c>
      <c r="K97" s="78">
        <v>0</v>
      </c>
      <c r="L97" s="84">
        <v>0</v>
      </c>
      <c r="M97" s="53">
        <v>0</v>
      </c>
      <c r="N97" s="78">
        <v>0</v>
      </c>
    </row>
    <row r="98" spans="1:14" ht="19.5" customHeight="1" outlineLevel="1" x14ac:dyDescent="0.2">
      <c r="A98" s="101">
        <v>18</v>
      </c>
      <c r="B98" s="81" t="s">
        <v>25</v>
      </c>
      <c r="C98" s="84">
        <v>0</v>
      </c>
      <c r="D98" s="53">
        <v>0</v>
      </c>
      <c r="E98" s="78">
        <v>0</v>
      </c>
      <c r="F98" s="84">
        <v>0</v>
      </c>
      <c r="G98" s="53">
        <v>0</v>
      </c>
      <c r="H98" s="78">
        <v>0</v>
      </c>
      <c r="I98" s="84">
        <v>0</v>
      </c>
      <c r="J98" s="53">
        <v>0</v>
      </c>
      <c r="K98" s="78">
        <v>0</v>
      </c>
      <c r="L98" s="84">
        <v>0</v>
      </c>
      <c r="M98" s="53">
        <v>0</v>
      </c>
      <c r="N98" s="78">
        <v>0</v>
      </c>
    </row>
    <row r="99" spans="1:14" ht="19.5" customHeight="1" outlineLevel="1" x14ac:dyDescent="0.2">
      <c r="A99" s="101">
        <v>19</v>
      </c>
      <c r="B99" s="81" t="s">
        <v>26</v>
      </c>
      <c r="C99" s="84">
        <v>0</v>
      </c>
      <c r="D99" s="53">
        <v>0</v>
      </c>
      <c r="E99" s="78">
        <v>0</v>
      </c>
      <c r="F99" s="84">
        <v>0.32</v>
      </c>
      <c r="G99" s="53">
        <v>0.85407189398536765</v>
      </c>
      <c r="H99" s="78">
        <v>2668.9746687042739</v>
      </c>
      <c r="I99" s="84">
        <v>0.63</v>
      </c>
      <c r="J99" s="53">
        <v>1.5797011021245269</v>
      </c>
      <c r="K99" s="78">
        <v>2507.4620668643283</v>
      </c>
      <c r="L99" s="84">
        <v>0.47499999999999998</v>
      </c>
      <c r="M99" s="53">
        <v>1.2168864980549472</v>
      </c>
      <c r="N99" s="78">
        <v>2561.8663116946259</v>
      </c>
    </row>
    <row r="100" spans="1:14" ht="19.5" customHeight="1" outlineLevel="1" x14ac:dyDescent="0.2">
      <c r="A100" s="101">
        <v>20</v>
      </c>
      <c r="B100" s="81" t="s">
        <v>27</v>
      </c>
      <c r="C100" s="84">
        <v>1219.07</v>
      </c>
      <c r="D100" s="53">
        <v>3218.3944473333327</v>
      </c>
      <c r="E100" s="78">
        <v>2640.0407255804284</v>
      </c>
      <c r="F100" s="84">
        <v>1230.07</v>
      </c>
      <c r="G100" s="53">
        <v>3559.0999386666667</v>
      </c>
      <c r="H100" s="78">
        <v>2893.4125201546799</v>
      </c>
      <c r="I100" s="84">
        <v>1217.93</v>
      </c>
      <c r="J100" s="53">
        <v>3325.0329219999999</v>
      </c>
      <c r="K100" s="78">
        <v>2730.06898754444</v>
      </c>
      <c r="L100" s="84">
        <v>1222.3566666666666</v>
      </c>
      <c r="M100" s="53">
        <v>3367.5091026666664</v>
      </c>
      <c r="N100" s="78">
        <v>2754.9316778790694</v>
      </c>
    </row>
    <row r="101" spans="1:14" ht="19.5" customHeight="1" outlineLevel="1" x14ac:dyDescent="0.2">
      <c r="A101" s="101">
        <v>21</v>
      </c>
      <c r="B101" s="81" t="s">
        <v>28</v>
      </c>
      <c r="C101" s="84">
        <v>1134.22</v>
      </c>
      <c r="D101" s="53">
        <v>3286.9413213333332</v>
      </c>
      <c r="E101" s="78">
        <v>2897.9751030076468</v>
      </c>
      <c r="F101" s="84">
        <v>1147.28</v>
      </c>
      <c r="G101" s="53">
        <v>3258.682025999999</v>
      </c>
      <c r="H101" s="78">
        <v>2840.3546004462723</v>
      </c>
      <c r="I101" s="84">
        <v>1155.96</v>
      </c>
      <c r="J101" s="53">
        <v>3038.6064033333323</v>
      </c>
      <c r="K101" s="78">
        <v>2628.6432085308593</v>
      </c>
      <c r="L101" s="84">
        <v>1145.82</v>
      </c>
      <c r="M101" s="53">
        <v>3194.7432502222218</v>
      </c>
      <c r="N101" s="78">
        <v>2788.1720080136688</v>
      </c>
    </row>
    <row r="102" spans="1:14" ht="19.5" customHeight="1" outlineLevel="1" x14ac:dyDescent="0.2">
      <c r="A102" s="101">
        <v>22</v>
      </c>
      <c r="B102" s="81" t="s">
        <v>29</v>
      </c>
      <c r="C102" s="84">
        <v>455.82000000000005</v>
      </c>
      <c r="D102" s="53">
        <v>772.37073784003985</v>
      </c>
      <c r="E102" s="78">
        <v>1694.4643452240794</v>
      </c>
      <c r="F102" s="84">
        <v>474.87</v>
      </c>
      <c r="G102" s="53">
        <v>891.75132084509653</v>
      </c>
      <c r="H102" s="78">
        <v>1877.885149293694</v>
      </c>
      <c r="I102" s="84">
        <v>493.28</v>
      </c>
      <c r="J102" s="53">
        <v>951.90434799467334</v>
      </c>
      <c r="K102" s="78">
        <v>1929.7444615526138</v>
      </c>
      <c r="L102" s="84">
        <v>474.65666666666669</v>
      </c>
      <c r="M102" s="53">
        <v>872.00880222660328</v>
      </c>
      <c r="N102" s="78">
        <v>1837.1358994078594</v>
      </c>
    </row>
    <row r="103" spans="1:14" ht="19.5" customHeight="1" outlineLevel="1" x14ac:dyDescent="0.2">
      <c r="A103" s="101">
        <v>23</v>
      </c>
      <c r="B103" s="81" t="s">
        <v>30</v>
      </c>
      <c r="C103" s="84">
        <v>399.89</v>
      </c>
      <c r="D103" s="53">
        <v>1011.4062628730392</v>
      </c>
      <c r="E103" s="78">
        <v>2529.2111902599195</v>
      </c>
      <c r="F103" s="84">
        <v>414.24</v>
      </c>
      <c r="G103" s="53">
        <v>961.89514356090308</v>
      </c>
      <c r="H103" s="78">
        <v>2322.0720924123771</v>
      </c>
      <c r="I103" s="84">
        <v>413.54</v>
      </c>
      <c r="J103" s="53">
        <v>1068.600006046275</v>
      </c>
      <c r="K103" s="78">
        <v>2584.030579983254</v>
      </c>
      <c r="L103" s="84">
        <v>409.22333333333336</v>
      </c>
      <c r="M103" s="53">
        <v>1013.9671374934056</v>
      </c>
      <c r="N103" s="78">
        <v>2477.7842681504121</v>
      </c>
    </row>
    <row r="104" spans="1:14" ht="19.5" customHeight="1" outlineLevel="1" x14ac:dyDescent="0.2">
      <c r="A104" s="101">
        <v>24</v>
      </c>
      <c r="B104" s="81" t="s">
        <v>31</v>
      </c>
      <c r="C104" s="84">
        <v>427.73</v>
      </c>
      <c r="D104" s="53">
        <v>545.2719854818971</v>
      </c>
      <c r="E104" s="78">
        <v>1274.8041649683144</v>
      </c>
      <c r="F104" s="84">
        <v>397.46</v>
      </c>
      <c r="G104" s="53">
        <v>658.12218534004501</v>
      </c>
      <c r="H104" s="78">
        <v>1655.8199198411037</v>
      </c>
      <c r="I104" s="84">
        <v>378.43</v>
      </c>
      <c r="J104" s="53">
        <v>724.40988654596742</v>
      </c>
      <c r="K104" s="78">
        <v>1914.2506845280961</v>
      </c>
      <c r="L104" s="84">
        <v>401.20666666666671</v>
      </c>
      <c r="M104" s="53">
        <v>642.60135245596985</v>
      </c>
      <c r="N104" s="78">
        <v>1601.6716715972727</v>
      </c>
    </row>
    <row r="105" spans="1:14" ht="19.5" customHeight="1" outlineLevel="1" x14ac:dyDescent="0.2">
      <c r="A105" s="101">
        <v>25</v>
      </c>
      <c r="B105" s="81" t="s">
        <v>32</v>
      </c>
      <c r="C105" s="84">
        <v>302.60000000000002</v>
      </c>
      <c r="D105" s="53">
        <v>625.31373733333328</v>
      </c>
      <c r="E105" s="78">
        <v>2066.4697202026873</v>
      </c>
      <c r="F105" s="84">
        <v>338.26</v>
      </c>
      <c r="G105" s="53">
        <v>699.40549799999985</v>
      </c>
      <c r="H105" s="78">
        <v>2067.6565304795126</v>
      </c>
      <c r="I105" s="84">
        <v>331.52</v>
      </c>
      <c r="J105" s="53">
        <v>678.49402458637053</v>
      </c>
      <c r="K105" s="78">
        <v>2046.615662965645</v>
      </c>
      <c r="L105" s="84">
        <v>324.12666666666667</v>
      </c>
      <c r="M105" s="53">
        <v>667.73775330656781</v>
      </c>
      <c r="N105" s="78">
        <v>2060.1135974821605</v>
      </c>
    </row>
    <row r="106" spans="1:14" ht="19.5" customHeight="1" outlineLevel="1" x14ac:dyDescent="0.2">
      <c r="A106" s="101">
        <v>26</v>
      </c>
      <c r="B106" s="81" t="s">
        <v>33</v>
      </c>
      <c r="C106" s="84">
        <v>158.1</v>
      </c>
      <c r="D106" s="53">
        <v>204.55899188952287</v>
      </c>
      <c r="E106" s="78">
        <v>1293.8582662208912</v>
      </c>
      <c r="F106" s="84">
        <v>145.26999999999998</v>
      </c>
      <c r="G106" s="53">
        <v>189.93678421142664</v>
      </c>
      <c r="H106" s="78">
        <v>1307.4742494074942</v>
      </c>
      <c r="I106" s="84">
        <v>166.89999999999998</v>
      </c>
      <c r="J106" s="53">
        <v>267.90996935200974</v>
      </c>
      <c r="K106" s="78">
        <v>1605.2125185860384</v>
      </c>
      <c r="L106" s="84">
        <v>156.75666666666666</v>
      </c>
      <c r="M106" s="53">
        <v>220.80191515098645</v>
      </c>
      <c r="N106" s="78">
        <v>1408.5647510004026</v>
      </c>
    </row>
    <row r="107" spans="1:14" ht="19.5" customHeight="1" outlineLevel="1" x14ac:dyDescent="0.2">
      <c r="A107" s="101">
        <v>27</v>
      </c>
      <c r="B107" s="81" t="s">
        <v>34</v>
      </c>
      <c r="C107" s="84">
        <v>116.87</v>
      </c>
      <c r="D107" s="53">
        <v>120.01266957479682</v>
      </c>
      <c r="E107" s="78">
        <v>1026.8903018293558</v>
      </c>
      <c r="F107" s="84">
        <v>112.93</v>
      </c>
      <c r="G107" s="53">
        <v>116.44460515866085</v>
      </c>
      <c r="H107" s="78">
        <v>1031.121979621543</v>
      </c>
      <c r="I107" s="84">
        <v>106.65</v>
      </c>
      <c r="J107" s="53">
        <v>109.98148339362209</v>
      </c>
      <c r="K107" s="78">
        <v>1031.2375376804696</v>
      </c>
      <c r="L107" s="84">
        <v>112.15000000000002</v>
      </c>
      <c r="M107" s="53">
        <v>115.47958604235991</v>
      </c>
      <c r="N107" s="78">
        <v>1029.6886851748541</v>
      </c>
    </row>
    <row r="108" spans="1:14" ht="19.5" customHeight="1" outlineLevel="1" x14ac:dyDescent="0.2">
      <c r="A108" s="101">
        <v>28</v>
      </c>
      <c r="B108" s="81" t="s">
        <v>35</v>
      </c>
      <c r="C108" s="84">
        <v>98.46</v>
      </c>
      <c r="D108" s="53">
        <v>172.89469466666665</v>
      </c>
      <c r="E108" s="78">
        <v>1755.9891800392713</v>
      </c>
      <c r="F108" s="84">
        <v>99.6</v>
      </c>
      <c r="G108" s="53">
        <v>174.84287333333339</v>
      </c>
      <c r="H108" s="78">
        <v>1755.4505354752348</v>
      </c>
      <c r="I108" s="84">
        <v>104.9</v>
      </c>
      <c r="J108" s="53">
        <v>176.78735880939851</v>
      </c>
      <c r="K108" s="78">
        <v>1685.294173588165</v>
      </c>
      <c r="L108" s="84">
        <v>100.98666666666668</v>
      </c>
      <c r="M108" s="53">
        <v>174.84164226979951</v>
      </c>
      <c r="N108" s="78">
        <v>1731.3339279422976</v>
      </c>
    </row>
    <row r="109" spans="1:14" ht="19.5" customHeight="1" outlineLevel="1" x14ac:dyDescent="0.2">
      <c r="A109" s="101">
        <v>29</v>
      </c>
      <c r="B109" s="81" t="s">
        <v>36</v>
      </c>
      <c r="C109" s="84">
        <v>412.19000000000005</v>
      </c>
      <c r="D109" s="53">
        <v>946.33439459345277</v>
      </c>
      <c r="E109" s="78">
        <v>2295.8693675088011</v>
      </c>
      <c r="F109" s="84">
        <v>431.17</v>
      </c>
      <c r="G109" s="53">
        <v>1040.9666523953397</v>
      </c>
      <c r="H109" s="78">
        <v>2414.283582798756</v>
      </c>
      <c r="I109" s="84">
        <v>461.96000000000004</v>
      </c>
      <c r="J109" s="53">
        <v>975.99302617863418</v>
      </c>
      <c r="K109" s="78">
        <v>2112.7219373509265</v>
      </c>
      <c r="L109" s="84">
        <v>435.10666666666674</v>
      </c>
      <c r="M109" s="53">
        <v>987.76469105580884</v>
      </c>
      <c r="N109" s="78">
        <v>2270.1667584710463</v>
      </c>
    </row>
    <row r="110" spans="1:14" ht="19.5" customHeight="1" outlineLevel="1" x14ac:dyDescent="0.2">
      <c r="A110" s="101">
        <v>30</v>
      </c>
      <c r="B110" s="81" t="s">
        <v>37</v>
      </c>
      <c r="C110" s="84">
        <v>283.7</v>
      </c>
      <c r="D110" s="53">
        <v>499.98124666666666</v>
      </c>
      <c r="E110" s="78">
        <v>1762.3589942427448</v>
      </c>
      <c r="F110" s="84">
        <v>307.57</v>
      </c>
      <c r="G110" s="53">
        <v>626.16810666666652</v>
      </c>
      <c r="H110" s="78">
        <v>2035.8555992673753</v>
      </c>
      <c r="I110" s="84">
        <v>307.98</v>
      </c>
      <c r="J110" s="53">
        <v>456.65839</v>
      </c>
      <c r="K110" s="78">
        <v>1482.7533930774725</v>
      </c>
      <c r="L110" s="84">
        <v>299.75</v>
      </c>
      <c r="M110" s="53">
        <v>527.60258111111114</v>
      </c>
      <c r="N110" s="78">
        <v>1760.1420554165509</v>
      </c>
    </row>
    <row r="111" spans="1:14" ht="19.5" customHeight="1" outlineLevel="1" x14ac:dyDescent="0.2">
      <c r="A111" s="101">
        <v>31</v>
      </c>
      <c r="B111" s="81" t="s">
        <v>38</v>
      </c>
      <c r="C111" s="84">
        <v>459.24</v>
      </c>
      <c r="D111" s="53">
        <v>1338.57566</v>
      </c>
      <c r="E111" s="78">
        <v>2914.7627819876316</v>
      </c>
      <c r="F111" s="84">
        <v>453.37</v>
      </c>
      <c r="G111" s="53">
        <v>1332.1941999999997</v>
      </c>
      <c r="H111" s="78">
        <v>2938.4260096609828</v>
      </c>
      <c r="I111" s="84">
        <v>455.51</v>
      </c>
      <c r="J111" s="53">
        <v>1365.1568933333331</v>
      </c>
      <c r="K111" s="78">
        <v>2996.9855619708305</v>
      </c>
      <c r="L111" s="84">
        <v>456.03999999999996</v>
      </c>
      <c r="M111" s="53">
        <v>1345.3089177777774</v>
      </c>
      <c r="N111" s="78">
        <v>2949.980084592969</v>
      </c>
    </row>
    <row r="112" spans="1:14" ht="19.5" customHeight="1" outlineLevel="1" x14ac:dyDescent="0.2">
      <c r="A112" s="101">
        <v>32</v>
      </c>
      <c r="B112" s="81" t="s">
        <v>39</v>
      </c>
      <c r="C112" s="84">
        <v>756.89</v>
      </c>
      <c r="D112" s="53">
        <v>1956.1744626666662</v>
      </c>
      <c r="E112" s="78">
        <v>2584.4897708605822</v>
      </c>
      <c r="F112" s="84">
        <v>755.1</v>
      </c>
      <c r="G112" s="53">
        <v>2102.5321433333334</v>
      </c>
      <c r="H112" s="78">
        <v>2784.4419856089703</v>
      </c>
      <c r="I112" s="84">
        <v>755.11</v>
      </c>
      <c r="J112" s="53">
        <v>1925.1785986666666</v>
      </c>
      <c r="K112" s="78">
        <v>2549.5339734166764</v>
      </c>
      <c r="L112" s="84">
        <v>755.69999999999993</v>
      </c>
      <c r="M112" s="53">
        <v>1994.6284015555555</v>
      </c>
      <c r="N112" s="78">
        <v>2639.4447552673755</v>
      </c>
    </row>
    <row r="113" spans="1:14" ht="19.5" customHeight="1" outlineLevel="1" thickBot="1" x14ac:dyDescent="0.25">
      <c r="A113" s="102">
        <v>33</v>
      </c>
      <c r="B113" s="91" t="s">
        <v>40</v>
      </c>
      <c r="C113" s="92">
        <v>644.49</v>
      </c>
      <c r="D113" s="93">
        <v>1941.2614637150073</v>
      </c>
      <c r="E113" s="94">
        <v>3012.0893477245686</v>
      </c>
      <c r="F113" s="92">
        <v>688.49</v>
      </c>
      <c r="G113" s="93">
        <v>1867.129390713849</v>
      </c>
      <c r="H113" s="94">
        <v>2711.9194043687621</v>
      </c>
      <c r="I113" s="92">
        <v>688.43000000000006</v>
      </c>
      <c r="J113" s="93">
        <v>2127.9832206691344</v>
      </c>
      <c r="K113" s="94">
        <v>3091.0669504076441</v>
      </c>
      <c r="L113" s="92">
        <v>673.8033333333334</v>
      </c>
      <c r="M113" s="93">
        <v>1978.7913583659968</v>
      </c>
      <c r="N113" s="94">
        <v>2936.7491380264219</v>
      </c>
    </row>
    <row r="114" spans="1:14" ht="19.5" customHeight="1" thickBot="1" x14ac:dyDescent="0.25">
      <c r="A114" s="151" t="s">
        <v>41</v>
      </c>
      <c r="B114" s="152"/>
      <c r="C114" s="96">
        <v>8679.61</v>
      </c>
      <c r="D114" s="97">
        <v>21662.810950429532</v>
      </c>
      <c r="E114" s="98">
        <v>2495.8276870077725</v>
      </c>
      <c r="F114" s="96">
        <v>8731.130000000001</v>
      </c>
      <c r="G114" s="97">
        <v>22224.489878928704</v>
      </c>
      <c r="H114" s="98">
        <v>2545.4311044422316</v>
      </c>
      <c r="I114" s="96">
        <v>8862.4499999999989</v>
      </c>
      <c r="J114" s="97">
        <v>21595.919649797739</v>
      </c>
      <c r="K114" s="98">
        <v>2436.7888845407015</v>
      </c>
      <c r="L114" s="96">
        <v>8757.7300000000014</v>
      </c>
      <c r="M114" s="97">
        <v>21827.740159718658</v>
      </c>
      <c r="N114" s="98">
        <v>2492.3970206570257</v>
      </c>
    </row>
    <row r="115" spans="1:14" ht="34.5" customHeight="1" x14ac:dyDescent="0.2">
      <c r="A115" s="153" t="s">
        <v>247</v>
      </c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</row>
    <row r="116" spans="1:14" ht="19.5" customHeight="1" thickBot="1" x14ac:dyDescent="0.25">
      <c r="A116" s="50"/>
      <c r="B116" s="138" t="s">
        <v>44</v>
      </c>
      <c r="C116" s="52"/>
      <c r="D116" s="52"/>
      <c r="E116" s="52"/>
      <c r="F116" s="52"/>
      <c r="G116" s="52"/>
      <c r="H116" s="52"/>
      <c r="I116" s="52"/>
      <c r="J116" s="52"/>
      <c r="K116" s="155" t="s">
        <v>1</v>
      </c>
      <c r="L116" s="154"/>
      <c r="M116" s="154"/>
      <c r="N116" s="154"/>
    </row>
    <row r="117" spans="1:14" ht="19.5" customHeight="1" x14ac:dyDescent="0.2">
      <c r="A117" s="156" t="s">
        <v>2</v>
      </c>
      <c r="B117" s="158" t="s">
        <v>3</v>
      </c>
      <c r="C117" s="148" t="s">
        <v>243</v>
      </c>
      <c r="D117" s="149"/>
      <c r="E117" s="150"/>
      <c r="F117" s="148" t="s">
        <v>244</v>
      </c>
      <c r="G117" s="149"/>
      <c r="H117" s="150"/>
      <c r="I117" s="148" t="s">
        <v>246</v>
      </c>
      <c r="J117" s="149"/>
      <c r="K117" s="150"/>
      <c r="L117" s="148" t="s">
        <v>4</v>
      </c>
      <c r="M117" s="149"/>
      <c r="N117" s="150"/>
    </row>
    <row r="118" spans="1:14" ht="19.5" customHeight="1" thickBot="1" x14ac:dyDescent="0.25">
      <c r="A118" s="157"/>
      <c r="B118" s="159"/>
      <c r="C118" s="85" t="s">
        <v>5</v>
      </c>
      <c r="D118" s="79" t="s">
        <v>6</v>
      </c>
      <c r="E118" s="80" t="s">
        <v>7</v>
      </c>
      <c r="F118" s="85" t="s">
        <v>5</v>
      </c>
      <c r="G118" s="79" t="s">
        <v>6</v>
      </c>
      <c r="H118" s="80" t="s">
        <v>7</v>
      </c>
      <c r="I118" s="85" t="s">
        <v>5</v>
      </c>
      <c r="J118" s="79" t="s">
        <v>6</v>
      </c>
      <c r="K118" s="80" t="s">
        <v>7</v>
      </c>
      <c r="L118" s="85" t="s">
        <v>5</v>
      </c>
      <c r="M118" s="79" t="s">
        <v>6</v>
      </c>
      <c r="N118" s="80" t="s">
        <v>7</v>
      </c>
    </row>
    <row r="119" spans="1:14" ht="19.5" customHeight="1" outlineLevel="1" x14ac:dyDescent="0.2">
      <c r="A119" s="100">
        <v>1</v>
      </c>
      <c r="B119" s="86" t="s">
        <v>8</v>
      </c>
      <c r="C119" s="87">
        <v>0</v>
      </c>
      <c r="D119" s="88">
        <v>0</v>
      </c>
      <c r="E119" s="89">
        <v>0</v>
      </c>
      <c r="F119" s="87">
        <v>2.95</v>
      </c>
      <c r="G119" s="88">
        <v>3.7083393076354341</v>
      </c>
      <c r="H119" s="89">
        <v>1257.064172079808</v>
      </c>
      <c r="I119" s="87">
        <v>0</v>
      </c>
      <c r="J119" s="88">
        <v>0</v>
      </c>
      <c r="K119" s="89">
        <v>0</v>
      </c>
      <c r="L119" s="87">
        <v>2.95</v>
      </c>
      <c r="M119" s="88">
        <v>3.7083393076354341</v>
      </c>
      <c r="N119" s="89">
        <v>1257.064172079808</v>
      </c>
    </row>
    <row r="120" spans="1:14" ht="19.5" customHeight="1" outlineLevel="1" x14ac:dyDescent="0.2">
      <c r="A120" s="101">
        <v>2</v>
      </c>
      <c r="B120" s="81" t="s">
        <v>9</v>
      </c>
      <c r="C120" s="84">
        <v>24.05</v>
      </c>
      <c r="D120" s="53">
        <v>24.622390000000003</v>
      </c>
      <c r="E120" s="78">
        <v>1023.8000000000001</v>
      </c>
      <c r="F120" s="84">
        <v>24.85</v>
      </c>
      <c r="G120" s="53">
        <v>25.224519319999995</v>
      </c>
      <c r="H120" s="78">
        <v>1015.0711999999997</v>
      </c>
      <c r="I120" s="84">
        <v>56.78</v>
      </c>
      <c r="J120" s="53">
        <v>63.309700000000007</v>
      </c>
      <c r="K120" s="78">
        <v>1115</v>
      </c>
      <c r="L120" s="84">
        <v>35.226666666666667</v>
      </c>
      <c r="M120" s="53">
        <v>37.718869773333331</v>
      </c>
      <c r="N120" s="78">
        <v>1070.7476279333837</v>
      </c>
    </row>
    <row r="121" spans="1:14" ht="19.5" customHeight="1" outlineLevel="1" x14ac:dyDescent="0.2">
      <c r="A121" s="101">
        <v>3</v>
      </c>
      <c r="B121" s="81" t="s">
        <v>10</v>
      </c>
      <c r="C121" s="84">
        <v>0</v>
      </c>
      <c r="D121" s="53">
        <v>0</v>
      </c>
      <c r="E121" s="78">
        <v>0</v>
      </c>
      <c r="F121" s="84">
        <v>0.65</v>
      </c>
      <c r="G121" s="53">
        <v>0.81709171185187524</v>
      </c>
      <c r="H121" s="78">
        <v>1257.064172079808</v>
      </c>
      <c r="I121" s="84">
        <v>0.81</v>
      </c>
      <c r="J121" s="53">
        <v>1.1062007618971617</v>
      </c>
      <c r="K121" s="78">
        <v>1365.6799529594587</v>
      </c>
      <c r="L121" s="84">
        <v>0.73</v>
      </c>
      <c r="M121" s="53">
        <v>0.96164623687451845</v>
      </c>
      <c r="N121" s="78">
        <v>1317.3236121568746</v>
      </c>
    </row>
    <row r="122" spans="1:14" ht="19.5" customHeight="1" outlineLevel="1" x14ac:dyDescent="0.2">
      <c r="A122" s="101">
        <v>4</v>
      </c>
      <c r="B122" s="81" t="s">
        <v>11</v>
      </c>
      <c r="C122" s="84">
        <v>0.35</v>
      </c>
      <c r="D122" s="53">
        <v>0.480728111621052</v>
      </c>
      <c r="E122" s="78">
        <v>1373.5088903458629</v>
      </c>
      <c r="F122" s="84">
        <v>0.37</v>
      </c>
      <c r="G122" s="53">
        <v>0.46511374366952896</v>
      </c>
      <c r="H122" s="78">
        <v>1257.064172079808</v>
      </c>
      <c r="I122" s="84">
        <v>0.53</v>
      </c>
      <c r="J122" s="53">
        <v>0.7238103750685132</v>
      </c>
      <c r="K122" s="78">
        <v>1365.6799529594587</v>
      </c>
      <c r="L122" s="84">
        <v>0.41666666666666669</v>
      </c>
      <c r="M122" s="53">
        <v>0.55655074345303135</v>
      </c>
      <c r="N122" s="78">
        <v>1335.7217842872753</v>
      </c>
    </row>
    <row r="123" spans="1:14" ht="19.5" customHeight="1" outlineLevel="1" x14ac:dyDescent="0.2">
      <c r="A123" s="101">
        <v>5</v>
      </c>
      <c r="B123" s="81" t="s">
        <v>12</v>
      </c>
      <c r="C123" s="84">
        <v>0</v>
      </c>
      <c r="D123" s="53">
        <v>0</v>
      </c>
      <c r="E123" s="78">
        <v>0</v>
      </c>
      <c r="F123" s="84">
        <v>0</v>
      </c>
      <c r="G123" s="53">
        <v>0</v>
      </c>
      <c r="H123" s="78">
        <v>0</v>
      </c>
      <c r="I123" s="84">
        <v>0</v>
      </c>
      <c r="J123" s="53">
        <v>0</v>
      </c>
      <c r="K123" s="78">
        <v>0</v>
      </c>
      <c r="L123" s="84">
        <v>0</v>
      </c>
      <c r="M123" s="53">
        <v>0</v>
      </c>
      <c r="N123" s="78">
        <v>0</v>
      </c>
    </row>
    <row r="124" spans="1:14" ht="19.5" customHeight="1" outlineLevel="1" x14ac:dyDescent="0.2">
      <c r="A124" s="101">
        <v>6</v>
      </c>
      <c r="B124" s="81" t="s">
        <v>13</v>
      </c>
      <c r="C124" s="84">
        <v>0.5</v>
      </c>
      <c r="D124" s="53">
        <v>0.68675444517293149</v>
      </c>
      <c r="E124" s="78">
        <v>1373.5088903458629</v>
      </c>
      <c r="F124" s="84">
        <v>0</v>
      </c>
      <c r="G124" s="53">
        <v>0</v>
      </c>
      <c r="H124" s="78">
        <v>0</v>
      </c>
      <c r="I124" s="84">
        <v>0</v>
      </c>
      <c r="J124" s="53">
        <v>0</v>
      </c>
      <c r="K124" s="78">
        <v>0</v>
      </c>
      <c r="L124" s="84">
        <v>0.5</v>
      </c>
      <c r="M124" s="53">
        <v>0.68675444517293149</v>
      </c>
      <c r="N124" s="78">
        <v>1373.5088903458629</v>
      </c>
    </row>
    <row r="125" spans="1:14" ht="19.5" customHeight="1" outlineLevel="1" x14ac:dyDescent="0.2">
      <c r="A125" s="101">
        <v>7</v>
      </c>
      <c r="B125" s="81" t="s">
        <v>14</v>
      </c>
      <c r="C125" s="84">
        <v>0</v>
      </c>
      <c r="D125" s="53">
        <v>0</v>
      </c>
      <c r="E125" s="78">
        <v>0</v>
      </c>
      <c r="F125" s="84">
        <v>0.21</v>
      </c>
      <c r="G125" s="53">
        <v>0.26398347613675971</v>
      </c>
      <c r="H125" s="78">
        <v>1257.064172079808</v>
      </c>
      <c r="I125" s="84">
        <v>0</v>
      </c>
      <c r="J125" s="53">
        <v>0</v>
      </c>
      <c r="K125" s="78">
        <v>0</v>
      </c>
      <c r="L125" s="84">
        <v>0.21</v>
      </c>
      <c r="M125" s="53">
        <v>0.26398347613675971</v>
      </c>
      <c r="N125" s="78">
        <v>1257.064172079808</v>
      </c>
    </row>
    <row r="126" spans="1:14" ht="19.5" customHeight="1" outlineLevel="1" x14ac:dyDescent="0.2">
      <c r="A126" s="101">
        <v>8</v>
      </c>
      <c r="B126" s="81" t="s">
        <v>15</v>
      </c>
      <c r="C126" s="84">
        <v>7.6</v>
      </c>
      <c r="D126" s="53">
        <v>10.438667566628558</v>
      </c>
      <c r="E126" s="78">
        <v>1373.5088903458629</v>
      </c>
      <c r="F126" s="84">
        <v>0</v>
      </c>
      <c r="G126" s="53">
        <v>0</v>
      </c>
      <c r="H126" s="78">
        <v>0</v>
      </c>
      <c r="I126" s="84">
        <v>0</v>
      </c>
      <c r="J126" s="53">
        <v>0</v>
      </c>
      <c r="K126" s="78">
        <v>0</v>
      </c>
      <c r="L126" s="84">
        <v>7.6</v>
      </c>
      <c r="M126" s="53">
        <v>10.438667566628558</v>
      </c>
      <c r="N126" s="78">
        <v>1373.5088903458629</v>
      </c>
    </row>
    <row r="127" spans="1:14" ht="19.5" customHeight="1" outlineLevel="1" x14ac:dyDescent="0.2">
      <c r="A127" s="101">
        <v>9</v>
      </c>
      <c r="B127" s="81" t="s">
        <v>16</v>
      </c>
      <c r="C127" s="84">
        <v>0</v>
      </c>
      <c r="D127" s="53">
        <v>0</v>
      </c>
      <c r="E127" s="78">
        <v>0</v>
      </c>
      <c r="F127" s="84">
        <v>0</v>
      </c>
      <c r="G127" s="53">
        <v>0</v>
      </c>
      <c r="H127" s="78">
        <v>0</v>
      </c>
      <c r="I127" s="84">
        <v>0</v>
      </c>
      <c r="J127" s="53">
        <v>0</v>
      </c>
      <c r="K127" s="78">
        <v>0</v>
      </c>
      <c r="L127" s="84">
        <v>0</v>
      </c>
      <c r="M127" s="53">
        <v>0</v>
      </c>
      <c r="N127" s="78">
        <v>0</v>
      </c>
    </row>
    <row r="128" spans="1:14" ht="19.5" customHeight="1" outlineLevel="1" x14ac:dyDescent="0.2">
      <c r="A128" s="101">
        <v>10</v>
      </c>
      <c r="B128" s="81" t="s">
        <v>17</v>
      </c>
      <c r="C128" s="84">
        <v>0</v>
      </c>
      <c r="D128" s="53">
        <v>0</v>
      </c>
      <c r="E128" s="78">
        <v>0</v>
      </c>
      <c r="F128" s="84">
        <v>0</v>
      </c>
      <c r="G128" s="53">
        <v>0</v>
      </c>
      <c r="H128" s="78">
        <v>0</v>
      </c>
      <c r="I128" s="84">
        <v>0</v>
      </c>
      <c r="J128" s="53">
        <v>0</v>
      </c>
      <c r="K128" s="78">
        <v>0</v>
      </c>
      <c r="L128" s="84">
        <v>0</v>
      </c>
      <c r="M128" s="53">
        <v>0</v>
      </c>
      <c r="N128" s="78">
        <v>0</v>
      </c>
    </row>
    <row r="129" spans="1:14" ht="19.5" customHeight="1" outlineLevel="1" x14ac:dyDescent="0.2">
      <c r="A129" s="101">
        <v>11</v>
      </c>
      <c r="B129" s="81" t="s">
        <v>18</v>
      </c>
      <c r="C129" s="84">
        <v>0</v>
      </c>
      <c r="D129" s="53">
        <v>0</v>
      </c>
      <c r="E129" s="78">
        <v>0</v>
      </c>
      <c r="F129" s="84">
        <v>0</v>
      </c>
      <c r="G129" s="53">
        <v>0</v>
      </c>
      <c r="H129" s="78">
        <v>0</v>
      </c>
      <c r="I129" s="84">
        <v>0</v>
      </c>
      <c r="J129" s="53">
        <v>0</v>
      </c>
      <c r="K129" s="78">
        <v>0</v>
      </c>
      <c r="L129" s="84">
        <v>0</v>
      </c>
      <c r="M129" s="53">
        <v>0</v>
      </c>
      <c r="N129" s="78">
        <v>0</v>
      </c>
    </row>
    <row r="130" spans="1:14" ht="19.5" customHeight="1" outlineLevel="1" x14ac:dyDescent="0.2">
      <c r="A130" s="101">
        <v>12</v>
      </c>
      <c r="B130" s="81" t="s">
        <v>19</v>
      </c>
      <c r="C130" s="84">
        <v>0</v>
      </c>
      <c r="D130" s="53">
        <v>0</v>
      </c>
      <c r="E130" s="78">
        <v>0</v>
      </c>
      <c r="F130" s="84">
        <v>0</v>
      </c>
      <c r="G130" s="53">
        <v>0</v>
      </c>
      <c r="H130" s="78">
        <v>0</v>
      </c>
      <c r="I130" s="84">
        <v>0</v>
      </c>
      <c r="J130" s="53">
        <v>0</v>
      </c>
      <c r="K130" s="78">
        <v>0</v>
      </c>
      <c r="L130" s="84">
        <v>0</v>
      </c>
      <c r="M130" s="53">
        <v>0</v>
      </c>
      <c r="N130" s="78">
        <v>0</v>
      </c>
    </row>
    <row r="131" spans="1:14" ht="19.5" customHeight="1" outlineLevel="1" x14ac:dyDescent="0.2">
      <c r="A131" s="101">
        <v>13</v>
      </c>
      <c r="B131" s="81" t="s">
        <v>20</v>
      </c>
      <c r="C131" s="84">
        <v>0</v>
      </c>
      <c r="D131" s="53">
        <v>0</v>
      </c>
      <c r="E131" s="78">
        <v>0</v>
      </c>
      <c r="F131" s="84">
        <v>0</v>
      </c>
      <c r="G131" s="53">
        <v>0</v>
      </c>
      <c r="H131" s="78">
        <v>0</v>
      </c>
      <c r="I131" s="84">
        <v>0</v>
      </c>
      <c r="J131" s="53">
        <v>0</v>
      </c>
      <c r="K131" s="78">
        <v>0</v>
      </c>
      <c r="L131" s="84">
        <v>0</v>
      </c>
      <c r="M131" s="53">
        <v>0</v>
      </c>
      <c r="N131" s="78">
        <v>0</v>
      </c>
    </row>
    <row r="132" spans="1:14" ht="19.5" customHeight="1" outlineLevel="1" x14ac:dyDescent="0.2">
      <c r="A132" s="101">
        <v>14</v>
      </c>
      <c r="B132" s="81" t="s">
        <v>21</v>
      </c>
      <c r="C132" s="84">
        <v>0</v>
      </c>
      <c r="D132" s="53">
        <v>0</v>
      </c>
      <c r="E132" s="78">
        <v>0</v>
      </c>
      <c r="F132" s="84">
        <v>0</v>
      </c>
      <c r="G132" s="53">
        <v>0</v>
      </c>
      <c r="H132" s="78">
        <v>0</v>
      </c>
      <c r="I132" s="84">
        <v>0</v>
      </c>
      <c r="J132" s="53">
        <v>0</v>
      </c>
      <c r="K132" s="78">
        <v>0</v>
      </c>
      <c r="L132" s="84">
        <v>0</v>
      </c>
      <c r="M132" s="53">
        <v>0</v>
      </c>
      <c r="N132" s="78">
        <v>0</v>
      </c>
    </row>
    <row r="133" spans="1:14" ht="19.5" customHeight="1" outlineLevel="1" x14ac:dyDescent="0.2">
      <c r="A133" s="101">
        <v>15</v>
      </c>
      <c r="B133" s="81" t="s">
        <v>22</v>
      </c>
      <c r="C133" s="84">
        <v>0</v>
      </c>
      <c r="D133" s="53">
        <v>0</v>
      </c>
      <c r="E133" s="78">
        <v>0</v>
      </c>
      <c r="F133" s="84">
        <v>5</v>
      </c>
      <c r="G133" s="53">
        <v>6.2853208603990405</v>
      </c>
      <c r="H133" s="78">
        <v>1257.064172079808</v>
      </c>
      <c r="I133" s="84">
        <v>0.56999999999999995</v>
      </c>
      <c r="J133" s="53">
        <v>0.77843757318689133</v>
      </c>
      <c r="K133" s="78">
        <v>1365.6799529594587</v>
      </c>
      <c r="L133" s="84">
        <v>2.7850000000000001</v>
      </c>
      <c r="M133" s="53">
        <v>3.5318792167929658</v>
      </c>
      <c r="N133" s="78">
        <v>1268.1792519902929</v>
      </c>
    </row>
    <row r="134" spans="1:14" ht="19.5" customHeight="1" outlineLevel="1" x14ac:dyDescent="0.2">
      <c r="A134" s="101">
        <v>16</v>
      </c>
      <c r="B134" s="81" t="s">
        <v>23</v>
      </c>
      <c r="C134" s="84">
        <v>0</v>
      </c>
      <c r="D134" s="53">
        <v>0</v>
      </c>
      <c r="E134" s="78">
        <v>0</v>
      </c>
      <c r="F134" s="84">
        <v>0</v>
      </c>
      <c r="G134" s="53">
        <v>0</v>
      </c>
      <c r="H134" s="78">
        <v>0</v>
      </c>
      <c r="I134" s="84">
        <v>0</v>
      </c>
      <c r="J134" s="53">
        <v>0</v>
      </c>
      <c r="K134" s="78">
        <v>0</v>
      </c>
      <c r="L134" s="84">
        <v>0</v>
      </c>
      <c r="M134" s="53">
        <v>0</v>
      </c>
      <c r="N134" s="78">
        <v>0</v>
      </c>
    </row>
    <row r="135" spans="1:14" ht="19.5" customHeight="1" outlineLevel="1" x14ac:dyDescent="0.2">
      <c r="A135" s="101">
        <v>17</v>
      </c>
      <c r="B135" s="81" t="s">
        <v>24</v>
      </c>
      <c r="C135" s="84">
        <v>0.25</v>
      </c>
      <c r="D135" s="53">
        <v>0.34337722258646575</v>
      </c>
      <c r="E135" s="78">
        <v>1373.5088903458629</v>
      </c>
      <c r="F135" s="84">
        <v>0</v>
      </c>
      <c r="G135" s="53">
        <v>0</v>
      </c>
      <c r="H135" s="78">
        <v>0</v>
      </c>
      <c r="I135" s="84">
        <v>0</v>
      </c>
      <c r="J135" s="53">
        <v>0</v>
      </c>
      <c r="K135" s="78">
        <v>0</v>
      </c>
      <c r="L135" s="84">
        <v>0.25</v>
      </c>
      <c r="M135" s="53">
        <v>0.34337722258646575</v>
      </c>
      <c r="N135" s="78">
        <v>1373.5088903458629</v>
      </c>
    </row>
    <row r="136" spans="1:14" ht="19.5" customHeight="1" outlineLevel="1" x14ac:dyDescent="0.2">
      <c r="A136" s="101">
        <v>18</v>
      </c>
      <c r="B136" s="81" t="s">
        <v>25</v>
      </c>
      <c r="C136" s="84">
        <v>7.0000000000000007E-2</v>
      </c>
      <c r="D136" s="53">
        <v>9.6145622324210422E-2</v>
      </c>
      <c r="E136" s="78">
        <v>1373.5088903458629</v>
      </c>
      <c r="F136" s="84">
        <v>0</v>
      </c>
      <c r="G136" s="53">
        <v>0</v>
      </c>
      <c r="H136" s="78">
        <v>0</v>
      </c>
      <c r="I136" s="84">
        <v>0.63</v>
      </c>
      <c r="J136" s="53">
        <v>0.86037837036445897</v>
      </c>
      <c r="K136" s="78">
        <v>1365.6799529594587</v>
      </c>
      <c r="L136" s="84">
        <v>0.35</v>
      </c>
      <c r="M136" s="53">
        <v>0.47826199634433469</v>
      </c>
      <c r="N136" s="78">
        <v>1366.4628466980992</v>
      </c>
    </row>
    <row r="137" spans="1:14" ht="19.5" customHeight="1" outlineLevel="1" x14ac:dyDescent="0.2">
      <c r="A137" s="101">
        <v>19</v>
      </c>
      <c r="B137" s="81" t="s">
        <v>26</v>
      </c>
      <c r="C137" s="84">
        <v>0</v>
      </c>
      <c r="D137" s="53">
        <v>0</v>
      </c>
      <c r="E137" s="78">
        <v>0</v>
      </c>
      <c r="F137" s="84">
        <v>0</v>
      </c>
      <c r="G137" s="53">
        <v>0</v>
      </c>
      <c r="H137" s="78">
        <v>0</v>
      </c>
      <c r="I137" s="84">
        <v>0</v>
      </c>
      <c r="J137" s="53">
        <v>0</v>
      </c>
      <c r="K137" s="78">
        <v>0</v>
      </c>
      <c r="L137" s="84">
        <v>0</v>
      </c>
      <c r="M137" s="53">
        <v>0</v>
      </c>
      <c r="N137" s="78">
        <v>0</v>
      </c>
    </row>
    <row r="138" spans="1:14" ht="19.5" customHeight="1" outlineLevel="1" x14ac:dyDescent="0.2">
      <c r="A138" s="101">
        <v>20</v>
      </c>
      <c r="B138" s="81" t="s">
        <v>27</v>
      </c>
      <c r="C138" s="84">
        <v>0</v>
      </c>
      <c r="D138" s="53">
        <v>0</v>
      </c>
      <c r="E138" s="78">
        <v>0</v>
      </c>
      <c r="F138" s="84">
        <v>0.15</v>
      </c>
      <c r="G138" s="53">
        <v>0.18855962581197119</v>
      </c>
      <c r="H138" s="78">
        <v>1257.064172079808</v>
      </c>
      <c r="I138" s="84">
        <v>0.7</v>
      </c>
      <c r="J138" s="53">
        <v>0.95597596707162102</v>
      </c>
      <c r="K138" s="78">
        <v>1365.6799529594587</v>
      </c>
      <c r="L138" s="84">
        <v>0.42499999999999999</v>
      </c>
      <c r="M138" s="53">
        <v>0.57226779644179615</v>
      </c>
      <c r="N138" s="78">
        <v>1346.5124622159908</v>
      </c>
    </row>
    <row r="139" spans="1:14" ht="19.5" customHeight="1" outlineLevel="1" x14ac:dyDescent="0.2">
      <c r="A139" s="101">
        <v>21</v>
      </c>
      <c r="B139" s="81" t="s">
        <v>28</v>
      </c>
      <c r="C139" s="84">
        <v>0.93</v>
      </c>
      <c r="D139" s="53">
        <v>1.2773632680216527</v>
      </c>
      <c r="E139" s="78">
        <v>1373.5088903458629</v>
      </c>
      <c r="F139" s="84">
        <v>0.27</v>
      </c>
      <c r="G139" s="53">
        <v>0.33940732646154814</v>
      </c>
      <c r="H139" s="78">
        <v>1257.064172079808</v>
      </c>
      <c r="I139" s="84">
        <v>0.18</v>
      </c>
      <c r="J139" s="53">
        <v>0.24582239153270255</v>
      </c>
      <c r="K139" s="78">
        <v>1365.6799529594587</v>
      </c>
      <c r="L139" s="84">
        <v>0.46</v>
      </c>
      <c r="M139" s="53">
        <v>0.62086432867196772</v>
      </c>
      <c r="N139" s="78">
        <v>1349.7050623303646</v>
      </c>
    </row>
    <row r="140" spans="1:14" ht="19.5" customHeight="1" outlineLevel="1" x14ac:dyDescent="0.2">
      <c r="A140" s="101">
        <v>22</v>
      </c>
      <c r="B140" s="81" t="s">
        <v>29</v>
      </c>
      <c r="C140" s="84">
        <v>0</v>
      </c>
      <c r="D140" s="53">
        <v>0</v>
      </c>
      <c r="E140" s="78">
        <v>0</v>
      </c>
      <c r="F140" s="84">
        <v>0.01</v>
      </c>
      <c r="G140" s="53">
        <v>1.2570641720798081E-2</v>
      </c>
      <c r="H140" s="78">
        <v>1257.064172079808</v>
      </c>
      <c r="I140" s="84">
        <v>0</v>
      </c>
      <c r="J140" s="53">
        <v>0</v>
      </c>
      <c r="K140" s="78">
        <v>0</v>
      </c>
      <c r="L140" s="84">
        <v>0.01</v>
      </c>
      <c r="M140" s="53">
        <v>1.2570641720798081E-2</v>
      </c>
      <c r="N140" s="78">
        <v>1257.064172079808</v>
      </c>
    </row>
    <row r="141" spans="1:14" ht="19.5" customHeight="1" outlineLevel="1" x14ac:dyDescent="0.2">
      <c r="A141" s="101">
        <v>23</v>
      </c>
      <c r="B141" s="81" t="s">
        <v>30</v>
      </c>
      <c r="C141" s="84">
        <v>0</v>
      </c>
      <c r="D141" s="53">
        <v>0</v>
      </c>
      <c r="E141" s="78">
        <v>0</v>
      </c>
      <c r="F141" s="84">
        <v>0</v>
      </c>
      <c r="G141" s="53">
        <v>0</v>
      </c>
      <c r="H141" s="78">
        <v>0</v>
      </c>
      <c r="I141" s="84">
        <v>0</v>
      </c>
      <c r="J141" s="53">
        <v>0</v>
      </c>
      <c r="K141" s="78">
        <v>0</v>
      </c>
      <c r="L141" s="84">
        <v>0</v>
      </c>
      <c r="M141" s="53">
        <v>0</v>
      </c>
      <c r="N141" s="78">
        <v>0</v>
      </c>
    </row>
    <row r="142" spans="1:14" ht="19.5" customHeight="1" outlineLevel="1" x14ac:dyDescent="0.2">
      <c r="A142" s="101">
        <v>24</v>
      </c>
      <c r="B142" s="81" t="s">
        <v>31</v>
      </c>
      <c r="C142" s="84">
        <v>0</v>
      </c>
      <c r="D142" s="53">
        <v>0</v>
      </c>
      <c r="E142" s="78">
        <v>0</v>
      </c>
      <c r="F142" s="84">
        <v>0</v>
      </c>
      <c r="G142" s="53">
        <v>0</v>
      </c>
      <c r="H142" s="78">
        <v>0</v>
      </c>
      <c r="I142" s="84">
        <v>0</v>
      </c>
      <c r="J142" s="53">
        <v>0</v>
      </c>
      <c r="K142" s="78">
        <v>0</v>
      </c>
      <c r="L142" s="84">
        <v>0</v>
      </c>
      <c r="M142" s="53">
        <v>0</v>
      </c>
      <c r="N142" s="78">
        <v>0</v>
      </c>
    </row>
    <row r="143" spans="1:14" ht="19.5" customHeight="1" outlineLevel="1" x14ac:dyDescent="0.2">
      <c r="A143" s="101">
        <v>25</v>
      </c>
      <c r="B143" s="81" t="s">
        <v>32</v>
      </c>
      <c r="C143" s="84">
        <v>0</v>
      </c>
      <c r="D143" s="53">
        <v>0</v>
      </c>
      <c r="E143" s="78">
        <v>0</v>
      </c>
      <c r="F143" s="84">
        <v>0</v>
      </c>
      <c r="G143" s="53">
        <v>0</v>
      </c>
      <c r="H143" s="78">
        <v>0</v>
      </c>
      <c r="I143" s="84">
        <v>0</v>
      </c>
      <c r="J143" s="53">
        <v>0</v>
      </c>
      <c r="K143" s="78">
        <v>0</v>
      </c>
      <c r="L143" s="84">
        <v>0</v>
      </c>
      <c r="M143" s="53">
        <v>0</v>
      </c>
      <c r="N143" s="78">
        <v>0</v>
      </c>
    </row>
    <row r="144" spans="1:14" ht="19.5" customHeight="1" outlineLevel="1" x14ac:dyDescent="0.2">
      <c r="A144" s="101">
        <v>26</v>
      </c>
      <c r="B144" s="81" t="s">
        <v>33</v>
      </c>
      <c r="C144" s="84">
        <v>0.2</v>
      </c>
      <c r="D144" s="53">
        <v>0.27470177806917256</v>
      </c>
      <c r="E144" s="78">
        <v>1373.5088903458629</v>
      </c>
      <c r="F144" s="84">
        <v>0.25</v>
      </c>
      <c r="G144" s="53">
        <v>0.31426604301995203</v>
      </c>
      <c r="H144" s="78">
        <v>1257.064172079808</v>
      </c>
      <c r="I144" s="84">
        <v>0</v>
      </c>
      <c r="J144" s="53">
        <v>0</v>
      </c>
      <c r="K144" s="78">
        <v>0</v>
      </c>
      <c r="L144" s="84">
        <v>0.22500000000000001</v>
      </c>
      <c r="M144" s="53">
        <v>0.2944839105445623</v>
      </c>
      <c r="N144" s="78">
        <v>1308.8173801980547</v>
      </c>
    </row>
    <row r="145" spans="1:14" ht="19.5" customHeight="1" outlineLevel="1" x14ac:dyDescent="0.2">
      <c r="A145" s="101">
        <v>27</v>
      </c>
      <c r="B145" s="81" t="s">
        <v>34</v>
      </c>
      <c r="C145" s="84">
        <v>25.36</v>
      </c>
      <c r="D145" s="53">
        <v>36.616665602611178</v>
      </c>
      <c r="E145" s="78">
        <v>1443.8748266013872</v>
      </c>
      <c r="F145" s="84">
        <v>24.19</v>
      </c>
      <c r="G145" s="53">
        <v>35.12714264787548</v>
      </c>
      <c r="H145" s="78">
        <v>1452.1348758939844</v>
      </c>
      <c r="I145" s="84">
        <v>15.23</v>
      </c>
      <c r="J145" s="53">
        <v>22.032835429958393</v>
      </c>
      <c r="K145" s="78">
        <v>1446.6733703190014</v>
      </c>
      <c r="L145" s="84">
        <v>21.593333333333334</v>
      </c>
      <c r="M145" s="53">
        <v>31.258881226815021</v>
      </c>
      <c r="N145" s="78">
        <v>1447.6172226064382</v>
      </c>
    </row>
    <row r="146" spans="1:14" ht="19.5" customHeight="1" outlineLevel="1" x14ac:dyDescent="0.2">
      <c r="A146" s="101">
        <v>28</v>
      </c>
      <c r="B146" s="81" t="s">
        <v>35</v>
      </c>
      <c r="C146" s="84">
        <v>3.6</v>
      </c>
      <c r="D146" s="53">
        <v>4.944632005245106</v>
      </c>
      <c r="E146" s="78">
        <v>1373.5088903458629</v>
      </c>
      <c r="F146" s="84">
        <v>12.2</v>
      </c>
      <c r="G146" s="53">
        <v>15.336182899373656</v>
      </c>
      <c r="H146" s="78">
        <v>1257.064172079808</v>
      </c>
      <c r="I146" s="84">
        <v>9.7200000000000006</v>
      </c>
      <c r="J146" s="53">
        <v>13.274409142765938</v>
      </c>
      <c r="K146" s="78">
        <v>1365.6799529594587</v>
      </c>
      <c r="L146" s="84">
        <v>8.5066666666666659</v>
      </c>
      <c r="M146" s="53">
        <v>11.185074682461567</v>
      </c>
      <c r="N146" s="78">
        <v>1314.859876464918</v>
      </c>
    </row>
    <row r="147" spans="1:14" ht="19.5" customHeight="1" outlineLevel="1" x14ac:dyDescent="0.2">
      <c r="A147" s="101">
        <v>29</v>
      </c>
      <c r="B147" s="81" t="s">
        <v>36</v>
      </c>
      <c r="C147" s="84">
        <v>68.45</v>
      </c>
      <c r="D147" s="53">
        <v>80.879362103649413</v>
      </c>
      <c r="E147" s="78">
        <v>1181.5830840562369</v>
      </c>
      <c r="F147" s="84">
        <v>67.45</v>
      </c>
      <c r="G147" s="53">
        <v>87.616063043478249</v>
      </c>
      <c r="H147" s="78">
        <v>1298.9779546846294</v>
      </c>
      <c r="I147" s="84">
        <v>48.28</v>
      </c>
      <c r="J147" s="53">
        <v>61.335149656102487</v>
      </c>
      <c r="K147" s="78">
        <v>1270.404922454484</v>
      </c>
      <c r="L147" s="84">
        <v>61.393333333333338</v>
      </c>
      <c r="M147" s="53">
        <v>76.610191601076721</v>
      </c>
      <c r="N147" s="78">
        <v>1247.8584797656104</v>
      </c>
    </row>
    <row r="148" spans="1:14" ht="19.5" customHeight="1" outlineLevel="1" x14ac:dyDescent="0.2">
      <c r="A148" s="101">
        <v>30</v>
      </c>
      <c r="B148" s="81" t="s">
        <v>37</v>
      </c>
      <c r="C148" s="84">
        <v>0.62</v>
      </c>
      <c r="D148" s="53">
        <v>0.85157551201443504</v>
      </c>
      <c r="E148" s="78">
        <v>1373.5088903458629</v>
      </c>
      <c r="F148" s="84">
        <v>0.61</v>
      </c>
      <c r="G148" s="53">
        <v>0.76680914496868291</v>
      </c>
      <c r="H148" s="78">
        <v>1257.064172079808</v>
      </c>
      <c r="I148" s="84">
        <v>0.68</v>
      </c>
      <c r="J148" s="53">
        <v>0.92866236801243196</v>
      </c>
      <c r="K148" s="78">
        <v>1365.6799529594587</v>
      </c>
      <c r="L148" s="84">
        <v>0.63666666666666671</v>
      </c>
      <c r="M148" s="53">
        <v>0.8490156749985166</v>
      </c>
      <c r="N148" s="78">
        <v>1333.5324738196596</v>
      </c>
    </row>
    <row r="149" spans="1:14" ht="19.5" customHeight="1" outlineLevel="1" x14ac:dyDescent="0.2">
      <c r="A149" s="101">
        <v>31</v>
      </c>
      <c r="B149" s="81" t="s">
        <v>38</v>
      </c>
      <c r="C149" s="84">
        <v>0.14000000000000001</v>
      </c>
      <c r="D149" s="53">
        <v>0.19229124464842084</v>
      </c>
      <c r="E149" s="78">
        <v>1373.5088903458629</v>
      </c>
      <c r="F149" s="84">
        <v>0.42</v>
      </c>
      <c r="G149" s="53">
        <v>0.52796695227351942</v>
      </c>
      <c r="H149" s="78">
        <v>1257.064172079808</v>
      </c>
      <c r="I149" s="84">
        <v>0.18</v>
      </c>
      <c r="J149" s="53">
        <v>0.24582239153270255</v>
      </c>
      <c r="K149" s="78">
        <v>1365.6799529594587</v>
      </c>
      <c r="L149" s="84">
        <v>0.24666666666666667</v>
      </c>
      <c r="M149" s="53">
        <v>0.3220268628182143</v>
      </c>
      <c r="N149" s="78">
        <v>1305.5143087224903</v>
      </c>
    </row>
    <row r="150" spans="1:14" ht="19.5" customHeight="1" outlineLevel="1" x14ac:dyDescent="0.2">
      <c r="A150" s="101">
        <v>32</v>
      </c>
      <c r="B150" s="81" t="s">
        <v>39</v>
      </c>
      <c r="C150" s="84">
        <v>0</v>
      </c>
      <c r="D150" s="53">
        <v>0</v>
      </c>
      <c r="E150" s="78">
        <v>0</v>
      </c>
      <c r="F150" s="84">
        <v>0</v>
      </c>
      <c r="G150" s="53">
        <v>0</v>
      </c>
      <c r="H150" s="78">
        <v>0</v>
      </c>
      <c r="I150" s="84">
        <v>0</v>
      </c>
      <c r="J150" s="53">
        <v>0</v>
      </c>
      <c r="K150" s="78">
        <v>0</v>
      </c>
      <c r="L150" s="84">
        <v>0</v>
      </c>
      <c r="M150" s="53">
        <v>0</v>
      </c>
      <c r="N150" s="78">
        <v>0</v>
      </c>
    </row>
    <row r="151" spans="1:14" ht="19.5" customHeight="1" outlineLevel="1" thickBot="1" x14ac:dyDescent="0.25">
      <c r="A151" s="102">
        <v>33</v>
      </c>
      <c r="B151" s="91" t="s">
        <v>40</v>
      </c>
      <c r="C151" s="92">
        <v>50.81</v>
      </c>
      <c r="D151" s="93">
        <v>89.55132682837592</v>
      </c>
      <c r="E151" s="94">
        <v>1762.4744504699058</v>
      </c>
      <c r="F151" s="92">
        <v>56.73</v>
      </c>
      <c r="G151" s="93">
        <v>69.780930876310833</v>
      </c>
      <c r="H151" s="94">
        <v>1230.0534263407515</v>
      </c>
      <c r="I151" s="92">
        <v>55.37</v>
      </c>
      <c r="J151" s="93">
        <v>93.217655450797849</v>
      </c>
      <c r="K151" s="94">
        <v>1683.5408244680848</v>
      </c>
      <c r="L151" s="92">
        <v>54.303333333333335</v>
      </c>
      <c r="M151" s="93">
        <v>84.183304385161534</v>
      </c>
      <c r="N151" s="94">
        <v>1550.2419320820368</v>
      </c>
    </row>
    <row r="152" spans="1:14" ht="19.5" customHeight="1" thickBot="1" x14ac:dyDescent="0.25">
      <c r="A152" s="151" t="s">
        <v>41</v>
      </c>
      <c r="B152" s="152"/>
      <c r="C152" s="96">
        <v>182.93</v>
      </c>
      <c r="D152" s="97">
        <v>251.25598131096856</v>
      </c>
      <c r="E152" s="98">
        <v>1373.5088903458623</v>
      </c>
      <c r="F152" s="96">
        <v>196.31</v>
      </c>
      <c r="G152" s="97">
        <v>246.77426762098733</v>
      </c>
      <c r="H152" s="98">
        <v>1257.0641720798089</v>
      </c>
      <c r="I152" s="96">
        <v>189.66000000000003</v>
      </c>
      <c r="J152" s="97">
        <v>259.01485987829113</v>
      </c>
      <c r="K152" s="98">
        <v>1365.6799529594596</v>
      </c>
      <c r="L152" s="96">
        <v>189.63333333333335</v>
      </c>
      <c r="M152" s="97">
        <v>252.34836960341568</v>
      </c>
      <c r="N152" s="98">
        <v>1330.7173647569819</v>
      </c>
    </row>
    <row r="153" spans="1:14" ht="34.5" customHeight="1" x14ac:dyDescent="0.2">
      <c r="A153" s="153" t="s">
        <v>247</v>
      </c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</row>
    <row r="154" spans="1:14" ht="19.5" customHeight="1" thickBot="1" x14ac:dyDescent="0.25">
      <c r="A154" s="50"/>
      <c r="B154" s="138" t="s">
        <v>45</v>
      </c>
      <c r="C154" s="52"/>
      <c r="D154" s="52"/>
      <c r="E154" s="52"/>
      <c r="F154" s="52"/>
      <c r="G154" s="52"/>
      <c r="H154" s="52"/>
      <c r="I154" s="52"/>
      <c r="J154" s="52"/>
      <c r="K154" s="155" t="s">
        <v>1</v>
      </c>
      <c r="L154" s="154"/>
      <c r="M154" s="154"/>
      <c r="N154" s="154"/>
    </row>
    <row r="155" spans="1:14" ht="19.5" customHeight="1" x14ac:dyDescent="0.2">
      <c r="A155" s="156" t="s">
        <v>2</v>
      </c>
      <c r="B155" s="158" t="s">
        <v>3</v>
      </c>
      <c r="C155" s="148" t="s">
        <v>243</v>
      </c>
      <c r="D155" s="149"/>
      <c r="E155" s="150"/>
      <c r="F155" s="148" t="s">
        <v>244</v>
      </c>
      <c r="G155" s="149"/>
      <c r="H155" s="150"/>
      <c r="I155" s="148" t="s">
        <v>246</v>
      </c>
      <c r="J155" s="149"/>
      <c r="K155" s="150"/>
      <c r="L155" s="148" t="s">
        <v>4</v>
      </c>
      <c r="M155" s="149"/>
      <c r="N155" s="150"/>
    </row>
    <row r="156" spans="1:14" ht="19.5" customHeight="1" thickBot="1" x14ac:dyDescent="0.25">
      <c r="A156" s="157"/>
      <c r="B156" s="159"/>
      <c r="C156" s="85" t="s">
        <v>5</v>
      </c>
      <c r="D156" s="79" t="s">
        <v>6</v>
      </c>
      <c r="E156" s="80" t="s">
        <v>7</v>
      </c>
      <c r="F156" s="85" t="s">
        <v>5</v>
      </c>
      <c r="G156" s="79" t="s">
        <v>6</v>
      </c>
      <c r="H156" s="80" t="s">
        <v>7</v>
      </c>
      <c r="I156" s="85" t="s">
        <v>5</v>
      </c>
      <c r="J156" s="79" t="s">
        <v>6</v>
      </c>
      <c r="K156" s="80" t="s">
        <v>7</v>
      </c>
      <c r="L156" s="85" t="s">
        <v>5</v>
      </c>
      <c r="M156" s="79" t="s">
        <v>6</v>
      </c>
      <c r="N156" s="80" t="s">
        <v>7</v>
      </c>
    </row>
    <row r="157" spans="1:14" ht="19.5" customHeight="1" outlineLevel="1" x14ac:dyDescent="0.2">
      <c r="A157" s="100">
        <v>1</v>
      </c>
      <c r="B157" s="86" t="s">
        <v>8</v>
      </c>
      <c r="C157" s="87">
        <v>196.55</v>
      </c>
      <c r="D157" s="88">
        <v>245.05280955158142</v>
      </c>
      <c r="E157" s="89">
        <v>1246.770844831246</v>
      </c>
      <c r="F157" s="87">
        <v>204.1</v>
      </c>
      <c r="G157" s="88">
        <v>256.35363933251978</v>
      </c>
      <c r="H157" s="89">
        <v>1256.0197909481617</v>
      </c>
      <c r="I157" s="87">
        <v>202.78</v>
      </c>
      <c r="J157" s="88">
        <v>356.01425945770524</v>
      </c>
      <c r="K157" s="89">
        <v>1755.6675187775188</v>
      </c>
      <c r="L157" s="87">
        <v>201.14333333333332</v>
      </c>
      <c r="M157" s="88">
        <v>285.80690278060212</v>
      </c>
      <c r="N157" s="89">
        <v>1420.9116357188182</v>
      </c>
    </row>
    <row r="158" spans="1:14" ht="19.5" customHeight="1" outlineLevel="1" x14ac:dyDescent="0.2">
      <c r="A158" s="101">
        <v>2</v>
      </c>
      <c r="B158" s="81" t="s">
        <v>9</v>
      </c>
      <c r="C158" s="84">
        <v>1265.6099999999999</v>
      </c>
      <c r="D158" s="53">
        <v>2217.5223409004229</v>
      </c>
      <c r="E158" s="78">
        <v>1752.1371835718928</v>
      </c>
      <c r="F158" s="84">
        <v>1322.03</v>
      </c>
      <c r="G158" s="53">
        <v>2418.5127673502852</v>
      </c>
      <c r="H158" s="78">
        <v>1829.3932568476398</v>
      </c>
      <c r="I158" s="84">
        <v>1134.6600000000001</v>
      </c>
      <c r="J158" s="53">
        <v>2118.4487245088972</v>
      </c>
      <c r="K158" s="78">
        <v>1867.0339348429457</v>
      </c>
      <c r="L158" s="84">
        <v>1240.7666666666667</v>
      </c>
      <c r="M158" s="53">
        <v>2251.4946109198681</v>
      </c>
      <c r="N158" s="78">
        <v>1814.5995306019408</v>
      </c>
    </row>
    <row r="159" spans="1:14" ht="19.5" customHeight="1" outlineLevel="1" x14ac:dyDescent="0.2">
      <c r="A159" s="101">
        <v>3</v>
      </c>
      <c r="B159" s="81" t="s">
        <v>10</v>
      </c>
      <c r="C159" s="84">
        <v>31.8</v>
      </c>
      <c r="D159" s="53">
        <v>68.109787096774213</v>
      </c>
      <c r="E159" s="78">
        <v>2141.8172043010754</v>
      </c>
      <c r="F159" s="84">
        <v>58.33</v>
      </c>
      <c r="G159" s="53">
        <v>89.785527685924038</v>
      </c>
      <c r="H159" s="78">
        <v>1539.2684328120015</v>
      </c>
      <c r="I159" s="84">
        <v>71.849999999999994</v>
      </c>
      <c r="J159" s="53">
        <v>78.294861528150122</v>
      </c>
      <c r="K159" s="78">
        <v>1089.698838248436</v>
      </c>
      <c r="L159" s="84">
        <v>53.993333333333332</v>
      </c>
      <c r="M159" s="53">
        <v>78.730058770282781</v>
      </c>
      <c r="N159" s="78">
        <v>1458.1440690878401</v>
      </c>
    </row>
    <row r="160" spans="1:14" ht="19.5" customHeight="1" outlineLevel="1" x14ac:dyDescent="0.2">
      <c r="A160" s="101">
        <v>4</v>
      </c>
      <c r="B160" s="81" t="s">
        <v>11</v>
      </c>
      <c r="C160" s="84">
        <v>27.79</v>
      </c>
      <c r="D160" s="53">
        <v>48.074771151679997</v>
      </c>
      <c r="E160" s="78">
        <v>1729.9305919999999</v>
      </c>
      <c r="F160" s="84">
        <v>38.56</v>
      </c>
      <c r="G160" s="53">
        <v>59.993926545454556</v>
      </c>
      <c r="H160" s="78">
        <v>1555.859090909091</v>
      </c>
      <c r="I160" s="84">
        <v>36.799999999999997</v>
      </c>
      <c r="J160" s="53">
        <v>70.405306611909651</v>
      </c>
      <c r="K160" s="78">
        <v>1913.187679671458</v>
      </c>
      <c r="L160" s="84">
        <v>34.383333333333333</v>
      </c>
      <c r="M160" s="53">
        <v>59.491334769681401</v>
      </c>
      <c r="N160" s="78">
        <v>1730.2375599519555</v>
      </c>
    </row>
    <row r="161" spans="1:14" ht="19.5" customHeight="1" outlineLevel="1" x14ac:dyDescent="0.2">
      <c r="A161" s="101">
        <v>5</v>
      </c>
      <c r="B161" s="81" t="s">
        <v>12</v>
      </c>
      <c r="C161" s="84">
        <v>3.5</v>
      </c>
      <c r="D161" s="53">
        <v>9.1507500000000004</v>
      </c>
      <c r="E161" s="78">
        <v>2614.5</v>
      </c>
      <c r="F161" s="84">
        <v>13.01</v>
      </c>
      <c r="G161" s="53">
        <v>23.115266672792973</v>
      </c>
      <c r="H161" s="78">
        <v>1776.7307204298979</v>
      </c>
      <c r="I161" s="84">
        <v>1.55</v>
      </c>
      <c r="J161" s="53">
        <v>2.8582910336292087</v>
      </c>
      <c r="K161" s="78">
        <v>1844.058731373683</v>
      </c>
      <c r="L161" s="84">
        <v>6.02</v>
      </c>
      <c r="M161" s="53">
        <v>11.708102568807393</v>
      </c>
      <c r="N161" s="78">
        <v>1944.8675363467432</v>
      </c>
    </row>
    <row r="162" spans="1:14" ht="19.5" customHeight="1" outlineLevel="1" x14ac:dyDescent="0.2">
      <c r="A162" s="101">
        <v>6</v>
      </c>
      <c r="B162" s="81" t="s">
        <v>13</v>
      </c>
      <c r="C162" s="84">
        <v>9.4499999999999993</v>
      </c>
      <c r="D162" s="53">
        <v>18.864090000000001</v>
      </c>
      <c r="E162" s="78">
        <v>1996.2000000000003</v>
      </c>
      <c r="F162" s="84">
        <v>6.97</v>
      </c>
      <c r="G162" s="53">
        <v>13.920484</v>
      </c>
      <c r="H162" s="78">
        <v>1997.2</v>
      </c>
      <c r="I162" s="84">
        <v>3.78</v>
      </c>
      <c r="J162" s="53">
        <v>7.4307239999999988</v>
      </c>
      <c r="K162" s="78">
        <v>1965.7999999999997</v>
      </c>
      <c r="L162" s="84">
        <v>6.7333333333333334</v>
      </c>
      <c r="M162" s="53">
        <v>13.405099333333332</v>
      </c>
      <c r="N162" s="78">
        <v>1990.8563366336632</v>
      </c>
    </row>
    <row r="163" spans="1:14" ht="19.5" customHeight="1" outlineLevel="1" x14ac:dyDescent="0.2">
      <c r="A163" s="101">
        <v>7</v>
      </c>
      <c r="B163" s="81" t="s">
        <v>14</v>
      </c>
      <c r="C163" s="84">
        <v>10.44</v>
      </c>
      <c r="D163" s="53">
        <v>16.510860000000001</v>
      </c>
      <c r="E163" s="78">
        <v>1581.5</v>
      </c>
      <c r="F163" s="84">
        <v>16.010000000000002</v>
      </c>
      <c r="G163" s="53">
        <v>23.681991999999997</v>
      </c>
      <c r="H163" s="78">
        <v>1479.1999999999998</v>
      </c>
      <c r="I163" s="84">
        <v>8.0399999999999991</v>
      </c>
      <c r="J163" s="53">
        <v>10.979423999999998</v>
      </c>
      <c r="K163" s="78">
        <v>1365.6</v>
      </c>
      <c r="L163" s="84">
        <v>11.496666666666668</v>
      </c>
      <c r="M163" s="53">
        <v>17.057425333333331</v>
      </c>
      <c r="N163" s="78">
        <v>1483.6844302696431</v>
      </c>
    </row>
    <row r="164" spans="1:14" ht="19.5" customHeight="1" outlineLevel="1" x14ac:dyDescent="0.2">
      <c r="A164" s="101">
        <v>8</v>
      </c>
      <c r="B164" s="81" t="s">
        <v>15</v>
      </c>
      <c r="C164" s="84">
        <v>1.1599999999999999</v>
      </c>
      <c r="D164" s="53">
        <v>2.0591728591816798</v>
      </c>
      <c r="E164" s="78">
        <v>1775.1490165359312</v>
      </c>
      <c r="F164" s="84">
        <v>7.33</v>
      </c>
      <c r="G164" s="53">
        <v>13.023436180751153</v>
      </c>
      <c r="H164" s="78">
        <v>1776.7307204298979</v>
      </c>
      <c r="I164" s="84">
        <v>1.52</v>
      </c>
      <c r="J164" s="53">
        <v>2.8029692716879979</v>
      </c>
      <c r="K164" s="78">
        <v>1844.058731373683</v>
      </c>
      <c r="L164" s="84">
        <v>3.3366666666666664</v>
      </c>
      <c r="M164" s="53">
        <v>5.961859437206944</v>
      </c>
      <c r="N164" s="78">
        <v>1786.7710601019812</v>
      </c>
    </row>
    <row r="165" spans="1:14" ht="19.5" customHeight="1" outlineLevel="1" x14ac:dyDescent="0.2">
      <c r="A165" s="101">
        <v>9</v>
      </c>
      <c r="B165" s="81" t="s">
        <v>16</v>
      </c>
      <c r="C165" s="84">
        <v>16.25</v>
      </c>
      <c r="D165" s="53">
        <v>23.237822968749999</v>
      </c>
      <c r="E165" s="78">
        <v>1430.019875</v>
      </c>
      <c r="F165" s="84">
        <v>31.22</v>
      </c>
      <c r="G165" s="53">
        <v>47.51011392744433</v>
      </c>
      <c r="H165" s="78">
        <v>1521.7845588547191</v>
      </c>
      <c r="I165" s="84">
        <v>10.41</v>
      </c>
      <c r="J165" s="53">
        <v>13.847017649999998</v>
      </c>
      <c r="K165" s="78">
        <v>1330.1649999999997</v>
      </c>
      <c r="L165" s="84">
        <v>19.293333333333333</v>
      </c>
      <c r="M165" s="53">
        <v>28.198318182064778</v>
      </c>
      <c r="N165" s="78">
        <v>1461.5576113717059</v>
      </c>
    </row>
    <row r="166" spans="1:14" ht="19.5" customHeight="1" outlineLevel="1" x14ac:dyDescent="0.2">
      <c r="A166" s="101">
        <v>10</v>
      </c>
      <c r="B166" s="81" t="s">
        <v>17</v>
      </c>
      <c r="C166" s="84">
        <v>2.17</v>
      </c>
      <c r="D166" s="53">
        <v>2.4623333600000001</v>
      </c>
      <c r="E166" s="78">
        <v>1134.7158341013826</v>
      </c>
      <c r="F166" s="84">
        <v>1.5</v>
      </c>
      <c r="G166" s="53">
        <v>2.6650960806448469</v>
      </c>
      <c r="H166" s="78">
        <v>1776.7307204298979</v>
      </c>
      <c r="I166" s="84">
        <v>0.66</v>
      </c>
      <c r="J166" s="53">
        <v>1.2170787627066308</v>
      </c>
      <c r="K166" s="78">
        <v>1844.058731373683</v>
      </c>
      <c r="L166" s="84">
        <v>1.4433333333333334</v>
      </c>
      <c r="M166" s="53">
        <v>2.114836067783826</v>
      </c>
      <c r="N166" s="78">
        <v>1465.2443887647755</v>
      </c>
    </row>
    <row r="167" spans="1:14" ht="19.5" customHeight="1" outlineLevel="1" x14ac:dyDescent="0.2">
      <c r="A167" s="101">
        <v>11</v>
      </c>
      <c r="B167" s="81" t="s">
        <v>18</v>
      </c>
      <c r="C167" s="84">
        <v>2.6</v>
      </c>
      <c r="D167" s="53">
        <v>4.6153874429934216</v>
      </c>
      <c r="E167" s="78">
        <v>1775.1490165359312</v>
      </c>
      <c r="F167" s="84">
        <v>4.37</v>
      </c>
      <c r="G167" s="53">
        <v>7.7643132482786541</v>
      </c>
      <c r="H167" s="78">
        <v>1776.7307204298979</v>
      </c>
      <c r="I167" s="84">
        <v>2.0499999999999998</v>
      </c>
      <c r="J167" s="53">
        <v>3.7803203993160501</v>
      </c>
      <c r="K167" s="78">
        <v>1844.058731373683</v>
      </c>
      <c r="L167" s="84">
        <v>3.0066666666666664</v>
      </c>
      <c r="M167" s="53">
        <v>5.386673696862708</v>
      </c>
      <c r="N167" s="78">
        <v>1791.5766175818321</v>
      </c>
    </row>
    <row r="168" spans="1:14" ht="19.5" customHeight="1" outlineLevel="1" x14ac:dyDescent="0.2">
      <c r="A168" s="101">
        <v>12</v>
      </c>
      <c r="B168" s="81" t="s">
        <v>19</v>
      </c>
      <c r="C168" s="84">
        <v>0</v>
      </c>
      <c r="D168" s="53">
        <v>0</v>
      </c>
      <c r="E168" s="78">
        <v>0</v>
      </c>
      <c r="F168" s="84">
        <v>0</v>
      </c>
      <c r="G168" s="53">
        <v>0</v>
      </c>
      <c r="H168" s="78">
        <v>0</v>
      </c>
      <c r="I168" s="84">
        <v>0.23</v>
      </c>
      <c r="J168" s="53">
        <v>0.42413350821594714</v>
      </c>
      <c r="K168" s="78">
        <v>1844.058731373683</v>
      </c>
      <c r="L168" s="84">
        <v>0.23</v>
      </c>
      <c r="M168" s="53">
        <v>0.42413350821594714</v>
      </c>
      <c r="N168" s="78">
        <v>1844.058731373683</v>
      </c>
    </row>
    <row r="169" spans="1:14" ht="19.5" customHeight="1" outlineLevel="1" x14ac:dyDescent="0.2">
      <c r="A169" s="101">
        <v>13</v>
      </c>
      <c r="B169" s="81" t="s">
        <v>20</v>
      </c>
      <c r="C169" s="84">
        <v>0</v>
      </c>
      <c r="D169" s="53">
        <v>0</v>
      </c>
      <c r="E169" s="78">
        <v>0</v>
      </c>
      <c r="F169" s="84">
        <v>0.19</v>
      </c>
      <c r="G169" s="53">
        <v>0.33757883688168061</v>
      </c>
      <c r="H169" s="78">
        <v>1776.7307204298979</v>
      </c>
      <c r="I169" s="84">
        <v>0</v>
      </c>
      <c r="J169" s="53">
        <v>0</v>
      </c>
      <c r="K169" s="78">
        <v>0</v>
      </c>
      <c r="L169" s="84">
        <v>0.19</v>
      </c>
      <c r="M169" s="53">
        <v>0.33757883688168061</v>
      </c>
      <c r="N169" s="78">
        <v>1776.7307204298979</v>
      </c>
    </row>
    <row r="170" spans="1:14" ht="19.5" customHeight="1" outlineLevel="1" x14ac:dyDescent="0.2">
      <c r="A170" s="101">
        <v>14</v>
      </c>
      <c r="B170" s="81" t="s">
        <v>21</v>
      </c>
      <c r="C170" s="84">
        <v>0</v>
      </c>
      <c r="D170" s="53">
        <v>0</v>
      </c>
      <c r="E170" s="78">
        <v>0</v>
      </c>
      <c r="F170" s="84">
        <v>0</v>
      </c>
      <c r="G170" s="53">
        <v>0</v>
      </c>
      <c r="H170" s="78">
        <v>0</v>
      </c>
      <c r="I170" s="84">
        <v>0</v>
      </c>
      <c r="J170" s="53">
        <v>0</v>
      </c>
      <c r="K170" s="78">
        <v>0</v>
      </c>
      <c r="L170" s="84">
        <v>0</v>
      </c>
      <c r="M170" s="53">
        <v>0</v>
      </c>
      <c r="N170" s="78">
        <v>0</v>
      </c>
    </row>
    <row r="171" spans="1:14" ht="19.5" customHeight="1" outlineLevel="1" x14ac:dyDescent="0.2">
      <c r="A171" s="101">
        <v>15</v>
      </c>
      <c r="B171" s="81" t="s">
        <v>22</v>
      </c>
      <c r="C171" s="84">
        <v>0.15</v>
      </c>
      <c r="D171" s="53">
        <v>0.26627235248038966</v>
      </c>
      <c r="E171" s="78">
        <v>1775.1490165359312</v>
      </c>
      <c r="F171" s="84">
        <v>0.5</v>
      </c>
      <c r="G171" s="53">
        <v>0.88836536021494894</v>
      </c>
      <c r="H171" s="78">
        <v>1776.7307204298979</v>
      </c>
      <c r="I171" s="84">
        <v>0</v>
      </c>
      <c r="J171" s="53">
        <v>0</v>
      </c>
      <c r="K171" s="78">
        <v>0</v>
      </c>
      <c r="L171" s="84">
        <v>0.32500000000000001</v>
      </c>
      <c r="M171" s="53">
        <v>0.57731885634766933</v>
      </c>
      <c r="N171" s="78">
        <v>1776.3657118389826</v>
      </c>
    </row>
    <row r="172" spans="1:14" ht="19.5" customHeight="1" outlineLevel="1" x14ac:dyDescent="0.2">
      <c r="A172" s="101">
        <v>16</v>
      </c>
      <c r="B172" s="81" t="s">
        <v>23</v>
      </c>
      <c r="C172" s="84">
        <v>11.2</v>
      </c>
      <c r="D172" s="53">
        <v>27.829811768888888</v>
      </c>
      <c r="E172" s="78">
        <v>2484.8046222222224</v>
      </c>
      <c r="F172" s="84">
        <v>8.0500000000000007</v>
      </c>
      <c r="G172" s="53">
        <v>19.512078750000001</v>
      </c>
      <c r="H172" s="78">
        <v>2423.860714285714</v>
      </c>
      <c r="I172" s="84">
        <v>8.35</v>
      </c>
      <c r="J172" s="53">
        <v>23.699362941176471</v>
      </c>
      <c r="K172" s="78">
        <v>2838.2470588235296</v>
      </c>
      <c r="L172" s="84">
        <v>9.2000000000000011</v>
      </c>
      <c r="M172" s="53">
        <v>23.680417820021788</v>
      </c>
      <c r="N172" s="78">
        <v>2573.95845869802</v>
      </c>
    </row>
    <row r="173" spans="1:14" ht="19.5" customHeight="1" outlineLevel="1" x14ac:dyDescent="0.2">
      <c r="A173" s="101">
        <v>17</v>
      </c>
      <c r="B173" s="81" t="s">
        <v>24</v>
      </c>
      <c r="C173" s="84">
        <v>11.6</v>
      </c>
      <c r="D173" s="53">
        <v>25.463159999999998</v>
      </c>
      <c r="E173" s="78">
        <v>2195.1</v>
      </c>
      <c r="F173" s="84">
        <v>13.71</v>
      </c>
      <c r="G173" s="53">
        <v>16.621181399999998</v>
      </c>
      <c r="H173" s="78">
        <v>1212.3399999999997</v>
      </c>
      <c r="I173" s="84">
        <v>11.41</v>
      </c>
      <c r="J173" s="53">
        <v>22.484546000000002</v>
      </c>
      <c r="K173" s="78">
        <v>1970.6000000000001</v>
      </c>
      <c r="L173" s="84">
        <v>12.24</v>
      </c>
      <c r="M173" s="53">
        <v>21.522962466666666</v>
      </c>
      <c r="N173" s="78">
        <v>1758.4119662309365</v>
      </c>
    </row>
    <row r="174" spans="1:14" ht="19.5" customHeight="1" outlineLevel="1" x14ac:dyDescent="0.2">
      <c r="A174" s="101">
        <v>18</v>
      </c>
      <c r="B174" s="81" t="s">
        <v>25</v>
      </c>
      <c r="C174" s="84">
        <v>125.59</v>
      </c>
      <c r="D174" s="53">
        <v>320.54864526442122</v>
      </c>
      <c r="E174" s="78">
        <v>2552.34210736859</v>
      </c>
      <c r="F174" s="84">
        <v>111.68</v>
      </c>
      <c r="G174" s="53">
        <v>274.9698158594415</v>
      </c>
      <c r="H174" s="78">
        <v>2462.1222766783799</v>
      </c>
      <c r="I174" s="84">
        <v>76.56</v>
      </c>
      <c r="J174" s="53">
        <v>198.24977084865515</v>
      </c>
      <c r="K174" s="78">
        <v>2589.4693162050044</v>
      </c>
      <c r="L174" s="84">
        <v>104.61000000000001</v>
      </c>
      <c r="M174" s="53">
        <v>264.58941065750599</v>
      </c>
      <c r="N174" s="78">
        <v>2529.293668459095</v>
      </c>
    </row>
    <row r="175" spans="1:14" ht="19.5" customHeight="1" outlineLevel="1" x14ac:dyDescent="0.2">
      <c r="A175" s="101">
        <v>19</v>
      </c>
      <c r="B175" s="81" t="s">
        <v>26</v>
      </c>
      <c r="C175" s="84">
        <v>0.65</v>
      </c>
      <c r="D175" s="53">
        <v>1.1538468607483554</v>
      </c>
      <c r="E175" s="78">
        <v>1775.1490165359312</v>
      </c>
      <c r="F175" s="84">
        <v>0.66</v>
      </c>
      <c r="G175" s="53">
        <v>1.1726422754837327</v>
      </c>
      <c r="H175" s="78">
        <v>1776.7307204298979</v>
      </c>
      <c r="I175" s="84">
        <v>0.61</v>
      </c>
      <c r="J175" s="53">
        <v>1.1248758261379466</v>
      </c>
      <c r="K175" s="78">
        <v>1844.058731373683</v>
      </c>
      <c r="L175" s="84">
        <v>0.64</v>
      </c>
      <c r="M175" s="53">
        <v>1.1504549874566783</v>
      </c>
      <c r="N175" s="78">
        <v>1797.5859179010597</v>
      </c>
    </row>
    <row r="176" spans="1:14" ht="19.5" customHeight="1" outlineLevel="1" x14ac:dyDescent="0.2">
      <c r="A176" s="101">
        <v>20</v>
      </c>
      <c r="B176" s="81" t="s">
        <v>27</v>
      </c>
      <c r="C176" s="84">
        <v>48.45</v>
      </c>
      <c r="D176" s="53">
        <v>94.604757777777778</v>
      </c>
      <c r="E176" s="78">
        <v>1952.6265795206971</v>
      </c>
      <c r="F176" s="84">
        <v>45.57</v>
      </c>
      <c r="G176" s="53">
        <v>83.275237107053755</v>
      </c>
      <c r="H176" s="78">
        <v>1827.4135858471307</v>
      </c>
      <c r="I176" s="84">
        <v>45.59</v>
      </c>
      <c r="J176" s="53">
        <v>85.692920772202598</v>
      </c>
      <c r="K176" s="78">
        <v>1879.6429210836279</v>
      </c>
      <c r="L176" s="84">
        <v>46.536666666666669</v>
      </c>
      <c r="M176" s="53">
        <v>87.857638552344724</v>
      </c>
      <c r="N176" s="78">
        <v>1887.9228970491667</v>
      </c>
    </row>
    <row r="177" spans="1:14" ht="19.5" customHeight="1" outlineLevel="1" x14ac:dyDescent="0.2">
      <c r="A177" s="101">
        <v>21</v>
      </c>
      <c r="B177" s="81" t="s">
        <v>28</v>
      </c>
      <c r="C177" s="84">
        <v>68.760000000000005</v>
      </c>
      <c r="D177" s="53">
        <v>127.8099445000839</v>
      </c>
      <c r="E177" s="78">
        <v>1858.7833696929013</v>
      </c>
      <c r="F177" s="84">
        <v>73.099999999999994</v>
      </c>
      <c r="G177" s="53">
        <v>116.43849834779863</v>
      </c>
      <c r="H177" s="78">
        <v>1592.8659144705696</v>
      </c>
      <c r="I177" s="84">
        <v>53.57</v>
      </c>
      <c r="J177" s="53">
        <v>82.597998940860194</v>
      </c>
      <c r="K177" s="78">
        <v>1541.8704301075265</v>
      </c>
      <c r="L177" s="84">
        <v>65.143333333333331</v>
      </c>
      <c r="M177" s="53">
        <v>108.94881392958091</v>
      </c>
      <c r="N177" s="78">
        <v>1672.447637459667</v>
      </c>
    </row>
    <row r="178" spans="1:14" ht="19.5" customHeight="1" outlineLevel="1" x14ac:dyDescent="0.2">
      <c r="A178" s="101">
        <v>22</v>
      </c>
      <c r="B178" s="81" t="s">
        <v>29</v>
      </c>
      <c r="C178" s="84">
        <v>2.2200000000000002</v>
      </c>
      <c r="D178" s="53">
        <v>3.9408308167097674</v>
      </c>
      <c r="E178" s="78">
        <v>1775.1490165359312</v>
      </c>
      <c r="F178" s="84">
        <v>0.61</v>
      </c>
      <c r="G178" s="53">
        <v>1.0838057394622376</v>
      </c>
      <c r="H178" s="78">
        <v>1776.7307204298979</v>
      </c>
      <c r="I178" s="84">
        <v>0.19</v>
      </c>
      <c r="J178" s="53">
        <v>0.35037115896099974</v>
      </c>
      <c r="K178" s="78">
        <v>1844.058731373683</v>
      </c>
      <c r="L178" s="84">
        <v>1.0066666666666666</v>
      </c>
      <c r="M178" s="53">
        <v>1.7916692383776684</v>
      </c>
      <c r="N178" s="78">
        <v>1779.8038791831145</v>
      </c>
    </row>
    <row r="179" spans="1:14" ht="19.5" customHeight="1" outlineLevel="1" x14ac:dyDescent="0.2">
      <c r="A179" s="101">
        <v>23</v>
      </c>
      <c r="B179" s="81" t="s">
        <v>30</v>
      </c>
      <c r="C179" s="84">
        <v>4.95</v>
      </c>
      <c r="D179" s="53">
        <v>10.576678378378377</v>
      </c>
      <c r="E179" s="78">
        <v>2136.7027027027025</v>
      </c>
      <c r="F179" s="84">
        <v>14.24</v>
      </c>
      <c r="G179" s="53">
        <v>32.625264000000008</v>
      </c>
      <c r="H179" s="78">
        <v>2291.1000000000004</v>
      </c>
      <c r="I179" s="84">
        <v>12.01</v>
      </c>
      <c r="J179" s="53">
        <v>22.147145363797932</v>
      </c>
      <c r="K179" s="78">
        <v>1844.058731373683</v>
      </c>
      <c r="L179" s="84">
        <v>10.4</v>
      </c>
      <c r="M179" s="53">
        <v>21.783029247392108</v>
      </c>
      <c r="N179" s="78">
        <v>2094.5220430184718</v>
      </c>
    </row>
    <row r="180" spans="1:14" ht="19.5" customHeight="1" outlineLevel="1" x14ac:dyDescent="0.2">
      <c r="A180" s="101">
        <v>24</v>
      </c>
      <c r="B180" s="81" t="s">
        <v>31</v>
      </c>
      <c r="C180" s="84">
        <v>0</v>
      </c>
      <c r="D180" s="53">
        <v>0</v>
      </c>
      <c r="E180" s="78">
        <v>0</v>
      </c>
      <c r="F180" s="84">
        <v>0</v>
      </c>
      <c r="G180" s="53">
        <v>0</v>
      </c>
      <c r="H180" s="78">
        <v>0</v>
      </c>
      <c r="I180" s="84">
        <v>0</v>
      </c>
      <c r="J180" s="53">
        <v>0</v>
      </c>
      <c r="K180" s="78">
        <v>0</v>
      </c>
      <c r="L180" s="84">
        <v>0</v>
      </c>
      <c r="M180" s="53">
        <v>0</v>
      </c>
      <c r="N180" s="78">
        <v>0</v>
      </c>
    </row>
    <row r="181" spans="1:14" ht="19.5" customHeight="1" outlineLevel="1" x14ac:dyDescent="0.2">
      <c r="A181" s="101">
        <v>25</v>
      </c>
      <c r="B181" s="81" t="s">
        <v>32</v>
      </c>
      <c r="C181" s="84">
        <v>0</v>
      </c>
      <c r="D181" s="53">
        <v>0</v>
      </c>
      <c r="E181" s="78">
        <v>0</v>
      </c>
      <c r="F181" s="84">
        <v>0.42</v>
      </c>
      <c r="G181" s="53">
        <v>0.74622690258055702</v>
      </c>
      <c r="H181" s="78">
        <v>1776.7307204298979</v>
      </c>
      <c r="I181" s="84">
        <v>0</v>
      </c>
      <c r="J181" s="53">
        <v>0</v>
      </c>
      <c r="K181" s="78">
        <v>0</v>
      </c>
      <c r="L181" s="84">
        <v>0.42</v>
      </c>
      <c r="M181" s="53">
        <v>0.74622690258055702</v>
      </c>
      <c r="N181" s="78">
        <v>1776.7307204298979</v>
      </c>
    </row>
    <row r="182" spans="1:14" ht="19.5" customHeight="1" outlineLevel="1" x14ac:dyDescent="0.2">
      <c r="A182" s="101">
        <v>26</v>
      </c>
      <c r="B182" s="81" t="s">
        <v>33</v>
      </c>
      <c r="C182" s="84">
        <v>0</v>
      </c>
      <c r="D182" s="53">
        <v>0</v>
      </c>
      <c r="E182" s="78">
        <v>0</v>
      </c>
      <c r="F182" s="84">
        <v>0</v>
      </c>
      <c r="G182" s="53">
        <v>0</v>
      </c>
      <c r="H182" s="78">
        <v>0</v>
      </c>
      <c r="I182" s="84">
        <v>0</v>
      </c>
      <c r="J182" s="53">
        <v>0</v>
      </c>
      <c r="K182" s="78">
        <v>0</v>
      </c>
      <c r="L182" s="84">
        <v>0</v>
      </c>
      <c r="M182" s="53">
        <v>0</v>
      </c>
      <c r="N182" s="78">
        <v>0</v>
      </c>
    </row>
    <row r="183" spans="1:14" ht="19.5" customHeight="1" outlineLevel="1" x14ac:dyDescent="0.2">
      <c r="A183" s="101">
        <v>27</v>
      </c>
      <c r="B183" s="81" t="s">
        <v>34</v>
      </c>
      <c r="C183" s="84">
        <v>0.1</v>
      </c>
      <c r="D183" s="53">
        <v>0.17751490165359315</v>
      </c>
      <c r="E183" s="78">
        <v>1775.1490165359312</v>
      </c>
      <c r="F183" s="84">
        <v>0</v>
      </c>
      <c r="G183" s="53">
        <v>0</v>
      </c>
      <c r="H183" s="78">
        <v>0</v>
      </c>
      <c r="I183" s="84">
        <v>0.4</v>
      </c>
      <c r="J183" s="53">
        <v>0.73762349254947324</v>
      </c>
      <c r="K183" s="78">
        <v>1844.058731373683</v>
      </c>
      <c r="L183" s="84">
        <v>0.25</v>
      </c>
      <c r="M183" s="53">
        <v>0.45756919710153321</v>
      </c>
      <c r="N183" s="78">
        <v>1830.2767884061329</v>
      </c>
    </row>
    <row r="184" spans="1:14" ht="19.5" customHeight="1" outlineLevel="1" x14ac:dyDescent="0.2">
      <c r="A184" s="101">
        <v>28</v>
      </c>
      <c r="B184" s="81" t="s">
        <v>35</v>
      </c>
      <c r="C184" s="84">
        <v>0.25</v>
      </c>
      <c r="D184" s="53">
        <v>0.44378725413398279</v>
      </c>
      <c r="E184" s="78">
        <v>1775.1490165359312</v>
      </c>
      <c r="F184" s="84">
        <v>0</v>
      </c>
      <c r="G184" s="53">
        <v>0</v>
      </c>
      <c r="H184" s="78">
        <v>0</v>
      </c>
      <c r="I184" s="84">
        <v>0</v>
      </c>
      <c r="J184" s="53">
        <v>0</v>
      </c>
      <c r="K184" s="78">
        <v>0</v>
      </c>
      <c r="L184" s="84">
        <v>0.25</v>
      </c>
      <c r="M184" s="53">
        <v>0.44378725413398279</v>
      </c>
      <c r="N184" s="78">
        <v>1775.1490165359312</v>
      </c>
    </row>
    <row r="185" spans="1:14" ht="19.5" customHeight="1" outlineLevel="1" x14ac:dyDescent="0.2">
      <c r="A185" s="101">
        <v>29</v>
      </c>
      <c r="B185" s="81" t="s">
        <v>36</v>
      </c>
      <c r="C185" s="84">
        <v>0</v>
      </c>
      <c r="D185" s="53">
        <v>0</v>
      </c>
      <c r="E185" s="78">
        <v>0</v>
      </c>
      <c r="F185" s="84">
        <v>0.01</v>
      </c>
      <c r="G185" s="53">
        <v>1.776730720429898E-2</v>
      </c>
      <c r="H185" s="78">
        <v>1776.7307204298979</v>
      </c>
      <c r="I185" s="84">
        <v>0.05</v>
      </c>
      <c r="J185" s="53">
        <v>9.2202936568684155E-2</v>
      </c>
      <c r="K185" s="78">
        <v>1844.058731373683</v>
      </c>
      <c r="L185" s="84">
        <v>3.0000000000000002E-2</v>
      </c>
      <c r="M185" s="53">
        <v>5.4985121886491566E-2</v>
      </c>
      <c r="N185" s="78">
        <v>1832.8373962163853</v>
      </c>
    </row>
    <row r="186" spans="1:14" ht="19.5" customHeight="1" outlineLevel="1" x14ac:dyDescent="0.2">
      <c r="A186" s="101">
        <v>30</v>
      </c>
      <c r="B186" s="81" t="s">
        <v>37</v>
      </c>
      <c r="C186" s="84">
        <v>0</v>
      </c>
      <c r="D186" s="53">
        <v>0</v>
      </c>
      <c r="E186" s="78">
        <v>0</v>
      </c>
      <c r="F186" s="84">
        <v>0</v>
      </c>
      <c r="G186" s="53">
        <v>0</v>
      </c>
      <c r="H186" s="78">
        <v>0</v>
      </c>
      <c r="I186" s="84">
        <v>0</v>
      </c>
      <c r="J186" s="53">
        <v>0</v>
      </c>
      <c r="K186" s="78">
        <v>0</v>
      </c>
      <c r="L186" s="84">
        <v>0</v>
      </c>
      <c r="M186" s="53">
        <v>0</v>
      </c>
      <c r="N186" s="78">
        <v>0</v>
      </c>
    </row>
    <row r="187" spans="1:14" ht="19.5" customHeight="1" outlineLevel="1" x14ac:dyDescent="0.2">
      <c r="A187" s="101">
        <v>31</v>
      </c>
      <c r="B187" s="81" t="s">
        <v>38</v>
      </c>
      <c r="C187" s="84">
        <v>0</v>
      </c>
      <c r="D187" s="53">
        <v>0</v>
      </c>
      <c r="E187" s="78">
        <v>0</v>
      </c>
      <c r="F187" s="84">
        <v>0</v>
      </c>
      <c r="G187" s="53">
        <v>0</v>
      </c>
      <c r="H187" s="78">
        <v>0</v>
      </c>
      <c r="I187" s="84">
        <v>0</v>
      </c>
      <c r="J187" s="53">
        <v>0</v>
      </c>
      <c r="K187" s="78">
        <v>0</v>
      </c>
      <c r="L187" s="84">
        <v>0</v>
      </c>
      <c r="M187" s="53">
        <v>0</v>
      </c>
      <c r="N187" s="78">
        <v>0</v>
      </c>
    </row>
    <row r="188" spans="1:14" ht="19.5" customHeight="1" outlineLevel="1" x14ac:dyDescent="0.2">
      <c r="A188" s="101">
        <v>32</v>
      </c>
      <c r="B188" s="81" t="s">
        <v>39</v>
      </c>
      <c r="C188" s="84">
        <v>0</v>
      </c>
      <c r="D188" s="53">
        <v>0</v>
      </c>
      <c r="E188" s="78">
        <v>0</v>
      </c>
      <c r="F188" s="84">
        <v>0</v>
      </c>
      <c r="G188" s="53">
        <v>0</v>
      </c>
      <c r="H188" s="78">
        <v>0</v>
      </c>
      <c r="I188" s="84">
        <v>0</v>
      </c>
      <c r="J188" s="53">
        <v>0</v>
      </c>
      <c r="K188" s="78">
        <v>0</v>
      </c>
      <c r="L188" s="84">
        <v>0</v>
      </c>
      <c r="M188" s="53">
        <v>0</v>
      </c>
      <c r="N188" s="78">
        <v>0</v>
      </c>
    </row>
    <row r="189" spans="1:14" ht="19.5" customHeight="1" outlineLevel="1" thickBot="1" x14ac:dyDescent="0.25">
      <c r="A189" s="102">
        <v>33</v>
      </c>
      <c r="B189" s="91" t="s">
        <v>40</v>
      </c>
      <c r="C189" s="92">
        <v>0</v>
      </c>
      <c r="D189" s="93">
        <v>0</v>
      </c>
      <c r="E189" s="94">
        <v>0</v>
      </c>
      <c r="F189" s="92">
        <v>0</v>
      </c>
      <c r="G189" s="93">
        <v>0</v>
      </c>
      <c r="H189" s="94">
        <v>0</v>
      </c>
      <c r="I189" s="92">
        <v>0</v>
      </c>
      <c r="J189" s="93">
        <v>0</v>
      </c>
      <c r="K189" s="94">
        <v>0</v>
      </c>
      <c r="L189" s="92">
        <v>0</v>
      </c>
      <c r="M189" s="93">
        <v>0</v>
      </c>
      <c r="N189" s="94">
        <v>0</v>
      </c>
    </row>
    <row r="190" spans="1:14" ht="19.5" customHeight="1" thickBot="1" x14ac:dyDescent="0.25">
      <c r="A190" s="151" t="s">
        <v>41</v>
      </c>
      <c r="B190" s="152"/>
      <c r="C190" s="96">
        <v>1841.24</v>
      </c>
      <c r="D190" s="97">
        <v>3268.475375206659</v>
      </c>
      <c r="E190" s="98">
        <v>1775.1490165359535</v>
      </c>
      <c r="F190" s="96">
        <v>1972.1699999999996</v>
      </c>
      <c r="G190" s="97">
        <v>3504.0150249102167</v>
      </c>
      <c r="H190" s="98">
        <v>1776.7307204298907</v>
      </c>
      <c r="I190" s="96">
        <v>1683.0699999999997</v>
      </c>
      <c r="J190" s="97">
        <v>3103.679929013128</v>
      </c>
      <c r="K190" s="98">
        <v>1844.0587313736971</v>
      </c>
      <c r="L190" s="96">
        <v>1832.1599999999999</v>
      </c>
      <c r="M190" s="97">
        <v>3292.056776376668</v>
      </c>
      <c r="N190" s="98">
        <v>1796.8172956383003</v>
      </c>
    </row>
    <row r="191" spans="1:14" ht="34.5" customHeight="1" x14ac:dyDescent="0.2">
      <c r="A191" s="153" t="s">
        <v>247</v>
      </c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</row>
    <row r="192" spans="1:14" ht="19.5" customHeight="1" thickBot="1" x14ac:dyDescent="0.25">
      <c r="A192" s="50"/>
      <c r="B192" s="138" t="s">
        <v>46</v>
      </c>
      <c r="C192" s="52"/>
      <c r="D192" s="52"/>
      <c r="E192" s="52"/>
      <c r="F192" s="52"/>
      <c r="G192" s="52"/>
      <c r="H192" s="52"/>
      <c r="I192" s="52"/>
      <c r="J192" s="52"/>
      <c r="K192" s="155" t="s">
        <v>1</v>
      </c>
      <c r="L192" s="154"/>
      <c r="M192" s="154"/>
      <c r="N192" s="154"/>
    </row>
    <row r="193" spans="1:14" ht="19.5" customHeight="1" x14ac:dyDescent="0.2">
      <c r="A193" s="156" t="s">
        <v>2</v>
      </c>
      <c r="B193" s="158" t="s">
        <v>3</v>
      </c>
      <c r="C193" s="148" t="s">
        <v>243</v>
      </c>
      <c r="D193" s="149"/>
      <c r="E193" s="150"/>
      <c r="F193" s="148" t="s">
        <v>244</v>
      </c>
      <c r="G193" s="149"/>
      <c r="H193" s="150"/>
      <c r="I193" s="148" t="s">
        <v>246</v>
      </c>
      <c r="J193" s="149"/>
      <c r="K193" s="150"/>
      <c r="L193" s="148" t="s">
        <v>4</v>
      </c>
      <c r="M193" s="149"/>
      <c r="N193" s="150"/>
    </row>
    <row r="194" spans="1:14" ht="19.5" customHeight="1" thickBot="1" x14ac:dyDescent="0.25">
      <c r="A194" s="157"/>
      <c r="B194" s="159"/>
      <c r="C194" s="85" t="s">
        <v>5</v>
      </c>
      <c r="D194" s="79" t="s">
        <v>6</v>
      </c>
      <c r="E194" s="80" t="s">
        <v>7</v>
      </c>
      <c r="F194" s="85" t="s">
        <v>5</v>
      </c>
      <c r="G194" s="79" t="s">
        <v>6</v>
      </c>
      <c r="H194" s="80" t="s">
        <v>7</v>
      </c>
      <c r="I194" s="85" t="s">
        <v>5</v>
      </c>
      <c r="J194" s="79" t="s">
        <v>6</v>
      </c>
      <c r="K194" s="80" t="s">
        <v>7</v>
      </c>
      <c r="L194" s="85" t="s">
        <v>5</v>
      </c>
      <c r="M194" s="79" t="s">
        <v>6</v>
      </c>
      <c r="N194" s="80" t="s">
        <v>7</v>
      </c>
    </row>
    <row r="195" spans="1:14" ht="19.5" customHeight="1" outlineLevel="1" x14ac:dyDescent="0.2">
      <c r="A195" s="100">
        <v>1</v>
      </c>
      <c r="B195" s="86" t="s">
        <v>8</v>
      </c>
      <c r="C195" s="87">
        <v>0</v>
      </c>
      <c r="D195" s="88">
        <v>0</v>
      </c>
      <c r="E195" s="89">
        <v>0</v>
      </c>
      <c r="F195" s="87">
        <v>0</v>
      </c>
      <c r="G195" s="88">
        <v>0</v>
      </c>
      <c r="H195" s="89">
        <v>0</v>
      </c>
      <c r="I195" s="87">
        <v>0</v>
      </c>
      <c r="J195" s="88">
        <v>0</v>
      </c>
      <c r="K195" s="89">
        <v>0</v>
      </c>
      <c r="L195" s="87">
        <v>0</v>
      </c>
      <c r="M195" s="88">
        <v>0</v>
      </c>
      <c r="N195" s="89">
        <v>0</v>
      </c>
    </row>
    <row r="196" spans="1:14" ht="19.5" customHeight="1" outlineLevel="1" x14ac:dyDescent="0.2">
      <c r="A196" s="101">
        <v>2</v>
      </c>
      <c r="B196" s="81" t="s">
        <v>9</v>
      </c>
      <c r="C196" s="84">
        <v>132.02000000000001</v>
      </c>
      <c r="D196" s="53">
        <v>284.39334520611033</v>
      </c>
      <c r="E196" s="78">
        <v>2154.1686502507978</v>
      </c>
      <c r="F196" s="84">
        <v>128.77000000000001</v>
      </c>
      <c r="G196" s="53">
        <v>271.62526919911193</v>
      </c>
      <c r="H196" s="78">
        <v>2109.3831575608597</v>
      </c>
      <c r="I196" s="84">
        <v>98.2</v>
      </c>
      <c r="J196" s="53">
        <v>237.36009162173372</v>
      </c>
      <c r="K196" s="78">
        <v>2417.1088759850682</v>
      </c>
      <c r="L196" s="84">
        <v>119.66333333333334</v>
      </c>
      <c r="M196" s="53">
        <v>264.45956867565201</v>
      </c>
      <c r="N196" s="78">
        <v>2210.0301011921115</v>
      </c>
    </row>
    <row r="197" spans="1:14" ht="19.5" customHeight="1" outlineLevel="1" x14ac:dyDescent="0.2">
      <c r="A197" s="101">
        <v>3</v>
      </c>
      <c r="B197" s="81" t="s">
        <v>10</v>
      </c>
      <c r="C197" s="84">
        <v>0</v>
      </c>
      <c r="D197" s="53">
        <v>0</v>
      </c>
      <c r="E197" s="78">
        <v>0</v>
      </c>
      <c r="F197" s="84">
        <v>0</v>
      </c>
      <c r="G197" s="53">
        <v>0</v>
      </c>
      <c r="H197" s="78">
        <v>0</v>
      </c>
      <c r="I197" s="84">
        <v>0</v>
      </c>
      <c r="J197" s="53">
        <v>0</v>
      </c>
      <c r="K197" s="78">
        <v>0</v>
      </c>
      <c r="L197" s="84">
        <v>0</v>
      </c>
      <c r="M197" s="53">
        <v>0</v>
      </c>
      <c r="N197" s="78">
        <v>0</v>
      </c>
    </row>
    <row r="198" spans="1:14" ht="19.5" customHeight="1" outlineLevel="1" x14ac:dyDescent="0.2">
      <c r="A198" s="101">
        <v>4</v>
      </c>
      <c r="B198" s="81" t="s">
        <v>11</v>
      </c>
      <c r="C198" s="84">
        <v>3.3</v>
      </c>
      <c r="D198" s="53">
        <v>6.2892228830896171</v>
      </c>
      <c r="E198" s="78">
        <v>1905.825116087763</v>
      </c>
      <c r="F198" s="84">
        <v>3.08</v>
      </c>
      <c r="G198" s="53">
        <v>6.2009202279290694</v>
      </c>
      <c r="H198" s="78">
        <v>2013.285788288659</v>
      </c>
      <c r="I198" s="84">
        <v>3.04</v>
      </c>
      <c r="J198" s="53">
        <v>4.4816556254080222</v>
      </c>
      <c r="K198" s="78">
        <v>1474.2288241473757</v>
      </c>
      <c r="L198" s="84">
        <v>3.14</v>
      </c>
      <c r="M198" s="53">
        <v>5.6572662454755687</v>
      </c>
      <c r="N198" s="78">
        <v>1801.6771482406268</v>
      </c>
    </row>
    <row r="199" spans="1:14" ht="19.5" customHeight="1" outlineLevel="1" x14ac:dyDescent="0.2">
      <c r="A199" s="101">
        <v>5</v>
      </c>
      <c r="B199" s="81" t="s">
        <v>12</v>
      </c>
      <c r="C199" s="84">
        <v>114.76</v>
      </c>
      <c r="D199" s="53">
        <v>266.62042337955137</v>
      </c>
      <c r="E199" s="78">
        <v>2323.2870632585514</v>
      </c>
      <c r="F199" s="84">
        <v>96.16</v>
      </c>
      <c r="G199" s="53">
        <v>242.51431367673027</v>
      </c>
      <c r="H199" s="78">
        <v>2521.9874550408722</v>
      </c>
      <c r="I199" s="84">
        <v>83.47</v>
      </c>
      <c r="J199" s="53">
        <v>175.94866265028281</v>
      </c>
      <c r="K199" s="78">
        <v>2107.9269516027653</v>
      </c>
      <c r="L199" s="84">
        <v>98.13</v>
      </c>
      <c r="M199" s="53">
        <v>228.36113323552149</v>
      </c>
      <c r="N199" s="78">
        <v>2327.1286378836389</v>
      </c>
    </row>
    <row r="200" spans="1:14" ht="19.5" customHeight="1" outlineLevel="1" x14ac:dyDescent="0.2">
      <c r="A200" s="101">
        <v>6</v>
      </c>
      <c r="B200" s="81" t="s">
        <v>13</v>
      </c>
      <c r="C200" s="84">
        <v>301.33999999999997</v>
      </c>
      <c r="D200" s="53">
        <v>787.43644799999993</v>
      </c>
      <c r="E200" s="78">
        <v>2613.1162407911329</v>
      </c>
      <c r="F200" s="84">
        <v>294.57</v>
      </c>
      <c r="G200" s="53">
        <v>826.98942699999998</v>
      </c>
      <c r="H200" s="78">
        <v>2807.4461995450997</v>
      </c>
      <c r="I200" s="84">
        <v>298.18</v>
      </c>
      <c r="J200" s="53">
        <v>783.47991520000016</v>
      </c>
      <c r="K200" s="78">
        <v>2627.5401274398018</v>
      </c>
      <c r="L200" s="84">
        <v>298.02999999999997</v>
      </c>
      <c r="M200" s="53">
        <v>799.30193006666661</v>
      </c>
      <c r="N200" s="78">
        <v>2681.9512467424979</v>
      </c>
    </row>
    <row r="201" spans="1:14" ht="19.5" customHeight="1" outlineLevel="1" x14ac:dyDescent="0.2">
      <c r="A201" s="101">
        <v>7</v>
      </c>
      <c r="B201" s="81" t="s">
        <v>14</v>
      </c>
      <c r="C201" s="84">
        <v>0.14000000000000001</v>
      </c>
      <c r="D201" s="53">
        <v>0.26681551625228683</v>
      </c>
      <c r="E201" s="78">
        <v>1905.825116087763</v>
      </c>
      <c r="F201" s="84">
        <v>0.01</v>
      </c>
      <c r="G201" s="53">
        <v>2.0132857882886591E-2</v>
      </c>
      <c r="H201" s="78">
        <v>2013.285788288659</v>
      </c>
      <c r="I201" s="84">
        <v>0</v>
      </c>
      <c r="J201" s="53">
        <v>0</v>
      </c>
      <c r="K201" s="78">
        <v>0</v>
      </c>
      <c r="L201" s="84">
        <v>7.5000000000000011E-2</v>
      </c>
      <c r="M201" s="53">
        <v>0.14347418706758672</v>
      </c>
      <c r="N201" s="78">
        <v>1912.9891609011559</v>
      </c>
    </row>
    <row r="202" spans="1:14" ht="19.5" customHeight="1" outlineLevel="1" x14ac:dyDescent="0.2">
      <c r="A202" s="101">
        <v>8</v>
      </c>
      <c r="B202" s="81" t="s">
        <v>15</v>
      </c>
      <c r="C202" s="84">
        <v>0</v>
      </c>
      <c r="D202" s="53">
        <v>0</v>
      </c>
      <c r="E202" s="78">
        <v>0</v>
      </c>
      <c r="F202" s="84">
        <v>0</v>
      </c>
      <c r="G202" s="53">
        <v>0</v>
      </c>
      <c r="H202" s="78">
        <v>0</v>
      </c>
      <c r="I202" s="84">
        <v>0</v>
      </c>
      <c r="J202" s="53">
        <v>0</v>
      </c>
      <c r="K202" s="78">
        <v>0</v>
      </c>
      <c r="L202" s="84">
        <v>0</v>
      </c>
      <c r="M202" s="53">
        <v>0</v>
      </c>
      <c r="N202" s="78">
        <v>0</v>
      </c>
    </row>
    <row r="203" spans="1:14" ht="19.5" customHeight="1" outlineLevel="1" x14ac:dyDescent="0.2">
      <c r="A203" s="101">
        <v>9</v>
      </c>
      <c r="B203" s="81" t="s">
        <v>16</v>
      </c>
      <c r="C203" s="84">
        <v>0</v>
      </c>
      <c r="D203" s="53">
        <v>0</v>
      </c>
      <c r="E203" s="78">
        <v>0</v>
      </c>
      <c r="F203" s="84">
        <v>0</v>
      </c>
      <c r="G203" s="53">
        <v>0</v>
      </c>
      <c r="H203" s="78">
        <v>0</v>
      </c>
      <c r="I203" s="84">
        <v>0</v>
      </c>
      <c r="J203" s="53">
        <v>0</v>
      </c>
      <c r="K203" s="78">
        <v>0</v>
      </c>
      <c r="L203" s="84">
        <v>0</v>
      </c>
      <c r="M203" s="53">
        <v>0</v>
      </c>
      <c r="N203" s="78">
        <v>0</v>
      </c>
    </row>
    <row r="204" spans="1:14" ht="19.5" customHeight="1" outlineLevel="1" x14ac:dyDescent="0.2">
      <c r="A204" s="101">
        <v>10</v>
      </c>
      <c r="B204" s="81" t="s">
        <v>17</v>
      </c>
      <c r="C204" s="84">
        <v>0</v>
      </c>
      <c r="D204" s="53">
        <v>0</v>
      </c>
      <c r="E204" s="78">
        <v>0</v>
      </c>
      <c r="F204" s="84">
        <v>0</v>
      </c>
      <c r="G204" s="53">
        <v>0</v>
      </c>
      <c r="H204" s="78">
        <v>0</v>
      </c>
      <c r="I204" s="84">
        <v>0</v>
      </c>
      <c r="J204" s="53">
        <v>0</v>
      </c>
      <c r="K204" s="78">
        <v>0</v>
      </c>
      <c r="L204" s="84">
        <v>0</v>
      </c>
      <c r="M204" s="53">
        <v>0</v>
      </c>
      <c r="N204" s="78">
        <v>0</v>
      </c>
    </row>
    <row r="205" spans="1:14" ht="19.5" customHeight="1" outlineLevel="1" x14ac:dyDescent="0.2">
      <c r="A205" s="101">
        <v>11</v>
      </c>
      <c r="B205" s="81" t="s">
        <v>18</v>
      </c>
      <c r="C205" s="84">
        <v>0</v>
      </c>
      <c r="D205" s="53">
        <v>0</v>
      </c>
      <c r="E205" s="78">
        <v>0</v>
      </c>
      <c r="F205" s="84">
        <v>0</v>
      </c>
      <c r="G205" s="53">
        <v>0</v>
      </c>
      <c r="H205" s="78">
        <v>0</v>
      </c>
      <c r="I205" s="84">
        <v>0.33</v>
      </c>
      <c r="J205" s="53">
        <v>0.486495511968634</v>
      </c>
      <c r="K205" s="78">
        <v>1474.2288241473757</v>
      </c>
      <c r="L205" s="84">
        <v>0.33</v>
      </c>
      <c r="M205" s="53">
        <v>0.486495511968634</v>
      </c>
      <c r="N205" s="78">
        <v>1474.2288241473757</v>
      </c>
    </row>
    <row r="206" spans="1:14" ht="19.5" customHeight="1" outlineLevel="1" x14ac:dyDescent="0.2">
      <c r="A206" s="101">
        <v>12</v>
      </c>
      <c r="B206" s="81" t="s">
        <v>19</v>
      </c>
      <c r="C206" s="84">
        <v>0</v>
      </c>
      <c r="D206" s="53">
        <v>0</v>
      </c>
      <c r="E206" s="78">
        <v>0</v>
      </c>
      <c r="F206" s="84">
        <v>0</v>
      </c>
      <c r="G206" s="53">
        <v>0</v>
      </c>
      <c r="H206" s="78">
        <v>0</v>
      </c>
      <c r="I206" s="84">
        <v>0</v>
      </c>
      <c r="J206" s="53">
        <v>0</v>
      </c>
      <c r="K206" s="78">
        <v>0</v>
      </c>
      <c r="L206" s="84">
        <v>0</v>
      </c>
      <c r="M206" s="53">
        <v>0</v>
      </c>
      <c r="N206" s="78">
        <v>0</v>
      </c>
    </row>
    <row r="207" spans="1:14" ht="19.5" customHeight="1" outlineLevel="1" x14ac:dyDescent="0.2">
      <c r="A207" s="101">
        <v>13</v>
      </c>
      <c r="B207" s="81" t="s">
        <v>20</v>
      </c>
      <c r="C207" s="84">
        <v>0</v>
      </c>
      <c r="D207" s="53">
        <v>0</v>
      </c>
      <c r="E207" s="78">
        <v>0</v>
      </c>
      <c r="F207" s="84">
        <v>0</v>
      </c>
      <c r="G207" s="53">
        <v>0</v>
      </c>
      <c r="H207" s="78">
        <v>0</v>
      </c>
      <c r="I207" s="84">
        <v>0</v>
      </c>
      <c r="J207" s="53">
        <v>0</v>
      </c>
      <c r="K207" s="78">
        <v>0</v>
      </c>
      <c r="L207" s="84">
        <v>0</v>
      </c>
      <c r="M207" s="53">
        <v>0</v>
      </c>
      <c r="N207" s="78">
        <v>0</v>
      </c>
    </row>
    <row r="208" spans="1:14" ht="19.5" customHeight="1" outlineLevel="1" x14ac:dyDescent="0.2">
      <c r="A208" s="101">
        <v>14</v>
      </c>
      <c r="B208" s="81" t="s">
        <v>21</v>
      </c>
      <c r="C208" s="84">
        <v>0</v>
      </c>
      <c r="D208" s="53">
        <v>0</v>
      </c>
      <c r="E208" s="78">
        <v>0</v>
      </c>
      <c r="F208" s="84">
        <v>0</v>
      </c>
      <c r="G208" s="53">
        <v>0</v>
      </c>
      <c r="H208" s="78">
        <v>0</v>
      </c>
      <c r="I208" s="84">
        <v>0</v>
      </c>
      <c r="J208" s="53">
        <v>0</v>
      </c>
      <c r="K208" s="78">
        <v>0</v>
      </c>
      <c r="L208" s="84">
        <v>0</v>
      </c>
      <c r="M208" s="53">
        <v>0</v>
      </c>
      <c r="N208" s="78">
        <v>0</v>
      </c>
    </row>
    <row r="209" spans="1:14" ht="19.5" customHeight="1" outlineLevel="1" x14ac:dyDescent="0.2">
      <c r="A209" s="101">
        <v>15</v>
      </c>
      <c r="B209" s="81" t="s">
        <v>22</v>
      </c>
      <c r="C209" s="84">
        <v>0</v>
      </c>
      <c r="D209" s="53">
        <v>0</v>
      </c>
      <c r="E209" s="78">
        <v>0</v>
      </c>
      <c r="F209" s="84">
        <v>0</v>
      </c>
      <c r="G209" s="53">
        <v>0</v>
      </c>
      <c r="H209" s="78">
        <v>0</v>
      </c>
      <c r="I209" s="84">
        <v>0</v>
      </c>
      <c r="J209" s="53">
        <v>0</v>
      </c>
      <c r="K209" s="78">
        <v>0</v>
      </c>
      <c r="L209" s="84">
        <v>0</v>
      </c>
      <c r="M209" s="53">
        <v>0</v>
      </c>
      <c r="N209" s="78">
        <v>0</v>
      </c>
    </row>
    <row r="210" spans="1:14" ht="19.5" customHeight="1" outlineLevel="1" x14ac:dyDescent="0.2">
      <c r="A210" s="101">
        <v>16</v>
      </c>
      <c r="B210" s="81" t="s">
        <v>23</v>
      </c>
      <c r="C210" s="84">
        <v>0</v>
      </c>
      <c r="D210" s="53">
        <v>0</v>
      </c>
      <c r="E210" s="78">
        <v>0</v>
      </c>
      <c r="F210" s="84">
        <v>0</v>
      </c>
      <c r="G210" s="53">
        <v>0</v>
      </c>
      <c r="H210" s="78">
        <v>0</v>
      </c>
      <c r="I210" s="84">
        <v>0</v>
      </c>
      <c r="J210" s="53">
        <v>0</v>
      </c>
      <c r="K210" s="78">
        <v>0</v>
      </c>
      <c r="L210" s="84">
        <v>0</v>
      </c>
      <c r="M210" s="53">
        <v>0</v>
      </c>
      <c r="N210" s="78">
        <v>0</v>
      </c>
    </row>
    <row r="211" spans="1:14" ht="19.5" customHeight="1" outlineLevel="1" x14ac:dyDescent="0.2">
      <c r="A211" s="101">
        <v>17</v>
      </c>
      <c r="B211" s="81" t="s">
        <v>24</v>
      </c>
      <c r="C211" s="84">
        <v>0</v>
      </c>
      <c r="D211" s="53">
        <v>0</v>
      </c>
      <c r="E211" s="78">
        <v>0</v>
      </c>
      <c r="F211" s="84">
        <v>0</v>
      </c>
      <c r="G211" s="53">
        <v>0</v>
      </c>
      <c r="H211" s="78">
        <v>0</v>
      </c>
      <c r="I211" s="84">
        <v>0</v>
      </c>
      <c r="J211" s="53">
        <v>0</v>
      </c>
      <c r="K211" s="78">
        <v>0</v>
      </c>
      <c r="L211" s="84">
        <v>0</v>
      </c>
      <c r="M211" s="53">
        <v>0</v>
      </c>
      <c r="N211" s="78">
        <v>0</v>
      </c>
    </row>
    <row r="212" spans="1:14" ht="19.5" customHeight="1" outlineLevel="1" x14ac:dyDescent="0.2">
      <c r="A212" s="101">
        <v>18</v>
      </c>
      <c r="B212" s="81" t="s">
        <v>25</v>
      </c>
      <c r="C212" s="84">
        <v>5.03</v>
      </c>
      <c r="D212" s="53">
        <v>9.5863003339214483</v>
      </c>
      <c r="E212" s="78">
        <v>1905.825116087763</v>
      </c>
      <c r="F212" s="84">
        <v>6.35</v>
      </c>
      <c r="G212" s="53">
        <v>12.784364755632984</v>
      </c>
      <c r="H212" s="78">
        <v>2013.285788288659</v>
      </c>
      <c r="I212" s="84">
        <v>1.04</v>
      </c>
      <c r="J212" s="53">
        <v>1.5331979771132709</v>
      </c>
      <c r="K212" s="78">
        <v>1474.2288241473757</v>
      </c>
      <c r="L212" s="84">
        <v>4.1399999999999997</v>
      </c>
      <c r="M212" s="53">
        <v>7.9679543555559009</v>
      </c>
      <c r="N212" s="78">
        <v>1924.6266559313772</v>
      </c>
    </row>
    <row r="213" spans="1:14" ht="19.5" customHeight="1" outlineLevel="1" x14ac:dyDescent="0.2">
      <c r="A213" s="101">
        <v>19</v>
      </c>
      <c r="B213" s="81" t="s">
        <v>26</v>
      </c>
      <c r="C213" s="84">
        <v>0</v>
      </c>
      <c r="D213" s="53">
        <v>0</v>
      </c>
      <c r="E213" s="78">
        <v>0</v>
      </c>
      <c r="F213" s="84">
        <v>0</v>
      </c>
      <c r="G213" s="53">
        <v>0</v>
      </c>
      <c r="H213" s="78">
        <v>0</v>
      </c>
      <c r="I213" s="84">
        <v>0</v>
      </c>
      <c r="J213" s="53">
        <v>0</v>
      </c>
      <c r="K213" s="78">
        <v>0</v>
      </c>
      <c r="L213" s="84">
        <v>0</v>
      </c>
      <c r="M213" s="53">
        <v>0</v>
      </c>
      <c r="N213" s="78">
        <v>0</v>
      </c>
    </row>
    <row r="214" spans="1:14" ht="19.5" customHeight="1" outlineLevel="1" x14ac:dyDescent="0.2">
      <c r="A214" s="101">
        <v>20</v>
      </c>
      <c r="B214" s="81" t="s">
        <v>27</v>
      </c>
      <c r="C214" s="84">
        <v>0.15</v>
      </c>
      <c r="D214" s="53">
        <v>0.28587376741316445</v>
      </c>
      <c r="E214" s="78">
        <v>1905.825116087763</v>
      </c>
      <c r="F214" s="84">
        <v>0.46</v>
      </c>
      <c r="G214" s="53">
        <v>0.92611146261278321</v>
      </c>
      <c r="H214" s="78">
        <v>2013.285788288659</v>
      </c>
      <c r="I214" s="84">
        <v>0.56999999999999995</v>
      </c>
      <c r="J214" s="53">
        <v>0.84031042976400405</v>
      </c>
      <c r="K214" s="78">
        <v>1474.2288241473757</v>
      </c>
      <c r="L214" s="84">
        <v>0.39333333333333331</v>
      </c>
      <c r="M214" s="53">
        <v>0.68409855326331714</v>
      </c>
      <c r="N214" s="78">
        <v>1739.2336099914844</v>
      </c>
    </row>
    <row r="215" spans="1:14" ht="19.5" customHeight="1" outlineLevel="1" x14ac:dyDescent="0.2">
      <c r="A215" s="101">
        <v>21</v>
      </c>
      <c r="B215" s="81" t="s">
        <v>28</v>
      </c>
      <c r="C215" s="84">
        <v>2.98</v>
      </c>
      <c r="D215" s="53">
        <v>5.6793588459415343</v>
      </c>
      <c r="E215" s="78">
        <v>1905.825116087763</v>
      </c>
      <c r="F215" s="84">
        <v>3.1</v>
      </c>
      <c r="G215" s="53">
        <v>6.2411859436948438</v>
      </c>
      <c r="H215" s="78">
        <v>2013.285788288659</v>
      </c>
      <c r="I215" s="84">
        <v>3.32</v>
      </c>
      <c r="J215" s="53">
        <v>4.8944396961692878</v>
      </c>
      <c r="K215" s="78">
        <v>1474.2288241473757</v>
      </c>
      <c r="L215" s="84">
        <v>3.1333333333333333</v>
      </c>
      <c r="M215" s="53">
        <v>5.6049948286018889</v>
      </c>
      <c r="N215" s="78">
        <v>1788.8281367878369</v>
      </c>
    </row>
    <row r="216" spans="1:14" ht="19.5" customHeight="1" outlineLevel="1" x14ac:dyDescent="0.2">
      <c r="A216" s="101">
        <v>22</v>
      </c>
      <c r="B216" s="81" t="s">
        <v>29</v>
      </c>
      <c r="C216" s="84">
        <v>553.87</v>
      </c>
      <c r="D216" s="53">
        <v>874.85805569305126</v>
      </c>
      <c r="E216" s="78">
        <v>1579.5368149440326</v>
      </c>
      <c r="F216" s="84">
        <v>560.66999999999996</v>
      </c>
      <c r="G216" s="53">
        <v>1330.0789762240299</v>
      </c>
      <c r="H216" s="78">
        <v>2372.3027381954271</v>
      </c>
      <c r="I216" s="84">
        <v>548.64</v>
      </c>
      <c r="J216" s="53">
        <v>641.33158093943825</v>
      </c>
      <c r="K216" s="78">
        <v>1168.9479092655263</v>
      </c>
      <c r="L216" s="84">
        <v>554.39333333333332</v>
      </c>
      <c r="M216" s="53">
        <v>948.75620428550644</v>
      </c>
      <c r="N216" s="78">
        <v>1711.3412937003327</v>
      </c>
    </row>
    <row r="217" spans="1:14" ht="19.5" customHeight="1" outlineLevel="1" x14ac:dyDescent="0.2">
      <c r="A217" s="101">
        <v>23</v>
      </c>
      <c r="B217" s="81" t="s">
        <v>30</v>
      </c>
      <c r="C217" s="84">
        <v>269.52999999999997</v>
      </c>
      <c r="D217" s="53">
        <v>496.77365900000001</v>
      </c>
      <c r="E217" s="78">
        <v>1843.110818832783</v>
      </c>
      <c r="F217" s="84">
        <v>271.43</v>
      </c>
      <c r="G217" s="53">
        <v>650.81018800000004</v>
      </c>
      <c r="H217" s="78">
        <v>2397.7091257414436</v>
      </c>
      <c r="I217" s="84">
        <v>263.91000000000003</v>
      </c>
      <c r="J217" s="53">
        <v>551.53879200000017</v>
      </c>
      <c r="K217" s="78">
        <v>2089.8745481414121</v>
      </c>
      <c r="L217" s="84">
        <v>268.29000000000002</v>
      </c>
      <c r="M217" s="53">
        <v>566.37421300000005</v>
      </c>
      <c r="N217" s="78">
        <v>2111.0522680681356</v>
      </c>
    </row>
    <row r="218" spans="1:14" ht="19.5" customHeight="1" outlineLevel="1" x14ac:dyDescent="0.2">
      <c r="A218" s="101">
        <v>24</v>
      </c>
      <c r="B218" s="81" t="s">
        <v>31</v>
      </c>
      <c r="C218" s="84">
        <v>1268.45</v>
      </c>
      <c r="D218" s="53">
        <v>2362.6203140000002</v>
      </c>
      <c r="E218" s="78">
        <v>1862.6042130158855</v>
      </c>
      <c r="F218" s="84">
        <v>1254.3599999999999</v>
      </c>
      <c r="G218" s="53">
        <v>2003.8293079999999</v>
      </c>
      <c r="H218" s="78">
        <v>1597.4913964093244</v>
      </c>
      <c r="I218" s="84">
        <v>1228.76</v>
      </c>
      <c r="J218" s="53">
        <v>1358.8950250000003</v>
      </c>
      <c r="K218" s="78">
        <v>1105.9076019727208</v>
      </c>
      <c r="L218" s="84">
        <v>1250.5233333333333</v>
      </c>
      <c r="M218" s="53">
        <v>1908.4482156666666</v>
      </c>
      <c r="N218" s="78">
        <v>1526.119637111929</v>
      </c>
    </row>
    <row r="219" spans="1:14" ht="19.5" customHeight="1" outlineLevel="1" x14ac:dyDescent="0.2">
      <c r="A219" s="101">
        <v>25</v>
      </c>
      <c r="B219" s="81" t="s">
        <v>32</v>
      </c>
      <c r="C219" s="84">
        <v>0.56000000000000005</v>
      </c>
      <c r="D219" s="53">
        <v>1.0672620650091473</v>
      </c>
      <c r="E219" s="78">
        <v>1905.825116087763</v>
      </c>
      <c r="F219" s="84">
        <v>1.77</v>
      </c>
      <c r="G219" s="53">
        <v>3.5635158452709264</v>
      </c>
      <c r="H219" s="78">
        <v>2013.285788288659</v>
      </c>
      <c r="I219" s="84">
        <v>2.94</v>
      </c>
      <c r="J219" s="53">
        <v>4.3342327429932848</v>
      </c>
      <c r="K219" s="78">
        <v>1474.2288241473757</v>
      </c>
      <c r="L219" s="84">
        <v>1.7566666666666666</v>
      </c>
      <c r="M219" s="53">
        <v>2.9883368844244527</v>
      </c>
      <c r="N219" s="78">
        <v>1701.1405414180947</v>
      </c>
    </row>
    <row r="220" spans="1:14" ht="19.5" customHeight="1" outlineLevel="1" x14ac:dyDescent="0.2">
      <c r="A220" s="101">
        <v>26</v>
      </c>
      <c r="B220" s="81" t="s">
        <v>33</v>
      </c>
      <c r="C220" s="84">
        <v>148.96</v>
      </c>
      <c r="D220" s="53">
        <v>239.0069897153958</v>
      </c>
      <c r="E220" s="78">
        <v>1604.5044959411641</v>
      </c>
      <c r="F220" s="84">
        <v>118.91</v>
      </c>
      <c r="G220" s="53">
        <v>186.47308318310459</v>
      </c>
      <c r="H220" s="78">
        <v>1568.1867225893918</v>
      </c>
      <c r="I220" s="84">
        <v>124.02</v>
      </c>
      <c r="J220" s="53">
        <v>117.34819004382759</v>
      </c>
      <c r="K220" s="78">
        <v>946.20375781186578</v>
      </c>
      <c r="L220" s="84">
        <v>130.63</v>
      </c>
      <c r="M220" s="53">
        <v>180.94275431410935</v>
      </c>
      <c r="N220" s="78">
        <v>1385.1546682546839</v>
      </c>
    </row>
    <row r="221" spans="1:14" ht="19.5" customHeight="1" outlineLevel="1" x14ac:dyDescent="0.2">
      <c r="A221" s="101">
        <v>27</v>
      </c>
      <c r="B221" s="81" t="s">
        <v>34</v>
      </c>
      <c r="C221" s="84">
        <v>43.2</v>
      </c>
      <c r="D221" s="53">
        <v>78.430930000000018</v>
      </c>
      <c r="E221" s="78">
        <v>1815.5307870370373</v>
      </c>
      <c r="F221" s="84">
        <v>50.09</v>
      </c>
      <c r="G221" s="53">
        <v>91.500438000000003</v>
      </c>
      <c r="H221" s="78">
        <v>1826.7206628069475</v>
      </c>
      <c r="I221" s="84">
        <v>103.16</v>
      </c>
      <c r="J221" s="53">
        <v>189.01131630327708</v>
      </c>
      <c r="K221" s="78">
        <v>1832.2151638549544</v>
      </c>
      <c r="L221" s="84">
        <v>65.483333333333334</v>
      </c>
      <c r="M221" s="53">
        <v>119.64756143442571</v>
      </c>
      <c r="N221" s="78">
        <v>1827.1452496985346</v>
      </c>
    </row>
    <row r="222" spans="1:14" ht="19.5" customHeight="1" outlineLevel="1" x14ac:dyDescent="0.2">
      <c r="A222" s="101">
        <v>28</v>
      </c>
      <c r="B222" s="81" t="s">
        <v>35</v>
      </c>
      <c r="C222" s="84">
        <v>0</v>
      </c>
      <c r="D222" s="53">
        <v>0</v>
      </c>
      <c r="E222" s="78">
        <v>0</v>
      </c>
      <c r="F222" s="84">
        <v>0.05</v>
      </c>
      <c r="G222" s="53">
        <v>0.10066428941443296</v>
      </c>
      <c r="H222" s="78">
        <v>2013.285788288659</v>
      </c>
      <c r="I222" s="84">
        <v>9.35</v>
      </c>
      <c r="J222" s="53">
        <v>13.784039505777962</v>
      </c>
      <c r="K222" s="78">
        <v>1474.2288241473757</v>
      </c>
      <c r="L222" s="84">
        <v>4.7</v>
      </c>
      <c r="M222" s="53">
        <v>6.9423518975961978</v>
      </c>
      <c r="N222" s="78">
        <v>1477.096148424723</v>
      </c>
    </row>
    <row r="223" spans="1:14" ht="19.5" customHeight="1" outlineLevel="1" x14ac:dyDescent="0.2">
      <c r="A223" s="101">
        <v>29</v>
      </c>
      <c r="B223" s="81" t="s">
        <v>36</v>
      </c>
      <c r="C223" s="84">
        <v>13.57</v>
      </c>
      <c r="D223" s="53">
        <v>31.825720999999998</v>
      </c>
      <c r="E223" s="78">
        <v>2345.2999999999997</v>
      </c>
      <c r="F223" s="84">
        <v>14.49</v>
      </c>
      <c r="G223" s="53">
        <v>21.151053000000005</v>
      </c>
      <c r="H223" s="78">
        <v>1459.7000000000003</v>
      </c>
      <c r="I223" s="84">
        <v>72.099999999999994</v>
      </c>
      <c r="J223" s="53">
        <v>95.244099999999989</v>
      </c>
      <c r="K223" s="78">
        <v>1321</v>
      </c>
      <c r="L223" s="84">
        <v>33.386666666666663</v>
      </c>
      <c r="M223" s="53">
        <v>49.406957999999996</v>
      </c>
      <c r="N223" s="78">
        <v>1479.8409944089458</v>
      </c>
    </row>
    <row r="224" spans="1:14" ht="19.5" customHeight="1" outlineLevel="1" x14ac:dyDescent="0.2">
      <c r="A224" s="101">
        <v>30</v>
      </c>
      <c r="B224" s="81" t="s">
        <v>37</v>
      </c>
      <c r="C224" s="84">
        <v>4.08</v>
      </c>
      <c r="D224" s="53">
        <v>7.7757664736380727</v>
      </c>
      <c r="E224" s="78">
        <v>1905.825116087763</v>
      </c>
      <c r="F224" s="84">
        <v>3.43</v>
      </c>
      <c r="G224" s="53">
        <v>6.9055702538301</v>
      </c>
      <c r="H224" s="78">
        <v>2013.285788288659</v>
      </c>
      <c r="I224" s="84">
        <v>3.38</v>
      </c>
      <c r="J224" s="53">
        <v>4.9828934256181299</v>
      </c>
      <c r="K224" s="78">
        <v>1474.2288241473757</v>
      </c>
      <c r="L224" s="84">
        <v>3.6300000000000003</v>
      </c>
      <c r="M224" s="53">
        <v>6.5547433843621006</v>
      </c>
      <c r="N224" s="78">
        <v>1805.7144309537464</v>
      </c>
    </row>
    <row r="225" spans="1:14" ht="19.5" customHeight="1" outlineLevel="1" x14ac:dyDescent="0.2">
      <c r="A225" s="101">
        <v>31</v>
      </c>
      <c r="B225" s="81" t="s">
        <v>38</v>
      </c>
      <c r="C225" s="84">
        <v>0.09</v>
      </c>
      <c r="D225" s="53">
        <v>0.17152426044789865</v>
      </c>
      <c r="E225" s="78">
        <v>1905.825116087763</v>
      </c>
      <c r="F225" s="84">
        <v>0</v>
      </c>
      <c r="G225" s="53">
        <v>0</v>
      </c>
      <c r="H225" s="78">
        <v>0</v>
      </c>
      <c r="I225" s="84">
        <v>0.05</v>
      </c>
      <c r="J225" s="53">
        <v>7.3711441207368791E-2</v>
      </c>
      <c r="K225" s="78">
        <v>1474.2288241473757</v>
      </c>
      <c r="L225" s="84">
        <v>7.0000000000000007E-2</v>
      </c>
      <c r="M225" s="53">
        <v>0.12261785082763371</v>
      </c>
      <c r="N225" s="78">
        <v>1751.68358325191</v>
      </c>
    </row>
    <row r="226" spans="1:14" ht="19.5" customHeight="1" outlineLevel="1" x14ac:dyDescent="0.2">
      <c r="A226" s="101">
        <v>32</v>
      </c>
      <c r="B226" s="81" t="s">
        <v>39</v>
      </c>
      <c r="C226" s="84">
        <v>0</v>
      </c>
      <c r="D226" s="53">
        <v>0</v>
      </c>
      <c r="E226" s="78">
        <v>0</v>
      </c>
      <c r="F226" s="84">
        <v>0</v>
      </c>
      <c r="G226" s="53">
        <v>0</v>
      </c>
      <c r="H226" s="78">
        <v>0</v>
      </c>
      <c r="I226" s="84">
        <v>0</v>
      </c>
      <c r="J226" s="53">
        <v>0</v>
      </c>
      <c r="K226" s="78">
        <v>0</v>
      </c>
      <c r="L226" s="84">
        <v>0</v>
      </c>
      <c r="M226" s="53">
        <v>0</v>
      </c>
      <c r="N226" s="78">
        <v>0</v>
      </c>
    </row>
    <row r="227" spans="1:14" ht="19.5" customHeight="1" outlineLevel="1" thickBot="1" x14ac:dyDescent="0.25">
      <c r="A227" s="102">
        <v>33</v>
      </c>
      <c r="B227" s="91" t="s">
        <v>40</v>
      </c>
      <c r="C227" s="92">
        <v>17.170000000000002</v>
      </c>
      <c r="D227" s="93">
        <v>34.163664099999998</v>
      </c>
      <c r="E227" s="94">
        <v>1989.73</v>
      </c>
      <c r="F227" s="92">
        <v>16.64</v>
      </c>
      <c r="G227" s="93">
        <v>24.489061376000009</v>
      </c>
      <c r="H227" s="94">
        <v>1471.6984000000004</v>
      </c>
      <c r="I227" s="92">
        <v>15.75</v>
      </c>
      <c r="J227" s="93">
        <v>31.035374999999998</v>
      </c>
      <c r="K227" s="94">
        <v>1970.5</v>
      </c>
      <c r="L227" s="92">
        <v>16.52</v>
      </c>
      <c r="M227" s="93">
        <v>29.896033492000001</v>
      </c>
      <c r="N227" s="94">
        <v>1809.687257384988</v>
      </c>
    </row>
    <row r="228" spans="1:14" ht="19.5" customHeight="1" thickBot="1" x14ac:dyDescent="0.25">
      <c r="A228" s="151" t="s">
        <v>41</v>
      </c>
      <c r="B228" s="152"/>
      <c r="C228" s="96">
        <v>2879.2000000000003</v>
      </c>
      <c r="D228" s="97">
        <v>5487.2516742398229</v>
      </c>
      <c r="E228" s="98">
        <v>1905.8251160877403</v>
      </c>
      <c r="F228" s="96">
        <v>2824.3399999999997</v>
      </c>
      <c r="G228" s="97">
        <v>5686.2035832952442</v>
      </c>
      <c r="H228" s="98">
        <v>2013.2857882886778</v>
      </c>
      <c r="I228" s="96">
        <v>2860.21</v>
      </c>
      <c r="J228" s="97">
        <v>4216.6040251145805</v>
      </c>
      <c r="K228" s="98">
        <v>1474.2288241473807</v>
      </c>
      <c r="L228" s="96">
        <v>2854.5833333333335</v>
      </c>
      <c r="M228" s="97">
        <v>5130.0197608832159</v>
      </c>
      <c r="N228" s="98">
        <v>1797.1168334724446</v>
      </c>
    </row>
    <row r="229" spans="1:14" ht="34.5" customHeight="1" x14ac:dyDescent="0.2">
      <c r="A229" s="153" t="s">
        <v>247</v>
      </c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</row>
    <row r="230" spans="1:14" ht="19.5" customHeight="1" thickBot="1" x14ac:dyDescent="0.25">
      <c r="A230" s="50"/>
      <c r="B230" s="138" t="s">
        <v>47</v>
      </c>
      <c r="C230" s="52"/>
      <c r="D230" s="52"/>
      <c r="E230" s="52"/>
      <c r="F230" s="52"/>
      <c r="G230" s="52"/>
      <c r="H230" s="52"/>
      <c r="I230" s="52"/>
      <c r="J230" s="52"/>
      <c r="K230" s="155" t="s">
        <v>1</v>
      </c>
      <c r="L230" s="154"/>
      <c r="M230" s="154"/>
      <c r="N230" s="154"/>
    </row>
    <row r="231" spans="1:14" ht="19.5" customHeight="1" x14ac:dyDescent="0.2">
      <c r="A231" s="156" t="s">
        <v>2</v>
      </c>
      <c r="B231" s="158" t="s">
        <v>3</v>
      </c>
      <c r="C231" s="148" t="s">
        <v>243</v>
      </c>
      <c r="D231" s="149"/>
      <c r="E231" s="150"/>
      <c r="F231" s="148" t="s">
        <v>244</v>
      </c>
      <c r="G231" s="149"/>
      <c r="H231" s="150"/>
      <c r="I231" s="148" t="s">
        <v>246</v>
      </c>
      <c r="J231" s="149"/>
      <c r="K231" s="150"/>
      <c r="L231" s="148" t="s">
        <v>4</v>
      </c>
      <c r="M231" s="149"/>
      <c r="N231" s="150"/>
    </row>
    <row r="232" spans="1:14" ht="19.5" customHeight="1" thickBot="1" x14ac:dyDescent="0.25">
      <c r="A232" s="157"/>
      <c r="B232" s="159"/>
      <c r="C232" s="85" t="s">
        <v>5</v>
      </c>
      <c r="D232" s="79" t="s">
        <v>6</v>
      </c>
      <c r="E232" s="80" t="s">
        <v>7</v>
      </c>
      <c r="F232" s="85" t="s">
        <v>5</v>
      </c>
      <c r="G232" s="79" t="s">
        <v>6</v>
      </c>
      <c r="H232" s="80" t="s">
        <v>7</v>
      </c>
      <c r="I232" s="85" t="s">
        <v>5</v>
      </c>
      <c r="J232" s="79" t="s">
        <v>6</v>
      </c>
      <c r="K232" s="80" t="s">
        <v>7</v>
      </c>
      <c r="L232" s="85" t="s">
        <v>5</v>
      </c>
      <c r="M232" s="79" t="s">
        <v>6</v>
      </c>
      <c r="N232" s="80" t="s">
        <v>7</v>
      </c>
    </row>
    <row r="233" spans="1:14" ht="19.5" customHeight="1" outlineLevel="1" x14ac:dyDescent="0.2">
      <c r="A233" s="100">
        <v>1</v>
      </c>
      <c r="B233" s="86" t="s">
        <v>8</v>
      </c>
      <c r="C233" s="87">
        <v>0</v>
      </c>
      <c r="D233" s="88">
        <v>0</v>
      </c>
      <c r="E233" s="89">
        <v>0</v>
      </c>
      <c r="F233" s="87">
        <v>0</v>
      </c>
      <c r="G233" s="88">
        <v>0</v>
      </c>
      <c r="H233" s="89">
        <v>0</v>
      </c>
      <c r="I233" s="87">
        <v>0</v>
      </c>
      <c r="J233" s="88">
        <v>0</v>
      </c>
      <c r="K233" s="89">
        <v>0</v>
      </c>
      <c r="L233" s="87">
        <v>0</v>
      </c>
      <c r="M233" s="88">
        <v>0</v>
      </c>
      <c r="N233" s="89">
        <v>0</v>
      </c>
    </row>
    <row r="234" spans="1:14" ht="19.5" customHeight="1" outlineLevel="1" x14ac:dyDescent="0.2">
      <c r="A234" s="101">
        <v>2</v>
      </c>
      <c r="B234" s="81" t="s">
        <v>9</v>
      </c>
      <c r="C234" s="84">
        <v>0</v>
      </c>
      <c r="D234" s="53">
        <v>0</v>
      </c>
      <c r="E234" s="78">
        <v>0</v>
      </c>
      <c r="F234" s="84">
        <v>0</v>
      </c>
      <c r="G234" s="53">
        <v>0</v>
      </c>
      <c r="H234" s="78">
        <v>0</v>
      </c>
      <c r="I234" s="84">
        <v>0</v>
      </c>
      <c r="J234" s="53">
        <v>0</v>
      </c>
      <c r="K234" s="78">
        <v>0</v>
      </c>
      <c r="L234" s="84">
        <v>0</v>
      </c>
      <c r="M234" s="53">
        <v>0</v>
      </c>
      <c r="N234" s="78">
        <v>0</v>
      </c>
    </row>
    <row r="235" spans="1:14" ht="19.5" customHeight="1" outlineLevel="1" x14ac:dyDescent="0.2">
      <c r="A235" s="101">
        <v>3</v>
      </c>
      <c r="B235" s="81" t="s">
        <v>10</v>
      </c>
      <c r="C235" s="84">
        <v>0</v>
      </c>
      <c r="D235" s="53">
        <v>0</v>
      </c>
      <c r="E235" s="78">
        <v>0</v>
      </c>
      <c r="F235" s="84">
        <v>0</v>
      </c>
      <c r="G235" s="53">
        <v>0</v>
      </c>
      <c r="H235" s="78">
        <v>0</v>
      </c>
      <c r="I235" s="84">
        <v>0</v>
      </c>
      <c r="J235" s="53">
        <v>0</v>
      </c>
      <c r="K235" s="78">
        <v>0</v>
      </c>
      <c r="L235" s="84">
        <v>0</v>
      </c>
      <c r="M235" s="53">
        <v>0</v>
      </c>
      <c r="N235" s="78">
        <v>0</v>
      </c>
    </row>
    <row r="236" spans="1:14" ht="19.5" customHeight="1" outlineLevel="1" x14ac:dyDescent="0.2">
      <c r="A236" s="101">
        <v>4</v>
      </c>
      <c r="B236" s="81" t="s">
        <v>11</v>
      </c>
      <c r="C236" s="84">
        <v>0</v>
      </c>
      <c r="D236" s="53">
        <v>0</v>
      </c>
      <c r="E236" s="78">
        <v>0</v>
      </c>
      <c r="F236" s="84">
        <v>0</v>
      </c>
      <c r="G236" s="53">
        <v>0</v>
      </c>
      <c r="H236" s="78">
        <v>0</v>
      </c>
      <c r="I236" s="84">
        <v>0</v>
      </c>
      <c r="J236" s="53">
        <v>0</v>
      </c>
      <c r="K236" s="78">
        <v>0</v>
      </c>
      <c r="L236" s="84">
        <v>0</v>
      </c>
      <c r="M236" s="53">
        <v>0</v>
      </c>
      <c r="N236" s="78">
        <v>0</v>
      </c>
    </row>
    <row r="237" spans="1:14" ht="19.5" customHeight="1" outlineLevel="1" x14ac:dyDescent="0.2">
      <c r="A237" s="101">
        <v>5</v>
      </c>
      <c r="B237" s="81" t="s">
        <v>12</v>
      </c>
      <c r="C237" s="84">
        <v>0</v>
      </c>
      <c r="D237" s="53">
        <v>0</v>
      </c>
      <c r="E237" s="78">
        <v>0</v>
      </c>
      <c r="F237" s="84">
        <v>0</v>
      </c>
      <c r="G237" s="53">
        <v>0</v>
      </c>
      <c r="H237" s="78">
        <v>0</v>
      </c>
      <c r="I237" s="84">
        <v>0</v>
      </c>
      <c r="J237" s="53">
        <v>0</v>
      </c>
      <c r="K237" s="78">
        <v>0</v>
      </c>
      <c r="L237" s="84">
        <v>0</v>
      </c>
      <c r="M237" s="53">
        <v>0</v>
      </c>
      <c r="N237" s="78">
        <v>0</v>
      </c>
    </row>
    <row r="238" spans="1:14" ht="19.5" customHeight="1" outlineLevel="1" x14ac:dyDescent="0.2">
      <c r="A238" s="101">
        <v>6</v>
      </c>
      <c r="B238" s="81" t="s">
        <v>13</v>
      </c>
      <c r="C238" s="84">
        <v>0</v>
      </c>
      <c r="D238" s="53">
        <v>0</v>
      </c>
      <c r="E238" s="78">
        <v>0</v>
      </c>
      <c r="F238" s="84">
        <v>0</v>
      </c>
      <c r="G238" s="53">
        <v>0</v>
      </c>
      <c r="H238" s="78">
        <v>0</v>
      </c>
      <c r="I238" s="84">
        <v>0</v>
      </c>
      <c r="J238" s="53">
        <v>0</v>
      </c>
      <c r="K238" s="78">
        <v>0</v>
      </c>
      <c r="L238" s="84">
        <v>0</v>
      </c>
      <c r="M238" s="53">
        <v>0</v>
      </c>
      <c r="N238" s="78">
        <v>0</v>
      </c>
    </row>
    <row r="239" spans="1:14" ht="19.5" customHeight="1" outlineLevel="1" x14ac:dyDescent="0.2">
      <c r="A239" s="101">
        <v>7</v>
      </c>
      <c r="B239" s="81" t="s">
        <v>14</v>
      </c>
      <c r="C239" s="84">
        <v>0</v>
      </c>
      <c r="D239" s="53">
        <v>0</v>
      </c>
      <c r="E239" s="78">
        <v>0</v>
      </c>
      <c r="F239" s="84">
        <v>0</v>
      </c>
      <c r="G239" s="53">
        <v>0</v>
      </c>
      <c r="H239" s="78">
        <v>0</v>
      </c>
      <c r="I239" s="84">
        <v>0</v>
      </c>
      <c r="J239" s="53">
        <v>0</v>
      </c>
      <c r="K239" s="78">
        <v>0</v>
      </c>
      <c r="L239" s="84">
        <v>0</v>
      </c>
      <c r="M239" s="53">
        <v>0</v>
      </c>
      <c r="N239" s="78">
        <v>0</v>
      </c>
    </row>
    <row r="240" spans="1:14" ht="19.5" customHeight="1" outlineLevel="1" x14ac:dyDescent="0.2">
      <c r="A240" s="101">
        <v>8</v>
      </c>
      <c r="B240" s="81" t="s">
        <v>15</v>
      </c>
      <c r="C240" s="84">
        <v>0</v>
      </c>
      <c r="D240" s="53">
        <v>0</v>
      </c>
      <c r="E240" s="78">
        <v>0</v>
      </c>
      <c r="F240" s="84">
        <v>0</v>
      </c>
      <c r="G240" s="53">
        <v>0</v>
      </c>
      <c r="H240" s="78">
        <v>0</v>
      </c>
      <c r="I240" s="84">
        <v>0</v>
      </c>
      <c r="J240" s="53">
        <v>0</v>
      </c>
      <c r="K240" s="78">
        <v>0</v>
      </c>
      <c r="L240" s="84">
        <v>0</v>
      </c>
      <c r="M240" s="53">
        <v>0</v>
      </c>
      <c r="N240" s="78">
        <v>0</v>
      </c>
    </row>
    <row r="241" spans="1:14" ht="19.5" customHeight="1" outlineLevel="1" x14ac:dyDescent="0.2">
      <c r="A241" s="101">
        <v>9</v>
      </c>
      <c r="B241" s="81" t="s">
        <v>16</v>
      </c>
      <c r="C241" s="84">
        <v>0</v>
      </c>
      <c r="D241" s="53">
        <v>0</v>
      </c>
      <c r="E241" s="78">
        <v>0</v>
      </c>
      <c r="F241" s="84">
        <v>0</v>
      </c>
      <c r="G241" s="53">
        <v>0</v>
      </c>
      <c r="H241" s="78">
        <v>0</v>
      </c>
      <c r="I241" s="84">
        <v>0</v>
      </c>
      <c r="J241" s="53">
        <v>0</v>
      </c>
      <c r="K241" s="78">
        <v>0</v>
      </c>
      <c r="L241" s="84">
        <v>0</v>
      </c>
      <c r="M241" s="53">
        <v>0</v>
      </c>
      <c r="N241" s="78">
        <v>0</v>
      </c>
    </row>
    <row r="242" spans="1:14" ht="19.5" customHeight="1" outlineLevel="1" x14ac:dyDescent="0.2">
      <c r="A242" s="101">
        <v>10</v>
      </c>
      <c r="B242" s="81" t="s">
        <v>17</v>
      </c>
      <c r="C242" s="84">
        <v>0</v>
      </c>
      <c r="D242" s="53">
        <v>0</v>
      </c>
      <c r="E242" s="78">
        <v>0</v>
      </c>
      <c r="F242" s="84">
        <v>0</v>
      </c>
      <c r="G242" s="53">
        <v>0</v>
      </c>
      <c r="H242" s="78">
        <v>0</v>
      </c>
      <c r="I242" s="84">
        <v>0</v>
      </c>
      <c r="J242" s="53">
        <v>0</v>
      </c>
      <c r="K242" s="78">
        <v>0</v>
      </c>
      <c r="L242" s="84">
        <v>0</v>
      </c>
      <c r="M242" s="53">
        <v>0</v>
      </c>
      <c r="N242" s="78">
        <v>0</v>
      </c>
    </row>
    <row r="243" spans="1:14" ht="19.5" customHeight="1" outlineLevel="1" x14ac:dyDescent="0.2">
      <c r="A243" s="101">
        <v>11</v>
      </c>
      <c r="B243" s="81" t="s">
        <v>18</v>
      </c>
      <c r="C243" s="84">
        <v>0</v>
      </c>
      <c r="D243" s="53">
        <v>0</v>
      </c>
      <c r="E243" s="78">
        <v>0</v>
      </c>
      <c r="F243" s="84">
        <v>0</v>
      </c>
      <c r="G243" s="53">
        <v>0</v>
      </c>
      <c r="H243" s="78">
        <v>0</v>
      </c>
      <c r="I243" s="84">
        <v>0</v>
      </c>
      <c r="J243" s="53">
        <v>0</v>
      </c>
      <c r="K243" s="78">
        <v>0</v>
      </c>
      <c r="L243" s="84">
        <v>0</v>
      </c>
      <c r="M243" s="53">
        <v>0</v>
      </c>
      <c r="N243" s="78">
        <v>0</v>
      </c>
    </row>
    <row r="244" spans="1:14" ht="19.5" customHeight="1" outlineLevel="1" x14ac:dyDescent="0.2">
      <c r="A244" s="101">
        <v>12</v>
      </c>
      <c r="B244" s="81" t="s">
        <v>19</v>
      </c>
      <c r="C244" s="84">
        <v>0</v>
      </c>
      <c r="D244" s="53">
        <v>0</v>
      </c>
      <c r="E244" s="78">
        <v>0</v>
      </c>
      <c r="F244" s="84">
        <v>0</v>
      </c>
      <c r="G244" s="53">
        <v>0</v>
      </c>
      <c r="H244" s="78">
        <v>0</v>
      </c>
      <c r="I244" s="84">
        <v>0</v>
      </c>
      <c r="J244" s="53">
        <v>0</v>
      </c>
      <c r="K244" s="78">
        <v>0</v>
      </c>
      <c r="L244" s="84">
        <v>0</v>
      </c>
      <c r="M244" s="53">
        <v>0</v>
      </c>
      <c r="N244" s="78">
        <v>0</v>
      </c>
    </row>
    <row r="245" spans="1:14" ht="19.5" customHeight="1" outlineLevel="1" x14ac:dyDescent="0.2">
      <c r="A245" s="101">
        <v>13</v>
      </c>
      <c r="B245" s="81" t="s">
        <v>20</v>
      </c>
      <c r="C245" s="84">
        <v>0</v>
      </c>
      <c r="D245" s="53">
        <v>0</v>
      </c>
      <c r="E245" s="78">
        <v>0</v>
      </c>
      <c r="F245" s="84">
        <v>0</v>
      </c>
      <c r="G245" s="53">
        <v>0</v>
      </c>
      <c r="H245" s="78">
        <v>0</v>
      </c>
      <c r="I245" s="84">
        <v>0</v>
      </c>
      <c r="J245" s="53">
        <v>0</v>
      </c>
      <c r="K245" s="78">
        <v>0</v>
      </c>
      <c r="L245" s="84">
        <v>0</v>
      </c>
      <c r="M245" s="53">
        <v>0</v>
      </c>
      <c r="N245" s="78">
        <v>0</v>
      </c>
    </row>
    <row r="246" spans="1:14" ht="19.5" customHeight="1" outlineLevel="1" x14ac:dyDescent="0.2">
      <c r="A246" s="101">
        <v>14</v>
      </c>
      <c r="B246" s="81" t="s">
        <v>21</v>
      </c>
      <c r="C246" s="84">
        <v>0</v>
      </c>
      <c r="D246" s="53">
        <v>0</v>
      </c>
      <c r="E246" s="78">
        <v>0</v>
      </c>
      <c r="F246" s="84">
        <v>0</v>
      </c>
      <c r="G246" s="53">
        <v>0</v>
      </c>
      <c r="H246" s="78">
        <v>0</v>
      </c>
      <c r="I246" s="84">
        <v>0</v>
      </c>
      <c r="J246" s="53">
        <v>0</v>
      </c>
      <c r="K246" s="78">
        <v>0</v>
      </c>
      <c r="L246" s="84">
        <v>0</v>
      </c>
      <c r="M246" s="53">
        <v>0</v>
      </c>
      <c r="N246" s="78">
        <v>0</v>
      </c>
    </row>
    <row r="247" spans="1:14" ht="19.5" customHeight="1" outlineLevel="1" x14ac:dyDescent="0.2">
      <c r="A247" s="101">
        <v>15</v>
      </c>
      <c r="B247" s="81" t="s">
        <v>22</v>
      </c>
      <c r="C247" s="84">
        <v>0</v>
      </c>
      <c r="D247" s="53">
        <v>0</v>
      </c>
      <c r="E247" s="78">
        <v>0</v>
      </c>
      <c r="F247" s="84">
        <v>0</v>
      </c>
      <c r="G247" s="53">
        <v>0</v>
      </c>
      <c r="H247" s="78">
        <v>0</v>
      </c>
      <c r="I247" s="84">
        <v>0</v>
      </c>
      <c r="J247" s="53">
        <v>0</v>
      </c>
      <c r="K247" s="78">
        <v>0</v>
      </c>
      <c r="L247" s="84">
        <v>0</v>
      </c>
      <c r="M247" s="53">
        <v>0</v>
      </c>
      <c r="N247" s="78">
        <v>0</v>
      </c>
    </row>
    <row r="248" spans="1:14" ht="19.5" customHeight="1" outlineLevel="1" x14ac:dyDescent="0.2">
      <c r="A248" s="101">
        <v>16</v>
      </c>
      <c r="B248" s="81" t="s">
        <v>23</v>
      </c>
      <c r="C248" s="84">
        <v>0</v>
      </c>
      <c r="D248" s="53">
        <v>0</v>
      </c>
      <c r="E248" s="78">
        <v>0</v>
      </c>
      <c r="F248" s="84">
        <v>0</v>
      </c>
      <c r="G248" s="53">
        <v>0</v>
      </c>
      <c r="H248" s="78">
        <v>0</v>
      </c>
      <c r="I248" s="84">
        <v>0</v>
      </c>
      <c r="J248" s="53">
        <v>0</v>
      </c>
      <c r="K248" s="78">
        <v>0</v>
      </c>
      <c r="L248" s="84">
        <v>0</v>
      </c>
      <c r="M248" s="53">
        <v>0</v>
      </c>
      <c r="N248" s="78">
        <v>0</v>
      </c>
    </row>
    <row r="249" spans="1:14" ht="19.5" customHeight="1" outlineLevel="1" x14ac:dyDescent="0.2">
      <c r="A249" s="101">
        <v>17</v>
      </c>
      <c r="B249" s="81" t="s">
        <v>24</v>
      </c>
      <c r="C249" s="84">
        <v>0</v>
      </c>
      <c r="D249" s="53">
        <v>0</v>
      </c>
      <c r="E249" s="78">
        <v>0</v>
      </c>
      <c r="F249" s="84">
        <v>0</v>
      </c>
      <c r="G249" s="53">
        <v>0</v>
      </c>
      <c r="H249" s="78">
        <v>0</v>
      </c>
      <c r="I249" s="84">
        <v>0</v>
      </c>
      <c r="J249" s="53">
        <v>0</v>
      </c>
      <c r="K249" s="78">
        <v>0</v>
      </c>
      <c r="L249" s="84">
        <v>0</v>
      </c>
      <c r="M249" s="53">
        <v>0</v>
      </c>
      <c r="N249" s="78">
        <v>0</v>
      </c>
    </row>
    <row r="250" spans="1:14" ht="19.5" customHeight="1" outlineLevel="1" x14ac:dyDescent="0.2">
      <c r="A250" s="101">
        <v>18</v>
      </c>
      <c r="B250" s="81" t="s">
        <v>25</v>
      </c>
      <c r="C250" s="84">
        <v>0</v>
      </c>
      <c r="D250" s="53">
        <v>0</v>
      </c>
      <c r="E250" s="78">
        <v>0</v>
      </c>
      <c r="F250" s="84">
        <v>0</v>
      </c>
      <c r="G250" s="53">
        <v>0</v>
      </c>
      <c r="H250" s="78">
        <v>0</v>
      </c>
      <c r="I250" s="84">
        <v>0</v>
      </c>
      <c r="J250" s="53">
        <v>0</v>
      </c>
      <c r="K250" s="78">
        <v>0</v>
      </c>
      <c r="L250" s="84">
        <v>0</v>
      </c>
      <c r="M250" s="53">
        <v>0</v>
      </c>
      <c r="N250" s="78">
        <v>0</v>
      </c>
    </row>
    <row r="251" spans="1:14" ht="19.5" customHeight="1" outlineLevel="1" x14ac:dyDescent="0.2">
      <c r="A251" s="101">
        <v>19</v>
      </c>
      <c r="B251" s="81" t="s">
        <v>26</v>
      </c>
      <c r="C251" s="84">
        <v>0</v>
      </c>
      <c r="D251" s="53">
        <v>0</v>
      </c>
      <c r="E251" s="78">
        <v>0</v>
      </c>
      <c r="F251" s="84">
        <v>0</v>
      </c>
      <c r="G251" s="53">
        <v>0</v>
      </c>
      <c r="H251" s="78">
        <v>0</v>
      </c>
      <c r="I251" s="84">
        <v>0</v>
      </c>
      <c r="J251" s="53">
        <v>0</v>
      </c>
      <c r="K251" s="78">
        <v>0</v>
      </c>
      <c r="L251" s="84">
        <v>0</v>
      </c>
      <c r="M251" s="53">
        <v>0</v>
      </c>
      <c r="N251" s="78">
        <v>0</v>
      </c>
    </row>
    <row r="252" spans="1:14" ht="19.5" customHeight="1" outlineLevel="1" x14ac:dyDescent="0.2">
      <c r="A252" s="101">
        <v>20</v>
      </c>
      <c r="B252" s="81" t="s">
        <v>27</v>
      </c>
      <c r="C252" s="84">
        <v>0</v>
      </c>
      <c r="D252" s="53">
        <v>0</v>
      </c>
      <c r="E252" s="78">
        <v>0</v>
      </c>
      <c r="F252" s="84">
        <v>0</v>
      </c>
      <c r="G252" s="53">
        <v>0</v>
      </c>
      <c r="H252" s="78">
        <v>0</v>
      </c>
      <c r="I252" s="84">
        <v>0</v>
      </c>
      <c r="J252" s="53">
        <v>0</v>
      </c>
      <c r="K252" s="78">
        <v>0</v>
      </c>
      <c r="L252" s="84">
        <v>0</v>
      </c>
      <c r="M252" s="53">
        <v>0</v>
      </c>
      <c r="N252" s="78">
        <v>0</v>
      </c>
    </row>
    <row r="253" spans="1:14" ht="19.5" customHeight="1" outlineLevel="1" x14ac:dyDescent="0.2">
      <c r="A253" s="101">
        <v>21</v>
      </c>
      <c r="B253" s="81" t="s">
        <v>28</v>
      </c>
      <c r="C253" s="84">
        <v>0</v>
      </c>
      <c r="D253" s="53">
        <v>0</v>
      </c>
      <c r="E253" s="78">
        <v>0</v>
      </c>
      <c r="F253" s="84">
        <v>0</v>
      </c>
      <c r="G253" s="53">
        <v>0</v>
      </c>
      <c r="H253" s="78">
        <v>0</v>
      </c>
      <c r="I253" s="84">
        <v>0</v>
      </c>
      <c r="J253" s="53">
        <v>0</v>
      </c>
      <c r="K253" s="78">
        <v>0</v>
      </c>
      <c r="L253" s="84">
        <v>0</v>
      </c>
      <c r="M253" s="53">
        <v>0</v>
      </c>
      <c r="N253" s="78">
        <v>0</v>
      </c>
    </row>
    <row r="254" spans="1:14" ht="19.5" customHeight="1" outlineLevel="1" x14ac:dyDescent="0.2">
      <c r="A254" s="101">
        <v>22</v>
      </c>
      <c r="B254" s="81" t="s">
        <v>29</v>
      </c>
      <c r="C254" s="84">
        <v>0</v>
      </c>
      <c r="D254" s="53">
        <v>0</v>
      </c>
      <c r="E254" s="78">
        <v>0</v>
      </c>
      <c r="F254" s="84">
        <v>0</v>
      </c>
      <c r="G254" s="53">
        <v>0</v>
      </c>
      <c r="H254" s="78">
        <v>0</v>
      </c>
      <c r="I254" s="84">
        <v>0.01</v>
      </c>
      <c r="J254" s="53">
        <v>8.3519352858421811E-3</v>
      </c>
      <c r="K254" s="78">
        <v>835.19352858421803</v>
      </c>
      <c r="L254" s="84">
        <v>0.01</v>
      </c>
      <c r="M254" s="53">
        <v>8.3519352858421811E-3</v>
      </c>
      <c r="N254" s="78">
        <v>835.19352858421814</v>
      </c>
    </row>
    <row r="255" spans="1:14" ht="19.5" customHeight="1" outlineLevel="1" x14ac:dyDescent="0.2">
      <c r="A255" s="101">
        <v>23</v>
      </c>
      <c r="B255" s="81" t="s">
        <v>30</v>
      </c>
      <c r="C255" s="84">
        <v>0</v>
      </c>
      <c r="D255" s="53">
        <v>0</v>
      </c>
      <c r="E255" s="78">
        <v>0</v>
      </c>
      <c r="F255" s="84">
        <v>0</v>
      </c>
      <c r="G255" s="53">
        <v>0</v>
      </c>
      <c r="H255" s="78">
        <v>0</v>
      </c>
      <c r="I255" s="84">
        <v>1.76</v>
      </c>
      <c r="J255" s="53">
        <v>1.4699406103082238</v>
      </c>
      <c r="K255" s="78">
        <v>835.19352858421803</v>
      </c>
      <c r="L255" s="84">
        <v>1.76</v>
      </c>
      <c r="M255" s="53">
        <v>1.4699406103082238</v>
      </c>
      <c r="N255" s="78">
        <v>835.19352858421803</v>
      </c>
    </row>
    <row r="256" spans="1:14" ht="19.5" customHeight="1" outlineLevel="1" x14ac:dyDescent="0.2">
      <c r="A256" s="101">
        <v>24</v>
      </c>
      <c r="B256" s="81" t="s">
        <v>31</v>
      </c>
      <c r="C256" s="84">
        <v>0</v>
      </c>
      <c r="D256" s="53">
        <v>0</v>
      </c>
      <c r="E256" s="78">
        <v>0</v>
      </c>
      <c r="F256" s="84">
        <v>0</v>
      </c>
      <c r="G256" s="53">
        <v>0</v>
      </c>
      <c r="H256" s="78">
        <v>0</v>
      </c>
      <c r="I256" s="84">
        <v>19.13</v>
      </c>
      <c r="J256" s="53">
        <v>15.977252201816091</v>
      </c>
      <c r="K256" s="78">
        <v>835.19352858421803</v>
      </c>
      <c r="L256" s="84">
        <v>19.13</v>
      </c>
      <c r="M256" s="53">
        <v>15.977252201816091</v>
      </c>
      <c r="N256" s="78">
        <v>835.19352858421803</v>
      </c>
    </row>
    <row r="257" spans="1:14" ht="19.5" customHeight="1" outlineLevel="1" x14ac:dyDescent="0.2">
      <c r="A257" s="101">
        <v>25</v>
      </c>
      <c r="B257" s="81" t="s">
        <v>32</v>
      </c>
      <c r="C257" s="84">
        <v>0</v>
      </c>
      <c r="D257" s="53">
        <v>0</v>
      </c>
      <c r="E257" s="78">
        <v>0</v>
      </c>
      <c r="F257" s="84">
        <v>0</v>
      </c>
      <c r="G257" s="53">
        <v>0</v>
      </c>
      <c r="H257" s="78">
        <v>0</v>
      </c>
      <c r="I257" s="84">
        <v>0</v>
      </c>
      <c r="J257" s="53">
        <v>0</v>
      </c>
      <c r="K257" s="78">
        <v>0</v>
      </c>
      <c r="L257" s="84">
        <v>0</v>
      </c>
      <c r="M257" s="53">
        <v>0</v>
      </c>
      <c r="N257" s="78">
        <v>0</v>
      </c>
    </row>
    <row r="258" spans="1:14" ht="19.5" customHeight="1" outlineLevel="1" x14ac:dyDescent="0.2">
      <c r="A258" s="101">
        <v>26</v>
      </c>
      <c r="B258" s="81" t="s">
        <v>33</v>
      </c>
      <c r="C258" s="84">
        <v>0</v>
      </c>
      <c r="D258" s="53">
        <v>0</v>
      </c>
      <c r="E258" s="78">
        <v>0</v>
      </c>
      <c r="F258" s="84">
        <v>0</v>
      </c>
      <c r="G258" s="53">
        <v>0</v>
      </c>
      <c r="H258" s="78">
        <v>0</v>
      </c>
      <c r="I258" s="84">
        <v>0</v>
      </c>
      <c r="J258" s="53">
        <v>0</v>
      </c>
      <c r="K258" s="78">
        <v>0</v>
      </c>
      <c r="L258" s="84">
        <v>0</v>
      </c>
      <c r="M258" s="53">
        <v>0</v>
      </c>
      <c r="N258" s="78">
        <v>0</v>
      </c>
    </row>
    <row r="259" spans="1:14" ht="19.5" customHeight="1" outlineLevel="1" x14ac:dyDescent="0.2">
      <c r="A259" s="101">
        <v>27</v>
      </c>
      <c r="B259" s="81" t="s">
        <v>34</v>
      </c>
      <c r="C259" s="84">
        <v>0</v>
      </c>
      <c r="D259" s="53">
        <v>0</v>
      </c>
      <c r="E259" s="78">
        <v>0</v>
      </c>
      <c r="F259" s="84">
        <v>0</v>
      </c>
      <c r="G259" s="53">
        <v>0</v>
      </c>
      <c r="H259" s="78">
        <v>0</v>
      </c>
      <c r="I259" s="84">
        <v>0</v>
      </c>
      <c r="J259" s="53">
        <v>0</v>
      </c>
      <c r="K259" s="78">
        <v>0</v>
      </c>
      <c r="L259" s="84">
        <v>0</v>
      </c>
      <c r="M259" s="53">
        <v>0</v>
      </c>
      <c r="N259" s="78">
        <v>0</v>
      </c>
    </row>
    <row r="260" spans="1:14" ht="19.5" customHeight="1" outlineLevel="1" x14ac:dyDescent="0.2">
      <c r="A260" s="101">
        <v>28</v>
      </c>
      <c r="B260" s="81" t="s">
        <v>35</v>
      </c>
      <c r="C260" s="84">
        <v>0</v>
      </c>
      <c r="D260" s="53">
        <v>0</v>
      </c>
      <c r="E260" s="78">
        <v>0</v>
      </c>
      <c r="F260" s="84">
        <v>0</v>
      </c>
      <c r="G260" s="53">
        <v>0</v>
      </c>
      <c r="H260" s="78">
        <v>0</v>
      </c>
      <c r="I260" s="84">
        <v>0</v>
      </c>
      <c r="J260" s="53">
        <v>0</v>
      </c>
      <c r="K260" s="78">
        <v>0</v>
      </c>
      <c r="L260" s="84">
        <v>0</v>
      </c>
      <c r="M260" s="53">
        <v>0</v>
      </c>
      <c r="N260" s="78">
        <v>0</v>
      </c>
    </row>
    <row r="261" spans="1:14" ht="19.5" customHeight="1" outlineLevel="1" x14ac:dyDescent="0.2">
      <c r="A261" s="101">
        <v>29</v>
      </c>
      <c r="B261" s="81" t="s">
        <v>36</v>
      </c>
      <c r="C261" s="84">
        <v>0</v>
      </c>
      <c r="D261" s="53">
        <v>0</v>
      </c>
      <c r="E261" s="78">
        <v>0</v>
      </c>
      <c r="F261" s="84">
        <v>0.01</v>
      </c>
      <c r="G261" s="53">
        <v>8.2034385134465999E-3</v>
      </c>
      <c r="H261" s="78">
        <v>820.34385134465992</v>
      </c>
      <c r="I261" s="84">
        <v>0.02</v>
      </c>
      <c r="J261" s="53">
        <v>1.6703870571684362E-2</v>
      </c>
      <c r="K261" s="78">
        <v>835.19352858421803</v>
      </c>
      <c r="L261" s="84">
        <v>1.4999999999999999E-2</v>
      </c>
      <c r="M261" s="53">
        <v>1.245365454256548E-2</v>
      </c>
      <c r="N261" s="78">
        <v>830.24363617103211</v>
      </c>
    </row>
    <row r="262" spans="1:14" ht="19.5" customHeight="1" outlineLevel="1" x14ac:dyDescent="0.2">
      <c r="A262" s="101">
        <v>30</v>
      </c>
      <c r="B262" s="81" t="s">
        <v>37</v>
      </c>
      <c r="C262" s="84">
        <v>82.87</v>
      </c>
      <c r="D262" s="53">
        <v>69.796320000000009</v>
      </c>
      <c r="E262" s="78">
        <v>842.23868710027762</v>
      </c>
      <c r="F262" s="84">
        <v>80.16</v>
      </c>
      <c r="G262" s="53">
        <v>68.273284000000004</v>
      </c>
      <c r="H262" s="78">
        <v>851.712624750499</v>
      </c>
      <c r="I262" s="84">
        <v>64.19</v>
      </c>
      <c r="J262" s="53">
        <v>56.537461999999998</v>
      </c>
      <c r="K262" s="78">
        <v>880.78301916186319</v>
      </c>
      <c r="L262" s="84">
        <v>75.739999999999995</v>
      </c>
      <c r="M262" s="53">
        <v>64.869022000000015</v>
      </c>
      <c r="N262" s="78">
        <v>856.46979139160305</v>
      </c>
    </row>
    <row r="263" spans="1:14" ht="19.5" customHeight="1" outlineLevel="1" x14ac:dyDescent="0.2">
      <c r="A263" s="101">
        <v>31</v>
      </c>
      <c r="B263" s="81" t="s">
        <v>38</v>
      </c>
      <c r="C263" s="84">
        <v>0</v>
      </c>
      <c r="D263" s="53">
        <v>0</v>
      </c>
      <c r="E263" s="78">
        <v>0</v>
      </c>
      <c r="F263" s="84">
        <v>0</v>
      </c>
      <c r="G263" s="53">
        <v>0</v>
      </c>
      <c r="H263" s="78">
        <v>0</v>
      </c>
      <c r="I263" s="84">
        <v>0</v>
      </c>
      <c r="J263" s="53">
        <v>0</v>
      </c>
      <c r="K263" s="78">
        <v>0</v>
      </c>
      <c r="L263" s="84">
        <v>0</v>
      </c>
      <c r="M263" s="53">
        <v>0</v>
      </c>
      <c r="N263" s="78">
        <v>0</v>
      </c>
    </row>
    <row r="264" spans="1:14" ht="19.5" customHeight="1" outlineLevel="1" x14ac:dyDescent="0.2">
      <c r="A264" s="101">
        <v>32</v>
      </c>
      <c r="B264" s="81" t="s">
        <v>39</v>
      </c>
      <c r="C264" s="84">
        <v>19.29</v>
      </c>
      <c r="D264" s="53">
        <v>13.19436</v>
      </c>
      <c r="E264" s="78">
        <v>684</v>
      </c>
      <c r="F264" s="84">
        <v>19.13</v>
      </c>
      <c r="G264" s="53">
        <v>13.178656999999999</v>
      </c>
      <c r="H264" s="78">
        <v>688.9</v>
      </c>
      <c r="I264" s="84">
        <v>14</v>
      </c>
      <c r="J264" s="53">
        <v>8.7663200000000003</v>
      </c>
      <c r="K264" s="78">
        <v>626.16571428571422</v>
      </c>
      <c r="L264" s="84">
        <v>17.473333333333333</v>
      </c>
      <c r="M264" s="53">
        <v>11.713112333333333</v>
      </c>
      <c r="N264" s="78">
        <v>670.3421785578023</v>
      </c>
    </row>
    <row r="265" spans="1:14" ht="19.5" customHeight="1" outlineLevel="1" thickBot="1" x14ac:dyDescent="0.25">
      <c r="A265" s="102">
        <v>33</v>
      </c>
      <c r="B265" s="91" t="s">
        <v>40</v>
      </c>
      <c r="C265" s="92">
        <v>0</v>
      </c>
      <c r="D265" s="93">
        <v>0</v>
      </c>
      <c r="E265" s="94">
        <v>0</v>
      </c>
      <c r="F265" s="92">
        <v>0</v>
      </c>
      <c r="G265" s="93">
        <v>0</v>
      </c>
      <c r="H265" s="94">
        <v>0</v>
      </c>
      <c r="I265" s="92">
        <v>0.18</v>
      </c>
      <c r="J265" s="93">
        <v>0.15033483514515925</v>
      </c>
      <c r="K265" s="94">
        <v>835.19352858421803</v>
      </c>
      <c r="L265" s="92">
        <v>0.18</v>
      </c>
      <c r="M265" s="93">
        <v>0.15033483514515925</v>
      </c>
      <c r="N265" s="94">
        <v>835.19352858421803</v>
      </c>
    </row>
    <row r="266" spans="1:14" ht="19.5" customHeight="1" thickBot="1" x14ac:dyDescent="0.25">
      <c r="A266" s="151" t="s">
        <v>41</v>
      </c>
      <c r="B266" s="152"/>
      <c r="C266" s="96">
        <v>102.16</v>
      </c>
      <c r="D266" s="97">
        <v>82.990680000000012</v>
      </c>
      <c r="E266" s="98">
        <v>812.35982772122168</v>
      </c>
      <c r="F266" s="96">
        <v>99.3</v>
      </c>
      <c r="G266" s="97">
        <v>81.460144438513453</v>
      </c>
      <c r="H266" s="98">
        <v>820.34385134454635</v>
      </c>
      <c r="I266" s="96">
        <v>99.29</v>
      </c>
      <c r="J266" s="97">
        <v>82.926365453126991</v>
      </c>
      <c r="K266" s="98">
        <v>835.1935285842178</v>
      </c>
      <c r="L266" s="96">
        <v>100.25</v>
      </c>
      <c r="M266" s="97">
        <v>82.45906329721349</v>
      </c>
      <c r="N266" s="98">
        <v>822.5342972290623</v>
      </c>
    </row>
    <row r="267" spans="1:14" ht="34.5" customHeight="1" x14ac:dyDescent="0.2">
      <c r="A267" s="153" t="s">
        <v>247</v>
      </c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</row>
    <row r="268" spans="1:14" ht="19.5" customHeight="1" thickBot="1" x14ac:dyDescent="0.25">
      <c r="A268" s="50"/>
      <c r="B268" s="138" t="s">
        <v>48</v>
      </c>
      <c r="C268" s="52"/>
      <c r="D268" s="52"/>
      <c r="E268" s="52"/>
      <c r="F268" s="52"/>
      <c r="G268" s="52"/>
      <c r="H268" s="52"/>
      <c r="I268" s="52"/>
      <c r="J268" s="52"/>
      <c r="K268" s="155" t="s">
        <v>1</v>
      </c>
      <c r="L268" s="154"/>
      <c r="M268" s="154"/>
      <c r="N268" s="154"/>
    </row>
    <row r="269" spans="1:14" ht="19.5" customHeight="1" x14ac:dyDescent="0.2">
      <c r="A269" s="156" t="s">
        <v>2</v>
      </c>
      <c r="B269" s="158" t="s">
        <v>3</v>
      </c>
      <c r="C269" s="148" t="s">
        <v>243</v>
      </c>
      <c r="D269" s="149"/>
      <c r="E269" s="150"/>
      <c r="F269" s="148" t="s">
        <v>244</v>
      </c>
      <c r="G269" s="149"/>
      <c r="H269" s="150"/>
      <c r="I269" s="148" t="s">
        <v>246</v>
      </c>
      <c r="J269" s="149"/>
      <c r="K269" s="150"/>
      <c r="L269" s="148" t="s">
        <v>4</v>
      </c>
      <c r="M269" s="149"/>
      <c r="N269" s="150"/>
    </row>
    <row r="270" spans="1:14" ht="19.5" customHeight="1" thickBot="1" x14ac:dyDescent="0.25">
      <c r="A270" s="157"/>
      <c r="B270" s="159"/>
      <c r="C270" s="85" t="s">
        <v>5</v>
      </c>
      <c r="D270" s="79" t="s">
        <v>6</v>
      </c>
      <c r="E270" s="80" t="s">
        <v>7</v>
      </c>
      <c r="F270" s="85" t="s">
        <v>5</v>
      </c>
      <c r="G270" s="79" t="s">
        <v>6</v>
      </c>
      <c r="H270" s="80" t="s">
        <v>7</v>
      </c>
      <c r="I270" s="85" t="s">
        <v>5</v>
      </c>
      <c r="J270" s="79" t="s">
        <v>6</v>
      </c>
      <c r="K270" s="80" t="s">
        <v>7</v>
      </c>
      <c r="L270" s="85" t="s">
        <v>5</v>
      </c>
      <c r="M270" s="79" t="s">
        <v>6</v>
      </c>
      <c r="N270" s="80" t="s">
        <v>7</v>
      </c>
    </row>
    <row r="271" spans="1:14" ht="19.5" customHeight="1" outlineLevel="1" x14ac:dyDescent="0.2">
      <c r="A271" s="100">
        <v>1</v>
      </c>
      <c r="B271" s="86" t="s">
        <v>8</v>
      </c>
      <c r="C271" s="87">
        <v>408.76</v>
      </c>
      <c r="D271" s="88">
        <v>226.24259081965283</v>
      </c>
      <c r="E271" s="89">
        <v>553.48515221561024</v>
      </c>
      <c r="F271" s="87">
        <v>365.81</v>
      </c>
      <c r="G271" s="88">
        <v>210.06276436036632</v>
      </c>
      <c r="H271" s="89">
        <v>574.2400819014415</v>
      </c>
      <c r="I271" s="87">
        <v>330.67</v>
      </c>
      <c r="J271" s="88">
        <v>206.37171030302474</v>
      </c>
      <c r="K271" s="89">
        <v>624.10170352020054</v>
      </c>
      <c r="L271" s="87">
        <v>368.41333333333336</v>
      </c>
      <c r="M271" s="88">
        <v>214.22568849434796</v>
      </c>
      <c r="N271" s="89">
        <v>581.48190934371166</v>
      </c>
    </row>
    <row r="272" spans="1:14" ht="19.5" customHeight="1" outlineLevel="1" x14ac:dyDescent="0.2">
      <c r="A272" s="101">
        <v>2</v>
      </c>
      <c r="B272" s="81" t="s">
        <v>9</v>
      </c>
      <c r="C272" s="84">
        <v>54.65</v>
      </c>
      <c r="D272" s="53">
        <v>38.130213016587014</v>
      </c>
      <c r="E272" s="78">
        <v>697.71661512510548</v>
      </c>
      <c r="F272" s="84">
        <v>48.02</v>
      </c>
      <c r="G272" s="53">
        <v>35.483965242767297</v>
      </c>
      <c r="H272" s="78">
        <v>738.94138364779872</v>
      </c>
      <c r="I272" s="84">
        <v>30.59</v>
      </c>
      <c r="J272" s="53">
        <v>21.00513333333333</v>
      </c>
      <c r="K272" s="78">
        <v>686.66666666666663</v>
      </c>
      <c r="L272" s="84">
        <v>44.419999999999995</v>
      </c>
      <c r="M272" s="53">
        <v>31.539770530895879</v>
      </c>
      <c r="N272" s="78">
        <v>710.03535639117251</v>
      </c>
    </row>
    <row r="273" spans="1:14" ht="19.5" customHeight="1" outlineLevel="1" x14ac:dyDescent="0.2">
      <c r="A273" s="101">
        <v>3</v>
      </c>
      <c r="B273" s="81" t="s">
        <v>10</v>
      </c>
      <c r="C273" s="84">
        <v>69.180000000000007</v>
      </c>
      <c r="D273" s="53">
        <v>37.51761358633776</v>
      </c>
      <c r="E273" s="78">
        <v>542.31878557874757</v>
      </c>
      <c r="F273" s="84">
        <v>43.08</v>
      </c>
      <c r="G273" s="53">
        <v>24.338986478873242</v>
      </c>
      <c r="H273" s="78">
        <v>564.97183098591552</v>
      </c>
      <c r="I273" s="84">
        <v>53.69</v>
      </c>
      <c r="J273" s="53">
        <v>30.160907739130433</v>
      </c>
      <c r="K273" s="78">
        <v>561.76024844720496</v>
      </c>
      <c r="L273" s="84">
        <v>55.316666666666663</v>
      </c>
      <c r="M273" s="53">
        <v>30.672502601447146</v>
      </c>
      <c r="N273" s="78">
        <v>554.48935103550139</v>
      </c>
    </row>
    <row r="274" spans="1:14" ht="19.5" customHeight="1" outlineLevel="1" x14ac:dyDescent="0.2">
      <c r="A274" s="101">
        <v>4</v>
      </c>
      <c r="B274" s="81" t="s">
        <v>11</v>
      </c>
      <c r="C274" s="84">
        <v>26.26</v>
      </c>
      <c r="D274" s="53">
        <v>15.380775025758433</v>
      </c>
      <c r="E274" s="78">
        <v>585.71115863512694</v>
      </c>
      <c r="F274" s="84">
        <v>20.25</v>
      </c>
      <c r="G274" s="53">
        <v>11.912116095878011</v>
      </c>
      <c r="H274" s="78">
        <v>588.25264671002526</v>
      </c>
      <c r="I274" s="84">
        <v>17.850000000000001</v>
      </c>
      <c r="J274" s="53">
        <v>10.865603103573681</v>
      </c>
      <c r="K274" s="78">
        <v>608.71726070440786</v>
      </c>
      <c r="L274" s="84">
        <v>21.453333333333337</v>
      </c>
      <c r="M274" s="53">
        <v>12.719498075070042</v>
      </c>
      <c r="N274" s="78">
        <v>592.89145781867808</v>
      </c>
    </row>
    <row r="275" spans="1:14" ht="19.5" customHeight="1" outlineLevel="1" x14ac:dyDescent="0.2">
      <c r="A275" s="101">
        <v>5</v>
      </c>
      <c r="B275" s="81" t="s">
        <v>12</v>
      </c>
      <c r="C275" s="84">
        <v>5.3</v>
      </c>
      <c r="D275" s="53">
        <v>6.3281999999999998</v>
      </c>
      <c r="E275" s="78">
        <v>1194</v>
      </c>
      <c r="F275" s="84">
        <v>2.46</v>
      </c>
      <c r="G275" s="53">
        <v>1.9178159999999997</v>
      </c>
      <c r="H275" s="78">
        <v>779.59999999999991</v>
      </c>
      <c r="I275" s="84">
        <v>1.23</v>
      </c>
      <c r="J275" s="53">
        <v>0.74872223066642163</v>
      </c>
      <c r="K275" s="78">
        <v>608.71726070440786</v>
      </c>
      <c r="L275" s="84">
        <v>2.9966666666666666</v>
      </c>
      <c r="M275" s="53">
        <v>2.9982460768888068</v>
      </c>
      <c r="N275" s="78">
        <v>1000.5270556914817</v>
      </c>
    </row>
    <row r="276" spans="1:14" ht="19.5" customHeight="1" outlineLevel="1" x14ac:dyDescent="0.2">
      <c r="A276" s="101">
        <v>6</v>
      </c>
      <c r="B276" s="81" t="s">
        <v>13</v>
      </c>
      <c r="C276" s="84">
        <v>10.11</v>
      </c>
      <c r="D276" s="53">
        <v>5.9215398138011333</v>
      </c>
      <c r="E276" s="78">
        <v>585.71115863512694</v>
      </c>
      <c r="F276" s="84">
        <v>6.16</v>
      </c>
      <c r="G276" s="53">
        <v>3.6236363037337553</v>
      </c>
      <c r="H276" s="78">
        <v>588.25264671002526</v>
      </c>
      <c r="I276" s="84">
        <v>5.79</v>
      </c>
      <c r="J276" s="53">
        <v>3.5244729394785219</v>
      </c>
      <c r="K276" s="78">
        <v>608.71726070440786</v>
      </c>
      <c r="L276" s="84">
        <v>7.3533333333333326</v>
      </c>
      <c r="M276" s="53">
        <v>4.356549685671137</v>
      </c>
      <c r="N276" s="78">
        <v>592.4591594294385</v>
      </c>
    </row>
    <row r="277" spans="1:14" ht="19.5" customHeight="1" outlineLevel="1" x14ac:dyDescent="0.2">
      <c r="A277" s="101">
        <v>7</v>
      </c>
      <c r="B277" s="81" t="s">
        <v>14</v>
      </c>
      <c r="C277" s="84">
        <v>17.25</v>
      </c>
      <c r="D277" s="53">
        <v>11.4885</v>
      </c>
      <c r="E277" s="78">
        <v>666</v>
      </c>
      <c r="F277" s="84">
        <v>8.94</v>
      </c>
      <c r="G277" s="53">
        <v>5.3389679999999995</v>
      </c>
      <c r="H277" s="78">
        <v>597.20000000000005</v>
      </c>
      <c r="I277" s="84">
        <v>7.36</v>
      </c>
      <c r="J277" s="53">
        <v>3.9685120000000005</v>
      </c>
      <c r="K277" s="78">
        <v>539.20000000000005</v>
      </c>
      <c r="L277" s="84">
        <v>11.183333333333332</v>
      </c>
      <c r="M277" s="53">
        <v>6.9319933333333337</v>
      </c>
      <c r="N277" s="78">
        <v>619.8503725782416</v>
      </c>
    </row>
    <row r="278" spans="1:14" ht="19.5" customHeight="1" outlineLevel="1" x14ac:dyDescent="0.2">
      <c r="A278" s="101">
        <v>8</v>
      </c>
      <c r="B278" s="81" t="s">
        <v>15</v>
      </c>
      <c r="C278" s="84">
        <v>22.19</v>
      </c>
      <c r="D278" s="53">
        <v>14.541072388214905</v>
      </c>
      <c r="E278" s="78">
        <v>655.29844020797225</v>
      </c>
      <c r="F278" s="84">
        <v>23.7</v>
      </c>
      <c r="G278" s="53">
        <v>13.733339292267363</v>
      </c>
      <c r="H278" s="78">
        <v>579.46579292267359</v>
      </c>
      <c r="I278" s="84">
        <v>12.59</v>
      </c>
      <c r="J278" s="53">
        <v>3.6108119999999997</v>
      </c>
      <c r="K278" s="78">
        <v>286.8</v>
      </c>
      <c r="L278" s="84">
        <v>19.493333333333336</v>
      </c>
      <c r="M278" s="53">
        <v>10.628407893494089</v>
      </c>
      <c r="N278" s="78">
        <v>545.23296307254202</v>
      </c>
    </row>
    <row r="279" spans="1:14" ht="19.5" customHeight="1" outlineLevel="1" x14ac:dyDescent="0.2">
      <c r="A279" s="101">
        <v>9</v>
      </c>
      <c r="B279" s="81" t="s">
        <v>16</v>
      </c>
      <c r="C279" s="84">
        <v>16.61</v>
      </c>
      <c r="D279" s="53">
        <v>9.7286623449294591</v>
      </c>
      <c r="E279" s="78">
        <v>585.71115863512694</v>
      </c>
      <c r="F279" s="84">
        <v>10.64</v>
      </c>
      <c r="G279" s="53">
        <v>6.2590081609946688</v>
      </c>
      <c r="H279" s="78">
        <v>588.25264671002526</v>
      </c>
      <c r="I279" s="84">
        <v>7.84</v>
      </c>
      <c r="J279" s="53">
        <v>4.7723433239225574</v>
      </c>
      <c r="K279" s="78">
        <v>608.71726070440786</v>
      </c>
      <c r="L279" s="84">
        <v>11.696666666666667</v>
      </c>
      <c r="M279" s="53">
        <v>6.9200046099488945</v>
      </c>
      <c r="N279" s="78">
        <v>591.6219387246133</v>
      </c>
    </row>
    <row r="280" spans="1:14" ht="19.5" customHeight="1" outlineLevel="1" x14ac:dyDescent="0.2">
      <c r="A280" s="101">
        <v>10</v>
      </c>
      <c r="B280" s="81" t="s">
        <v>17</v>
      </c>
      <c r="C280" s="84">
        <v>16.63</v>
      </c>
      <c r="D280" s="53">
        <v>9.7403765681021603</v>
      </c>
      <c r="E280" s="78">
        <v>585.71115863512694</v>
      </c>
      <c r="F280" s="84">
        <v>3.95</v>
      </c>
      <c r="G280" s="53">
        <v>2.3235979545045997</v>
      </c>
      <c r="H280" s="78">
        <v>588.25264671002526</v>
      </c>
      <c r="I280" s="84">
        <v>6.26</v>
      </c>
      <c r="J280" s="53">
        <v>3.8105700520095929</v>
      </c>
      <c r="K280" s="78">
        <v>608.71726070440786</v>
      </c>
      <c r="L280" s="84">
        <v>8.9466666666666654</v>
      </c>
      <c r="M280" s="53">
        <v>5.291514858205451</v>
      </c>
      <c r="N280" s="78">
        <v>591.45099011238278</v>
      </c>
    </row>
    <row r="281" spans="1:14" ht="19.5" customHeight="1" outlineLevel="1" x14ac:dyDescent="0.2">
      <c r="A281" s="101">
        <v>11</v>
      </c>
      <c r="B281" s="81" t="s">
        <v>18</v>
      </c>
      <c r="C281" s="84">
        <v>19.41</v>
      </c>
      <c r="D281" s="53">
        <v>11.368653589107815</v>
      </c>
      <c r="E281" s="78">
        <v>585.71115863512694</v>
      </c>
      <c r="F281" s="84">
        <v>16.72</v>
      </c>
      <c r="G281" s="53">
        <v>9.8355842529916213</v>
      </c>
      <c r="H281" s="78">
        <v>588.25264671002526</v>
      </c>
      <c r="I281" s="84">
        <v>16.559999999999999</v>
      </c>
      <c r="J281" s="53">
        <v>10.080357837264994</v>
      </c>
      <c r="K281" s="78">
        <v>608.71726070440786</v>
      </c>
      <c r="L281" s="84">
        <v>17.563333333333333</v>
      </c>
      <c r="M281" s="53">
        <v>10.428198559788145</v>
      </c>
      <c r="N281" s="78">
        <v>593.74825734227431</v>
      </c>
    </row>
    <row r="282" spans="1:14" ht="19.5" customHeight="1" outlineLevel="1" x14ac:dyDescent="0.2">
      <c r="A282" s="101">
        <v>12</v>
      </c>
      <c r="B282" s="81" t="s">
        <v>19</v>
      </c>
      <c r="C282" s="84">
        <v>17.37</v>
      </c>
      <c r="D282" s="53">
        <v>18.08031936448598</v>
      </c>
      <c r="E282" s="78">
        <v>1040.8934579439251</v>
      </c>
      <c r="F282" s="84">
        <v>10.72</v>
      </c>
      <c r="G282" s="53">
        <v>8.9447679999999981</v>
      </c>
      <c r="H282" s="78">
        <v>834.39999999999986</v>
      </c>
      <c r="I282" s="84">
        <v>10.99</v>
      </c>
      <c r="J282" s="53">
        <v>6.3038640000000008</v>
      </c>
      <c r="K282" s="78">
        <v>573.6</v>
      </c>
      <c r="L282" s="84">
        <v>13.026666666666669</v>
      </c>
      <c r="M282" s="53">
        <v>11.109650454828659</v>
      </c>
      <c r="N282" s="78">
        <v>852.83908302164718</v>
      </c>
    </row>
    <row r="283" spans="1:14" ht="19.5" customHeight="1" outlineLevel="1" x14ac:dyDescent="0.2">
      <c r="A283" s="101">
        <v>13</v>
      </c>
      <c r="B283" s="81" t="s">
        <v>20</v>
      </c>
      <c r="C283" s="84">
        <v>14.53</v>
      </c>
      <c r="D283" s="53">
        <v>4.5042999999999997</v>
      </c>
      <c r="E283" s="78">
        <v>310</v>
      </c>
      <c r="F283" s="84">
        <v>10.82</v>
      </c>
      <c r="G283" s="53">
        <v>6.279928</v>
      </c>
      <c r="H283" s="78">
        <v>580.4</v>
      </c>
      <c r="I283" s="84">
        <v>5.49</v>
      </c>
      <c r="J283" s="53">
        <v>3.3418577612671991</v>
      </c>
      <c r="K283" s="78">
        <v>608.71726070440786</v>
      </c>
      <c r="L283" s="84">
        <v>10.280000000000001</v>
      </c>
      <c r="M283" s="53">
        <v>4.7086952537557325</v>
      </c>
      <c r="N283" s="78">
        <v>458.04428538479885</v>
      </c>
    </row>
    <row r="284" spans="1:14" ht="19.5" customHeight="1" outlineLevel="1" x14ac:dyDescent="0.2">
      <c r="A284" s="101">
        <v>14</v>
      </c>
      <c r="B284" s="81" t="s">
        <v>21</v>
      </c>
      <c r="C284" s="84">
        <v>0.25</v>
      </c>
      <c r="D284" s="53">
        <v>0.14642778965878173</v>
      </c>
      <c r="E284" s="78">
        <v>585.71115863512694</v>
      </c>
      <c r="F284" s="84">
        <v>0.2</v>
      </c>
      <c r="G284" s="53">
        <v>0.11765052934200505</v>
      </c>
      <c r="H284" s="78">
        <v>588.25264671002526</v>
      </c>
      <c r="I284" s="84">
        <v>0.15</v>
      </c>
      <c r="J284" s="53">
        <v>9.1307589105661183E-2</v>
      </c>
      <c r="K284" s="78">
        <v>608.71726070440786</v>
      </c>
      <c r="L284" s="84">
        <v>0.19999999999999998</v>
      </c>
      <c r="M284" s="53">
        <v>0.11846196936881598</v>
      </c>
      <c r="N284" s="78">
        <v>592.30984684407986</v>
      </c>
    </row>
    <row r="285" spans="1:14" ht="19.5" customHeight="1" outlineLevel="1" x14ac:dyDescent="0.2">
      <c r="A285" s="101">
        <v>15</v>
      </c>
      <c r="B285" s="81" t="s">
        <v>22</v>
      </c>
      <c r="C285" s="84">
        <v>11.4</v>
      </c>
      <c r="D285" s="53">
        <v>6.6771072084404475</v>
      </c>
      <c r="E285" s="78">
        <v>585.71115863512694</v>
      </c>
      <c r="F285" s="84">
        <v>7</v>
      </c>
      <c r="G285" s="53">
        <v>4.1177685269701767</v>
      </c>
      <c r="H285" s="78">
        <v>588.25264671002526</v>
      </c>
      <c r="I285" s="84">
        <v>6.15</v>
      </c>
      <c r="J285" s="53">
        <v>3.7436111533321088</v>
      </c>
      <c r="K285" s="78">
        <v>608.71726070440786</v>
      </c>
      <c r="L285" s="84">
        <v>8.1833333333333318</v>
      </c>
      <c r="M285" s="53">
        <v>4.8461622962475781</v>
      </c>
      <c r="N285" s="78">
        <v>592.19905860459221</v>
      </c>
    </row>
    <row r="286" spans="1:14" ht="19.5" customHeight="1" outlineLevel="1" x14ac:dyDescent="0.2">
      <c r="A286" s="101">
        <v>16</v>
      </c>
      <c r="B286" s="81" t="s">
        <v>23</v>
      </c>
      <c r="C286" s="84">
        <v>1.55</v>
      </c>
      <c r="D286" s="53">
        <v>0.90785229588444682</v>
      </c>
      <c r="E286" s="78">
        <v>585.71115863512694</v>
      </c>
      <c r="F286" s="84">
        <v>1.35</v>
      </c>
      <c r="G286" s="53">
        <v>0.79414107305853421</v>
      </c>
      <c r="H286" s="78">
        <v>588.25264671002526</v>
      </c>
      <c r="I286" s="84">
        <v>1.8</v>
      </c>
      <c r="J286" s="53">
        <v>1.0956910692679342</v>
      </c>
      <c r="K286" s="78">
        <v>608.71726070440786</v>
      </c>
      <c r="L286" s="84">
        <v>1.5666666666666667</v>
      </c>
      <c r="M286" s="53">
        <v>0.93256147940363832</v>
      </c>
      <c r="N286" s="78">
        <v>595.25200812998185</v>
      </c>
    </row>
    <row r="287" spans="1:14" ht="19.5" customHeight="1" outlineLevel="1" x14ac:dyDescent="0.2">
      <c r="A287" s="101">
        <v>17</v>
      </c>
      <c r="B287" s="81" t="s">
        <v>24</v>
      </c>
      <c r="C287" s="84">
        <v>29.3</v>
      </c>
      <c r="D287" s="53">
        <v>17.161336948009218</v>
      </c>
      <c r="E287" s="78">
        <v>585.71115863512694</v>
      </c>
      <c r="F287" s="84">
        <v>16.47</v>
      </c>
      <c r="G287" s="53">
        <v>9.6885210913141151</v>
      </c>
      <c r="H287" s="78">
        <v>588.25264671002526</v>
      </c>
      <c r="I287" s="84">
        <v>14.59</v>
      </c>
      <c r="J287" s="53">
        <v>8.8811848336773114</v>
      </c>
      <c r="K287" s="78">
        <v>608.71726070440786</v>
      </c>
      <c r="L287" s="84">
        <v>20.12</v>
      </c>
      <c r="M287" s="53">
        <v>11.910347624333548</v>
      </c>
      <c r="N287" s="78">
        <v>591.96558769053422</v>
      </c>
    </row>
    <row r="288" spans="1:14" ht="19.5" customHeight="1" outlineLevel="1" x14ac:dyDescent="0.2">
      <c r="A288" s="101">
        <v>18</v>
      </c>
      <c r="B288" s="81" t="s">
        <v>25</v>
      </c>
      <c r="C288" s="84">
        <v>30.52</v>
      </c>
      <c r="D288" s="53">
        <v>17.875904561544072</v>
      </c>
      <c r="E288" s="78">
        <v>585.71115863512694</v>
      </c>
      <c r="F288" s="84">
        <v>15.55</v>
      </c>
      <c r="G288" s="53">
        <v>5.1439399999999997</v>
      </c>
      <c r="H288" s="78">
        <v>330.79999999999995</v>
      </c>
      <c r="I288" s="84">
        <v>9.84</v>
      </c>
      <c r="J288" s="53">
        <v>5.989777845331373</v>
      </c>
      <c r="K288" s="78">
        <v>608.71726070440786</v>
      </c>
      <c r="L288" s="84">
        <v>18.636666666666667</v>
      </c>
      <c r="M288" s="53">
        <v>9.6698741356251485</v>
      </c>
      <c r="N288" s="78">
        <v>518.86285828788129</v>
      </c>
    </row>
    <row r="289" spans="1:14" ht="19.5" customHeight="1" outlineLevel="1" x14ac:dyDescent="0.2">
      <c r="A289" s="101">
        <v>19</v>
      </c>
      <c r="B289" s="81" t="s">
        <v>26</v>
      </c>
      <c r="C289" s="84">
        <v>4.2</v>
      </c>
      <c r="D289" s="53">
        <v>2.459986866267533</v>
      </c>
      <c r="E289" s="78">
        <v>585.71115863512694</v>
      </c>
      <c r="F289" s="84">
        <v>2.42</v>
      </c>
      <c r="G289" s="53">
        <v>1.4235714050382611</v>
      </c>
      <c r="H289" s="78">
        <v>588.25264671002526</v>
      </c>
      <c r="I289" s="84">
        <v>3.74</v>
      </c>
      <c r="J289" s="53">
        <v>2.2766025550344855</v>
      </c>
      <c r="K289" s="78">
        <v>608.71726070440786</v>
      </c>
      <c r="L289" s="84">
        <v>3.4533333333333331</v>
      </c>
      <c r="M289" s="53">
        <v>2.0533869421134265</v>
      </c>
      <c r="N289" s="78">
        <v>594.6101183726139</v>
      </c>
    </row>
    <row r="290" spans="1:14" ht="19.5" customHeight="1" outlineLevel="1" x14ac:dyDescent="0.2">
      <c r="A290" s="101">
        <v>20</v>
      </c>
      <c r="B290" s="81" t="s">
        <v>27</v>
      </c>
      <c r="C290" s="84">
        <v>0</v>
      </c>
      <c r="D290" s="53">
        <v>0</v>
      </c>
      <c r="E290" s="78">
        <v>0</v>
      </c>
      <c r="F290" s="84">
        <v>0</v>
      </c>
      <c r="G290" s="53">
        <v>0</v>
      </c>
      <c r="H290" s="78">
        <v>0</v>
      </c>
      <c r="I290" s="84">
        <v>0.02</v>
      </c>
      <c r="J290" s="53">
        <v>1.2174345214088158E-2</v>
      </c>
      <c r="K290" s="78">
        <v>608.71726070440786</v>
      </c>
      <c r="L290" s="84">
        <v>0.02</v>
      </c>
      <c r="M290" s="53">
        <v>1.2174345214088158E-2</v>
      </c>
      <c r="N290" s="78">
        <v>608.71726070440786</v>
      </c>
    </row>
    <row r="291" spans="1:14" ht="19.5" customHeight="1" outlineLevel="1" x14ac:dyDescent="0.2">
      <c r="A291" s="101">
        <v>21</v>
      </c>
      <c r="B291" s="81" t="s">
        <v>28</v>
      </c>
      <c r="C291" s="84">
        <v>3.58</v>
      </c>
      <c r="D291" s="53">
        <v>2.0968459479137547</v>
      </c>
      <c r="E291" s="78">
        <v>585.71115863512694</v>
      </c>
      <c r="F291" s="84">
        <v>2.58</v>
      </c>
      <c r="G291" s="53">
        <v>1.5176918285118652</v>
      </c>
      <c r="H291" s="78">
        <v>588.25264671002526</v>
      </c>
      <c r="I291" s="84">
        <v>1.61</v>
      </c>
      <c r="J291" s="53">
        <v>0.98003478973409675</v>
      </c>
      <c r="K291" s="78">
        <v>608.71726070440786</v>
      </c>
      <c r="L291" s="84">
        <v>2.5900000000000003</v>
      </c>
      <c r="M291" s="53">
        <v>1.5315241887199056</v>
      </c>
      <c r="N291" s="78">
        <v>591.32208058683602</v>
      </c>
    </row>
    <row r="292" spans="1:14" ht="19.5" customHeight="1" outlineLevel="1" x14ac:dyDescent="0.2">
      <c r="A292" s="101">
        <v>22</v>
      </c>
      <c r="B292" s="81" t="s">
        <v>29</v>
      </c>
      <c r="C292" s="84">
        <v>2.1</v>
      </c>
      <c r="D292" s="53">
        <v>1.2299934331337665</v>
      </c>
      <c r="E292" s="78">
        <v>585.71115863512694</v>
      </c>
      <c r="F292" s="84">
        <v>0.41</v>
      </c>
      <c r="G292" s="53">
        <v>0.24118358515111035</v>
      </c>
      <c r="H292" s="78">
        <v>588.25264671002526</v>
      </c>
      <c r="I292" s="84">
        <v>0.17</v>
      </c>
      <c r="J292" s="53">
        <v>0.10348193431974934</v>
      </c>
      <c r="K292" s="78">
        <v>608.71726070440786</v>
      </c>
      <c r="L292" s="84">
        <v>0.89333333333333342</v>
      </c>
      <c r="M292" s="53">
        <v>0.52488631753487536</v>
      </c>
      <c r="N292" s="78">
        <v>587.55931067336792</v>
      </c>
    </row>
    <row r="293" spans="1:14" ht="19.5" customHeight="1" outlineLevel="1" x14ac:dyDescent="0.2">
      <c r="A293" s="101">
        <v>23</v>
      </c>
      <c r="B293" s="81" t="s">
        <v>30</v>
      </c>
      <c r="C293" s="84">
        <v>1.03</v>
      </c>
      <c r="D293" s="53">
        <v>0.60328249339418072</v>
      </c>
      <c r="E293" s="78">
        <v>585.71115863512694</v>
      </c>
      <c r="F293" s="84">
        <v>0.35</v>
      </c>
      <c r="G293" s="53">
        <v>0.20588842634850882</v>
      </c>
      <c r="H293" s="78">
        <v>588.25264671002526</v>
      </c>
      <c r="I293" s="84">
        <v>0.32</v>
      </c>
      <c r="J293" s="53">
        <v>0.19478952342541053</v>
      </c>
      <c r="K293" s="78">
        <v>608.71726070440786</v>
      </c>
      <c r="L293" s="84">
        <v>0.56666666666666665</v>
      </c>
      <c r="M293" s="53">
        <v>0.33465348105603332</v>
      </c>
      <c r="N293" s="78">
        <v>590.56496656947058</v>
      </c>
    </row>
    <row r="294" spans="1:14" ht="19.5" customHeight="1" outlineLevel="1" x14ac:dyDescent="0.2">
      <c r="A294" s="101">
        <v>24</v>
      </c>
      <c r="B294" s="81" t="s">
        <v>31</v>
      </c>
      <c r="C294" s="84">
        <v>0.68</v>
      </c>
      <c r="D294" s="53">
        <v>0.39828358787188639</v>
      </c>
      <c r="E294" s="78">
        <v>585.71115863512694</v>
      </c>
      <c r="F294" s="84">
        <v>0</v>
      </c>
      <c r="G294" s="53">
        <v>0</v>
      </c>
      <c r="H294" s="78">
        <v>0</v>
      </c>
      <c r="I294" s="84">
        <v>0</v>
      </c>
      <c r="J294" s="53">
        <v>0</v>
      </c>
      <c r="K294" s="78">
        <v>0</v>
      </c>
      <c r="L294" s="84">
        <v>0.68</v>
      </c>
      <c r="M294" s="53">
        <v>0.39828358787188639</v>
      </c>
      <c r="N294" s="78">
        <v>585.71115863512694</v>
      </c>
    </row>
    <row r="295" spans="1:14" ht="19.5" customHeight="1" outlineLevel="1" x14ac:dyDescent="0.2">
      <c r="A295" s="101">
        <v>25</v>
      </c>
      <c r="B295" s="81" t="s">
        <v>32</v>
      </c>
      <c r="C295" s="84">
        <v>0.32</v>
      </c>
      <c r="D295" s="53">
        <v>0.18742757076324063</v>
      </c>
      <c r="E295" s="78">
        <v>585.71115863512694</v>
      </c>
      <c r="F295" s="84">
        <v>0.61</v>
      </c>
      <c r="G295" s="53">
        <v>0.35883411449311542</v>
      </c>
      <c r="H295" s="78">
        <v>588.25264671002526</v>
      </c>
      <c r="I295" s="84">
        <v>0.01</v>
      </c>
      <c r="J295" s="53">
        <v>6.0871726070440791E-3</v>
      </c>
      <c r="K295" s="78">
        <v>608.71726070440786</v>
      </c>
      <c r="L295" s="84">
        <v>0.3133333333333333</v>
      </c>
      <c r="M295" s="53">
        <v>0.18411628595446669</v>
      </c>
      <c r="N295" s="78">
        <v>587.60516793978741</v>
      </c>
    </row>
    <row r="296" spans="1:14" ht="19.5" customHeight="1" outlineLevel="1" x14ac:dyDescent="0.2">
      <c r="A296" s="101">
        <v>26</v>
      </c>
      <c r="B296" s="81" t="s">
        <v>33</v>
      </c>
      <c r="C296" s="84">
        <v>2.8</v>
      </c>
      <c r="D296" s="53">
        <v>1.6399912441783553</v>
      </c>
      <c r="E296" s="78">
        <v>585.71115863512694</v>
      </c>
      <c r="F296" s="84">
        <v>3.4</v>
      </c>
      <c r="G296" s="53">
        <v>2.0000589988140858</v>
      </c>
      <c r="H296" s="78">
        <v>588.25264671002526</v>
      </c>
      <c r="I296" s="84">
        <v>0.73</v>
      </c>
      <c r="J296" s="53">
        <v>0.44436360031421773</v>
      </c>
      <c r="K296" s="78">
        <v>608.71726070440786</v>
      </c>
      <c r="L296" s="84">
        <v>2.31</v>
      </c>
      <c r="M296" s="53">
        <v>1.3614712811022196</v>
      </c>
      <c r="N296" s="78">
        <v>589.38150697065782</v>
      </c>
    </row>
    <row r="297" spans="1:14" ht="19.5" customHeight="1" outlineLevel="1" x14ac:dyDescent="0.2">
      <c r="A297" s="101">
        <v>27</v>
      </c>
      <c r="B297" s="81" t="s">
        <v>34</v>
      </c>
      <c r="C297" s="84">
        <v>1.68</v>
      </c>
      <c r="D297" s="53">
        <v>0.98399474650701324</v>
      </c>
      <c r="E297" s="78">
        <v>585.71115863512694</v>
      </c>
      <c r="F297" s="84">
        <v>0.79</v>
      </c>
      <c r="G297" s="53">
        <v>0.46471959090091997</v>
      </c>
      <c r="H297" s="78">
        <v>588.25264671002526</v>
      </c>
      <c r="I297" s="84">
        <v>0.16</v>
      </c>
      <c r="J297" s="53">
        <v>9.7394761712705266E-2</v>
      </c>
      <c r="K297" s="78">
        <v>608.71726070440786</v>
      </c>
      <c r="L297" s="84">
        <v>0.87666666666666659</v>
      </c>
      <c r="M297" s="53">
        <v>0.51536969970687951</v>
      </c>
      <c r="N297" s="78">
        <v>587.87418217514778</v>
      </c>
    </row>
    <row r="298" spans="1:14" ht="19.5" customHeight="1" outlineLevel="1" x14ac:dyDescent="0.2">
      <c r="A298" s="101">
        <v>28</v>
      </c>
      <c r="B298" s="81" t="s">
        <v>35</v>
      </c>
      <c r="C298" s="84">
        <v>3.1</v>
      </c>
      <c r="D298" s="53">
        <v>1.8157045917688936</v>
      </c>
      <c r="E298" s="78">
        <v>585.71115863512694</v>
      </c>
      <c r="F298" s="84">
        <v>18.87</v>
      </c>
      <c r="G298" s="53">
        <v>11.100327443418177</v>
      </c>
      <c r="H298" s="78">
        <v>588.25264671002526</v>
      </c>
      <c r="I298" s="84">
        <v>0.98</v>
      </c>
      <c r="J298" s="53">
        <v>0.59654291549031968</v>
      </c>
      <c r="K298" s="78">
        <v>608.71726070440786</v>
      </c>
      <c r="L298" s="84">
        <v>7.6500000000000012</v>
      </c>
      <c r="M298" s="53">
        <v>4.5041916502257964</v>
      </c>
      <c r="N298" s="78">
        <v>588.78322225173804</v>
      </c>
    </row>
    <row r="299" spans="1:14" ht="19.5" customHeight="1" outlineLevel="1" x14ac:dyDescent="0.2">
      <c r="A299" s="101">
        <v>29</v>
      </c>
      <c r="B299" s="81" t="s">
        <v>36</v>
      </c>
      <c r="C299" s="84">
        <v>4.18</v>
      </c>
      <c r="D299" s="53">
        <v>2.4482726430948305</v>
      </c>
      <c r="E299" s="78">
        <v>585.71115863512694</v>
      </c>
      <c r="F299" s="84">
        <v>4.68</v>
      </c>
      <c r="G299" s="53">
        <v>2.7530223866029182</v>
      </c>
      <c r="H299" s="78">
        <v>588.25264671002526</v>
      </c>
      <c r="I299" s="84">
        <v>4.96</v>
      </c>
      <c r="J299" s="53">
        <v>3.0192376130938627</v>
      </c>
      <c r="K299" s="78">
        <v>608.71726070440786</v>
      </c>
      <c r="L299" s="84">
        <v>4.6066666666666665</v>
      </c>
      <c r="M299" s="53">
        <v>2.7401775475972037</v>
      </c>
      <c r="N299" s="78">
        <v>594.82870063615132</v>
      </c>
    </row>
    <row r="300" spans="1:14" ht="19.5" customHeight="1" outlineLevel="1" x14ac:dyDescent="0.2">
      <c r="A300" s="101">
        <v>30</v>
      </c>
      <c r="B300" s="81" t="s">
        <v>37</v>
      </c>
      <c r="C300" s="84">
        <v>0</v>
      </c>
      <c r="D300" s="53">
        <v>0</v>
      </c>
      <c r="E300" s="78">
        <v>0</v>
      </c>
      <c r="F300" s="84">
        <v>0</v>
      </c>
      <c r="G300" s="53">
        <v>0</v>
      </c>
      <c r="H300" s="78">
        <v>0</v>
      </c>
      <c r="I300" s="84">
        <v>0</v>
      </c>
      <c r="J300" s="53">
        <v>0</v>
      </c>
      <c r="K300" s="78">
        <v>0</v>
      </c>
      <c r="L300" s="84">
        <v>0</v>
      </c>
      <c r="M300" s="53">
        <v>0</v>
      </c>
      <c r="N300" s="78">
        <v>0</v>
      </c>
    </row>
    <row r="301" spans="1:14" ht="19.5" customHeight="1" outlineLevel="1" x14ac:dyDescent="0.2">
      <c r="A301" s="101">
        <v>31</v>
      </c>
      <c r="B301" s="81" t="s">
        <v>38</v>
      </c>
      <c r="C301" s="84">
        <v>0</v>
      </c>
      <c r="D301" s="53">
        <v>0</v>
      </c>
      <c r="E301" s="78">
        <v>0</v>
      </c>
      <c r="F301" s="84">
        <v>0.01</v>
      </c>
      <c r="G301" s="53">
        <v>5.8825264671002533E-3</v>
      </c>
      <c r="H301" s="78">
        <v>588.25264671002526</v>
      </c>
      <c r="I301" s="84">
        <v>0</v>
      </c>
      <c r="J301" s="53">
        <v>0</v>
      </c>
      <c r="K301" s="78">
        <v>0</v>
      </c>
      <c r="L301" s="84">
        <v>0.01</v>
      </c>
      <c r="M301" s="53">
        <v>5.8825264671002533E-3</v>
      </c>
      <c r="N301" s="78">
        <v>588.25264671002526</v>
      </c>
    </row>
    <row r="302" spans="1:14" ht="19.5" customHeight="1" outlineLevel="1" x14ac:dyDescent="0.2">
      <c r="A302" s="101">
        <v>32</v>
      </c>
      <c r="B302" s="81" t="s">
        <v>39</v>
      </c>
      <c r="C302" s="84">
        <v>0</v>
      </c>
      <c r="D302" s="53">
        <v>0</v>
      </c>
      <c r="E302" s="78">
        <v>0</v>
      </c>
      <c r="F302" s="84">
        <v>0</v>
      </c>
      <c r="G302" s="53">
        <v>0</v>
      </c>
      <c r="H302" s="78">
        <v>0</v>
      </c>
      <c r="I302" s="84">
        <v>0.02</v>
      </c>
      <c r="J302" s="53">
        <v>1.2174345214088158E-2</v>
      </c>
      <c r="K302" s="78">
        <v>608.71726070440786</v>
      </c>
      <c r="L302" s="84">
        <v>0.02</v>
      </c>
      <c r="M302" s="53">
        <v>1.2174345214088158E-2</v>
      </c>
      <c r="N302" s="78">
        <v>608.71726070440786</v>
      </c>
    </row>
    <row r="303" spans="1:14" ht="19.5" customHeight="1" outlineLevel="1" thickBot="1" x14ac:dyDescent="0.25">
      <c r="A303" s="102">
        <v>33</v>
      </c>
      <c r="B303" s="91" t="s">
        <v>40</v>
      </c>
      <c r="C303" s="92">
        <v>1.31</v>
      </c>
      <c r="D303" s="93">
        <v>0.76728161781201631</v>
      </c>
      <c r="E303" s="94">
        <v>585.71115863512694</v>
      </c>
      <c r="F303" s="92">
        <v>0.19</v>
      </c>
      <c r="G303" s="93">
        <v>0.11176800287490479</v>
      </c>
      <c r="H303" s="94">
        <v>588.25264671002526</v>
      </c>
      <c r="I303" s="92">
        <v>0</v>
      </c>
      <c r="J303" s="93">
        <v>0</v>
      </c>
      <c r="K303" s="94">
        <v>0</v>
      </c>
      <c r="L303" s="92">
        <v>0.75</v>
      </c>
      <c r="M303" s="93">
        <v>0.43952481034346058</v>
      </c>
      <c r="N303" s="94">
        <v>586.03308045794745</v>
      </c>
    </row>
    <row r="304" spans="1:14" ht="19.5" customHeight="1" thickBot="1" x14ac:dyDescent="0.25">
      <c r="A304" s="151" t="s">
        <v>41</v>
      </c>
      <c r="B304" s="152"/>
      <c r="C304" s="96">
        <v>796.24999999999966</v>
      </c>
      <c r="D304" s="97">
        <v>466.37251006321981</v>
      </c>
      <c r="E304" s="98">
        <v>585.71115863512716</v>
      </c>
      <c r="F304" s="96">
        <v>646.15000000000009</v>
      </c>
      <c r="G304" s="97">
        <v>380.0994476716827</v>
      </c>
      <c r="H304" s="98">
        <v>588.25264671002492</v>
      </c>
      <c r="I304" s="96">
        <v>552.16000000000008</v>
      </c>
      <c r="J304" s="97">
        <v>336.10932267054585</v>
      </c>
      <c r="K304" s="98">
        <v>608.71726070440775</v>
      </c>
      <c r="L304" s="96">
        <v>664.85333333333324</v>
      </c>
      <c r="M304" s="97">
        <v>394.19376013514943</v>
      </c>
      <c r="N304" s="98">
        <v>592.90333728012615</v>
      </c>
    </row>
    <row r="305" spans="1:14" ht="34.5" customHeight="1" x14ac:dyDescent="0.2">
      <c r="A305" s="153" t="s">
        <v>247</v>
      </c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</row>
    <row r="306" spans="1:14" ht="19.5" customHeight="1" thickBot="1" x14ac:dyDescent="0.25">
      <c r="A306" s="50"/>
      <c r="B306" s="138" t="s">
        <v>49</v>
      </c>
      <c r="C306" s="52"/>
      <c r="D306" s="52"/>
      <c r="E306" s="52"/>
      <c r="F306" s="52"/>
      <c r="G306" s="52"/>
      <c r="H306" s="52"/>
      <c r="I306" s="52"/>
      <c r="J306" s="52"/>
      <c r="K306" s="155" t="s">
        <v>1</v>
      </c>
      <c r="L306" s="154"/>
      <c r="M306" s="154"/>
      <c r="N306" s="154"/>
    </row>
    <row r="307" spans="1:14" ht="19.5" customHeight="1" x14ac:dyDescent="0.2">
      <c r="A307" s="156" t="s">
        <v>2</v>
      </c>
      <c r="B307" s="158" t="s">
        <v>3</v>
      </c>
      <c r="C307" s="148" t="s">
        <v>243</v>
      </c>
      <c r="D307" s="149"/>
      <c r="E307" s="150"/>
      <c r="F307" s="148" t="s">
        <v>244</v>
      </c>
      <c r="G307" s="149"/>
      <c r="H307" s="150"/>
      <c r="I307" s="148" t="s">
        <v>246</v>
      </c>
      <c r="J307" s="149"/>
      <c r="K307" s="150"/>
      <c r="L307" s="148" t="s">
        <v>4</v>
      </c>
      <c r="M307" s="149"/>
      <c r="N307" s="150"/>
    </row>
    <row r="308" spans="1:14" ht="19.5" customHeight="1" thickBot="1" x14ac:dyDescent="0.25">
      <c r="A308" s="157"/>
      <c r="B308" s="159"/>
      <c r="C308" s="85" t="s">
        <v>5</v>
      </c>
      <c r="D308" s="79" t="s">
        <v>6</v>
      </c>
      <c r="E308" s="80" t="s">
        <v>7</v>
      </c>
      <c r="F308" s="85" t="s">
        <v>5</v>
      </c>
      <c r="G308" s="79" t="s">
        <v>6</v>
      </c>
      <c r="H308" s="80" t="s">
        <v>7</v>
      </c>
      <c r="I308" s="85" t="s">
        <v>5</v>
      </c>
      <c r="J308" s="79" t="s">
        <v>6</v>
      </c>
      <c r="K308" s="80" t="s">
        <v>7</v>
      </c>
      <c r="L308" s="85" t="s">
        <v>5</v>
      </c>
      <c r="M308" s="79" t="s">
        <v>6</v>
      </c>
      <c r="N308" s="80" t="s">
        <v>7</v>
      </c>
    </row>
    <row r="309" spans="1:14" ht="19.5" customHeight="1" outlineLevel="1" x14ac:dyDescent="0.2">
      <c r="A309" s="100">
        <v>1</v>
      </c>
      <c r="B309" s="86" t="s">
        <v>8</v>
      </c>
      <c r="C309" s="87">
        <v>41.6</v>
      </c>
      <c r="D309" s="88">
        <v>22.976790000000001</v>
      </c>
      <c r="E309" s="89">
        <v>552.32668269230771</v>
      </c>
      <c r="F309" s="87">
        <v>49.43</v>
      </c>
      <c r="G309" s="88">
        <v>29.61612724801812</v>
      </c>
      <c r="H309" s="89">
        <v>599.15288788221972</v>
      </c>
      <c r="I309" s="87">
        <v>39.15</v>
      </c>
      <c r="J309" s="88">
        <v>23.186093551401868</v>
      </c>
      <c r="K309" s="89">
        <v>592.23738317757011</v>
      </c>
      <c r="L309" s="87">
        <v>43.393333333333338</v>
      </c>
      <c r="M309" s="88">
        <v>25.259670266473332</v>
      </c>
      <c r="N309" s="89">
        <v>582.1094699602088</v>
      </c>
    </row>
    <row r="310" spans="1:14" ht="19.5" customHeight="1" outlineLevel="1" x14ac:dyDescent="0.2">
      <c r="A310" s="101">
        <v>2</v>
      </c>
      <c r="B310" s="81" t="s">
        <v>9</v>
      </c>
      <c r="C310" s="84">
        <v>0</v>
      </c>
      <c r="D310" s="53">
        <v>0</v>
      </c>
      <c r="E310" s="78">
        <v>0</v>
      </c>
      <c r="F310" s="84">
        <v>0.79</v>
      </c>
      <c r="G310" s="53">
        <v>0.53154328777913007</v>
      </c>
      <c r="H310" s="78">
        <v>672.83960478370886</v>
      </c>
      <c r="I310" s="84">
        <v>0.36</v>
      </c>
      <c r="J310" s="53">
        <v>0.24692651385145717</v>
      </c>
      <c r="K310" s="78">
        <v>685.90698292071443</v>
      </c>
      <c r="L310" s="84">
        <v>0.57499999999999996</v>
      </c>
      <c r="M310" s="53">
        <v>0.38923490081529361</v>
      </c>
      <c r="N310" s="78">
        <v>676.93026228746714</v>
      </c>
    </row>
    <row r="311" spans="1:14" ht="19.5" customHeight="1" outlineLevel="1" x14ac:dyDescent="0.2">
      <c r="A311" s="101">
        <v>3</v>
      </c>
      <c r="B311" s="81" t="s">
        <v>10</v>
      </c>
      <c r="C311" s="84">
        <v>2.1</v>
      </c>
      <c r="D311" s="53">
        <v>1.0529723579462313</v>
      </c>
      <c r="E311" s="78">
        <v>501.41540854582445</v>
      </c>
      <c r="F311" s="84">
        <v>1.3</v>
      </c>
      <c r="G311" s="53">
        <v>0.87469148621882153</v>
      </c>
      <c r="H311" s="78">
        <v>672.83960478370886</v>
      </c>
      <c r="I311" s="84">
        <v>6.59</v>
      </c>
      <c r="J311" s="53">
        <v>4.5201270174475079</v>
      </c>
      <c r="K311" s="78">
        <v>685.90698292071443</v>
      </c>
      <c r="L311" s="84">
        <v>3.33</v>
      </c>
      <c r="M311" s="53">
        <v>2.14926362053752</v>
      </c>
      <c r="N311" s="78">
        <v>645.42451067192792</v>
      </c>
    </row>
    <row r="312" spans="1:14" ht="19.5" customHeight="1" outlineLevel="1" x14ac:dyDescent="0.2">
      <c r="A312" s="101">
        <v>4</v>
      </c>
      <c r="B312" s="81" t="s">
        <v>11</v>
      </c>
      <c r="C312" s="84">
        <v>4.05</v>
      </c>
      <c r="D312" s="53">
        <v>2.030732404610589</v>
      </c>
      <c r="E312" s="78">
        <v>501.41540854582445</v>
      </c>
      <c r="F312" s="84">
        <v>3.56</v>
      </c>
      <c r="G312" s="53">
        <v>2.3953089930300036</v>
      </c>
      <c r="H312" s="78">
        <v>672.83960478370886</v>
      </c>
      <c r="I312" s="84">
        <v>7.45</v>
      </c>
      <c r="J312" s="53">
        <v>5.1100070227593219</v>
      </c>
      <c r="K312" s="78">
        <v>685.90698292071443</v>
      </c>
      <c r="L312" s="84">
        <v>5.0199999999999996</v>
      </c>
      <c r="M312" s="53">
        <v>3.1786828067999715</v>
      </c>
      <c r="N312" s="78">
        <v>633.20374637449629</v>
      </c>
    </row>
    <row r="313" spans="1:14" ht="19.5" customHeight="1" outlineLevel="1" x14ac:dyDescent="0.2">
      <c r="A313" s="101">
        <v>5</v>
      </c>
      <c r="B313" s="81" t="s">
        <v>12</v>
      </c>
      <c r="C313" s="84">
        <v>0</v>
      </c>
      <c r="D313" s="53">
        <v>0</v>
      </c>
      <c r="E313" s="78">
        <v>0</v>
      </c>
      <c r="F313" s="84">
        <v>0</v>
      </c>
      <c r="G313" s="53">
        <v>0</v>
      </c>
      <c r="H313" s="78">
        <v>0</v>
      </c>
      <c r="I313" s="84">
        <v>0</v>
      </c>
      <c r="J313" s="53">
        <v>0</v>
      </c>
      <c r="K313" s="78">
        <v>0</v>
      </c>
      <c r="L313" s="84">
        <v>0</v>
      </c>
      <c r="M313" s="53">
        <v>0</v>
      </c>
      <c r="N313" s="78">
        <v>0</v>
      </c>
    </row>
    <row r="314" spans="1:14" ht="19.5" customHeight="1" outlineLevel="1" x14ac:dyDescent="0.2">
      <c r="A314" s="101">
        <v>6</v>
      </c>
      <c r="B314" s="81" t="s">
        <v>13</v>
      </c>
      <c r="C314" s="84">
        <v>0</v>
      </c>
      <c r="D314" s="53">
        <v>0</v>
      </c>
      <c r="E314" s="78">
        <v>0</v>
      </c>
      <c r="F314" s="84">
        <v>0.02</v>
      </c>
      <c r="G314" s="53">
        <v>1.3456792095674177E-2</v>
      </c>
      <c r="H314" s="78">
        <v>672.83960478370886</v>
      </c>
      <c r="I314" s="84">
        <v>0.02</v>
      </c>
      <c r="J314" s="53">
        <v>1.3718139658414289E-2</v>
      </c>
      <c r="K314" s="78">
        <v>685.90698292071443</v>
      </c>
      <c r="L314" s="84">
        <v>0.02</v>
      </c>
      <c r="M314" s="53">
        <v>1.3587465877044232E-2</v>
      </c>
      <c r="N314" s="78">
        <v>679.37329385221165</v>
      </c>
    </row>
    <row r="315" spans="1:14" ht="19.5" customHeight="1" outlineLevel="1" x14ac:dyDescent="0.2">
      <c r="A315" s="101">
        <v>7</v>
      </c>
      <c r="B315" s="81" t="s">
        <v>14</v>
      </c>
      <c r="C315" s="84">
        <v>2.02</v>
      </c>
      <c r="D315" s="53">
        <v>1.0128591252625654</v>
      </c>
      <c r="E315" s="78">
        <v>501.41540854582445</v>
      </c>
      <c r="F315" s="84">
        <v>3.96</v>
      </c>
      <c r="G315" s="53">
        <v>2.6644448349434868</v>
      </c>
      <c r="H315" s="78">
        <v>672.83960478370886</v>
      </c>
      <c r="I315" s="84">
        <v>4.95</v>
      </c>
      <c r="J315" s="53">
        <v>3.3952395654575365</v>
      </c>
      <c r="K315" s="78">
        <v>685.90698292071443</v>
      </c>
      <c r="L315" s="84">
        <v>3.6433333333333331</v>
      </c>
      <c r="M315" s="53">
        <v>2.3575145085545297</v>
      </c>
      <c r="N315" s="78">
        <v>647.07626035348483</v>
      </c>
    </row>
    <row r="316" spans="1:14" ht="19.5" customHeight="1" outlineLevel="1" x14ac:dyDescent="0.2">
      <c r="A316" s="101">
        <v>8</v>
      </c>
      <c r="B316" s="81" t="s">
        <v>15</v>
      </c>
      <c r="C316" s="84">
        <v>88.65</v>
      </c>
      <c r="D316" s="53">
        <v>42.332566963093591</v>
      </c>
      <c r="E316" s="78">
        <v>477.52472603602467</v>
      </c>
      <c r="F316" s="84">
        <v>65.430000000000007</v>
      </c>
      <c r="G316" s="53">
        <v>47.666229757438657</v>
      </c>
      <c r="H316" s="78">
        <v>728.50725595963092</v>
      </c>
      <c r="I316" s="84">
        <v>66.05</v>
      </c>
      <c r="J316" s="53">
        <v>48.971321051857295</v>
      </c>
      <c r="K316" s="78">
        <v>741.42802500919447</v>
      </c>
      <c r="L316" s="84">
        <v>73.376666666666665</v>
      </c>
      <c r="M316" s="53">
        <v>46.323372590796517</v>
      </c>
      <c r="N316" s="78">
        <v>631.30930710211953</v>
      </c>
    </row>
    <row r="317" spans="1:14" ht="19.5" customHeight="1" outlineLevel="1" x14ac:dyDescent="0.2">
      <c r="A317" s="101">
        <v>9</v>
      </c>
      <c r="B317" s="81" t="s">
        <v>16</v>
      </c>
      <c r="C317" s="84">
        <v>0</v>
      </c>
      <c r="D317" s="53">
        <v>0</v>
      </c>
      <c r="E317" s="78">
        <v>0</v>
      </c>
      <c r="F317" s="84">
        <v>0.26</v>
      </c>
      <c r="G317" s="53">
        <v>0.17493829724376431</v>
      </c>
      <c r="H317" s="78">
        <v>672.83960478370886</v>
      </c>
      <c r="I317" s="84">
        <v>1.97</v>
      </c>
      <c r="J317" s="53">
        <v>1.3512367563538072</v>
      </c>
      <c r="K317" s="78">
        <v>685.90698292071443</v>
      </c>
      <c r="L317" s="84">
        <v>1.115</v>
      </c>
      <c r="M317" s="53">
        <v>0.76308752679878578</v>
      </c>
      <c r="N317" s="78">
        <v>684.38343210653431</v>
      </c>
    </row>
    <row r="318" spans="1:14" ht="19.5" customHeight="1" outlineLevel="1" x14ac:dyDescent="0.2">
      <c r="A318" s="101">
        <v>10</v>
      </c>
      <c r="B318" s="81" t="s">
        <v>17</v>
      </c>
      <c r="C318" s="84">
        <v>0</v>
      </c>
      <c r="D318" s="53">
        <v>0</v>
      </c>
      <c r="E318" s="78">
        <v>0</v>
      </c>
      <c r="F318" s="84">
        <v>0</v>
      </c>
      <c r="G318" s="53">
        <v>0</v>
      </c>
      <c r="H318" s="78">
        <v>0</v>
      </c>
      <c r="I318" s="84">
        <v>0</v>
      </c>
      <c r="J318" s="53">
        <v>0</v>
      </c>
      <c r="K318" s="78">
        <v>0</v>
      </c>
      <c r="L318" s="84">
        <v>0</v>
      </c>
      <c r="M318" s="53">
        <v>0</v>
      </c>
      <c r="N318" s="78">
        <v>0</v>
      </c>
    </row>
    <row r="319" spans="1:14" ht="19.5" customHeight="1" outlineLevel="1" x14ac:dyDescent="0.2">
      <c r="A319" s="101">
        <v>11</v>
      </c>
      <c r="B319" s="81" t="s">
        <v>18</v>
      </c>
      <c r="C319" s="84">
        <v>0.13</v>
      </c>
      <c r="D319" s="53">
        <v>6.5184003110957178E-2</v>
      </c>
      <c r="E319" s="78">
        <v>501.41540854582445</v>
      </c>
      <c r="F319" s="84">
        <v>0.36</v>
      </c>
      <c r="G319" s="53">
        <v>0.24222225772213518</v>
      </c>
      <c r="H319" s="78">
        <v>672.83960478370886</v>
      </c>
      <c r="I319" s="84">
        <v>0.12</v>
      </c>
      <c r="J319" s="53">
        <v>8.2308837950485728E-2</v>
      </c>
      <c r="K319" s="78">
        <v>685.90698292071443</v>
      </c>
      <c r="L319" s="84">
        <v>0.20333333333333334</v>
      </c>
      <c r="M319" s="53">
        <v>0.12990503292785935</v>
      </c>
      <c r="N319" s="78">
        <v>638.87721112061968</v>
      </c>
    </row>
    <row r="320" spans="1:14" ht="19.5" customHeight="1" outlineLevel="1" x14ac:dyDescent="0.2">
      <c r="A320" s="101">
        <v>12</v>
      </c>
      <c r="B320" s="81" t="s">
        <v>19</v>
      </c>
      <c r="C320" s="84">
        <v>0</v>
      </c>
      <c r="D320" s="53">
        <v>0</v>
      </c>
      <c r="E320" s="78">
        <v>0</v>
      </c>
      <c r="F320" s="84">
        <v>0.02</v>
      </c>
      <c r="G320" s="53">
        <v>1.3456792095674177E-2</v>
      </c>
      <c r="H320" s="78">
        <v>672.83960478370886</v>
      </c>
      <c r="I320" s="84">
        <v>0</v>
      </c>
      <c r="J320" s="53">
        <v>0</v>
      </c>
      <c r="K320" s="78">
        <v>0</v>
      </c>
      <c r="L320" s="84">
        <v>0.02</v>
      </c>
      <c r="M320" s="53">
        <v>1.3456792095674177E-2</v>
      </c>
      <c r="N320" s="78">
        <v>672.83960478370886</v>
      </c>
    </row>
    <row r="321" spans="1:14" ht="19.5" customHeight="1" outlineLevel="1" x14ac:dyDescent="0.2">
      <c r="A321" s="101">
        <v>13</v>
      </c>
      <c r="B321" s="81" t="s">
        <v>20</v>
      </c>
      <c r="C321" s="84">
        <v>0</v>
      </c>
      <c r="D321" s="53">
        <v>0</v>
      </c>
      <c r="E321" s="78">
        <v>0</v>
      </c>
      <c r="F321" s="84">
        <v>0.11</v>
      </c>
      <c r="G321" s="53">
        <v>7.4012356526207981E-2</v>
      </c>
      <c r="H321" s="78">
        <v>672.83960478370886</v>
      </c>
      <c r="I321" s="84">
        <v>0</v>
      </c>
      <c r="J321" s="53">
        <v>0</v>
      </c>
      <c r="K321" s="78">
        <v>0</v>
      </c>
      <c r="L321" s="84">
        <v>0.11</v>
      </c>
      <c r="M321" s="53">
        <v>7.4012356526207981E-2</v>
      </c>
      <c r="N321" s="78">
        <v>672.83960478370886</v>
      </c>
    </row>
    <row r="322" spans="1:14" ht="19.5" customHeight="1" outlineLevel="1" x14ac:dyDescent="0.2">
      <c r="A322" s="101">
        <v>14</v>
      </c>
      <c r="B322" s="81" t="s">
        <v>21</v>
      </c>
      <c r="C322" s="84">
        <v>0</v>
      </c>
      <c r="D322" s="53">
        <v>0</v>
      </c>
      <c r="E322" s="78">
        <v>0</v>
      </c>
      <c r="F322" s="84">
        <v>0</v>
      </c>
      <c r="G322" s="53">
        <v>0</v>
      </c>
      <c r="H322" s="78">
        <v>0</v>
      </c>
      <c r="I322" s="84">
        <v>0</v>
      </c>
      <c r="J322" s="53">
        <v>0</v>
      </c>
      <c r="K322" s="78">
        <v>0</v>
      </c>
      <c r="L322" s="84">
        <v>0</v>
      </c>
      <c r="M322" s="53">
        <v>0</v>
      </c>
      <c r="N322" s="78">
        <v>0</v>
      </c>
    </row>
    <row r="323" spans="1:14" ht="19.5" customHeight="1" outlineLevel="1" x14ac:dyDescent="0.2">
      <c r="A323" s="101">
        <v>15</v>
      </c>
      <c r="B323" s="81" t="s">
        <v>22</v>
      </c>
      <c r="C323" s="84">
        <v>0</v>
      </c>
      <c r="D323" s="53">
        <v>0</v>
      </c>
      <c r="E323" s="78">
        <v>0</v>
      </c>
      <c r="F323" s="84">
        <v>0</v>
      </c>
      <c r="G323" s="53">
        <v>0</v>
      </c>
      <c r="H323" s="78">
        <v>0</v>
      </c>
      <c r="I323" s="84">
        <v>0</v>
      </c>
      <c r="J323" s="53">
        <v>0</v>
      </c>
      <c r="K323" s="78">
        <v>0</v>
      </c>
      <c r="L323" s="84">
        <v>0</v>
      </c>
      <c r="M323" s="53">
        <v>0</v>
      </c>
      <c r="N323" s="78">
        <v>0</v>
      </c>
    </row>
    <row r="324" spans="1:14" ht="19.5" customHeight="1" outlineLevel="1" x14ac:dyDescent="0.2">
      <c r="A324" s="101">
        <v>16</v>
      </c>
      <c r="B324" s="81" t="s">
        <v>23</v>
      </c>
      <c r="C324" s="84">
        <v>0</v>
      </c>
      <c r="D324" s="53">
        <v>0</v>
      </c>
      <c r="E324" s="78">
        <v>0</v>
      </c>
      <c r="F324" s="84">
        <v>0</v>
      </c>
      <c r="G324" s="53">
        <v>0</v>
      </c>
      <c r="H324" s="78">
        <v>0</v>
      </c>
      <c r="I324" s="84">
        <v>0</v>
      </c>
      <c r="J324" s="53">
        <v>0</v>
      </c>
      <c r="K324" s="78">
        <v>0</v>
      </c>
      <c r="L324" s="84">
        <v>0</v>
      </c>
      <c r="M324" s="53">
        <v>0</v>
      </c>
      <c r="N324" s="78">
        <v>0</v>
      </c>
    </row>
    <row r="325" spans="1:14" ht="19.5" customHeight="1" outlineLevel="1" x14ac:dyDescent="0.2">
      <c r="A325" s="101">
        <v>17</v>
      </c>
      <c r="B325" s="81" t="s">
        <v>24</v>
      </c>
      <c r="C325" s="84">
        <v>2.57</v>
      </c>
      <c r="D325" s="53">
        <v>1.2886375999627686</v>
      </c>
      <c r="E325" s="78">
        <v>501.41540854582445</v>
      </c>
      <c r="F325" s="84">
        <v>1.33</v>
      </c>
      <c r="G325" s="53">
        <v>0.89487667436233287</v>
      </c>
      <c r="H325" s="78">
        <v>672.83960478370886</v>
      </c>
      <c r="I325" s="84">
        <v>1.2</v>
      </c>
      <c r="J325" s="53">
        <v>0.82308837950485725</v>
      </c>
      <c r="K325" s="78">
        <v>685.90698292071443</v>
      </c>
      <c r="L325" s="84">
        <v>1.7</v>
      </c>
      <c r="M325" s="53">
        <v>1.0022008846099861</v>
      </c>
      <c r="N325" s="78">
        <v>589.52993212352123</v>
      </c>
    </row>
    <row r="326" spans="1:14" ht="19.5" customHeight="1" outlineLevel="1" x14ac:dyDescent="0.2">
      <c r="A326" s="101">
        <v>18</v>
      </c>
      <c r="B326" s="81" t="s">
        <v>25</v>
      </c>
      <c r="C326" s="84">
        <v>1.38</v>
      </c>
      <c r="D326" s="53">
        <v>0.69195326379323774</v>
      </c>
      <c r="E326" s="78">
        <v>501.41540854582445</v>
      </c>
      <c r="F326" s="84">
        <v>0.76</v>
      </c>
      <c r="G326" s="53">
        <v>0.51135809963561873</v>
      </c>
      <c r="H326" s="78">
        <v>672.83960478370886</v>
      </c>
      <c r="I326" s="84">
        <v>0.3</v>
      </c>
      <c r="J326" s="53">
        <v>0.20577209487621431</v>
      </c>
      <c r="K326" s="78">
        <v>685.90698292071443</v>
      </c>
      <c r="L326" s="84">
        <v>0.81333333333333313</v>
      </c>
      <c r="M326" s="53">
        <v>0.46969448610169029</v>
      </c>
      <c r="N326" s="78">
        <v>577.49322061683245</v>
      </c>
    </row>
    <row r="327" spans="1:14" ht="19.5" customHeight="1" outlineLevel="1" x14ac:dyDescent="0.2">
      <c r="A327" s="101">
        <v>19</v>
      </c>
      <c r="B327" s="81" t="s">
        <v>26</v>
      </c>
      <c r="C327" s="84">
        <v>0.09</v>
      </c>
      <c r="D327" s="53">
        <v>4.51273867691242E-2</v>
      </c>
      <c r="E327" s="78">
        <v>501.41540854582445</v>
      </c>
      <c r="F327" s="84">
        <v>0.05</v>
      </c>
      <c r="G327" s="53">
        <v>3.3641980239185444E-2</v>
      </c>
      <c r="H327" s="78">
        <v>672.83960478370886</v>
      </c>
      <c r="I327" s="84">
        <v>0.13</v>
      </c>
      <c r="J327" s="53">
        <v>8.9167907779692884E-2</v>
      </c>
      <c r="K327" s="78">
        <v>685.90698292071443</v>
      </c>
      <c r="L327" s="84">
        <v>9.0000000000000011E-2</v>
      </c>
      <c r="M327" s="53">
        <v>5.5979091596000841E-2</v>
      </c>
      <c r="N327" s="78">
        <v>621.9899066222315</v>
      </c>
    </row>
    <row r="328" spans="1:14" ht="19.5" customHeight="1" outlineLevel="1" x14ac:dyDescent="0.2">
      <c r="A328" s="101">
        <v>20</v>
      </c>
      <c r="B328" s="81" t="s">
        <v>27</v>
      </c>
      <c r="C328" s="84">
        <v>0</v>
      </c>
      <c r="D328" s="53">
        <v>0</v>
      </c>
      <c r="E328" s="78">
        <v>0</v>
      </c>
      <c r="F328" s="84">
        <v>0</v>
      </c>
      <c r="G328" s="53">
        <v>0</v>
      </c>
      <c r="H328" s="78">
        <v>0</v>
      </c>
      <c r="I328" s="84">
        <v>2.29</v>
      </c>
      <c r="J328" s="53">
        <v>1.5707269908884363</v>
      </c>
      <c r="K328" s="78">
        <v>685.90698292071443</v>
      </c>
      <c r="L328" s="84">
        <v>2.29</v>
      </c>
      <c r="M328" s="53">
        <v>1.5707269908884363</v>
      </c>
      <c r="N328" s="78">
        <v>685.90698292071443</v>
      </c>
    </row>
    <row r="329" spans="1:14" ht="19.5" customHeight="1" outlineLevel="1" x14ac:dyDescent="0.2">
      <c r="A329" s="101">
        <v>21</v>
      </c>
      <c r="B329" s="81" t="s">
        <v>28</v>
      </c>
      <c r="C329" s="84">
        <v>2.06</v>
      </c>
      <c r="D329" s="53">
        <v>1.0329157416043984</v>
      </c>
      <c r="E329" s="78">
        <v>501.41540854582445</v>
      </c>
      <c r="F329" s="84">
        <v>2.1</v>
      </c>
      <c r="G329" s="53">
        <v>1.4129631700457888</v>
      </c>
      <c r="H329" s="78">
        <v>672.83960478370886</v>
      </c>
      <c r="I329" s="84">
        <v>1.39</v>
      </c>
      <c r="J329" s="53">
        <v>0.95341070625979296</v>
      </c>
      <c r="K329" s="78">
        <v>685.90698292071443</v>
      </c>
      <c r="L329" s="84">
        <v>1.8499999999999999</v>
      </c>
      <c r="M329" s="53">
        <v>1.1330965393033265</v>
      </c>
      <c r="N329" s="78">
        <v>612.48461583963604</v>
      </c>
    </row>
    <row r="330" spans="1:14" ht="19.5" customHeight="1" outlineLevel="1" x14ac:dyDescent="0.2">
      <c r="A330" s="101">
        <v>22</v>
      </c>
      <c r="B330" s="81" t="s">
        <v>29</v>
      </c>
      <c r="C330" s="84">
        <v>0</v>
      </c>
      <c r="D330" s="53">
        <v>0</v>
      </c>
      <c r="E330" s="78">
        <v>0</v>
      </c>
      <c r="F330" s="84">
        <v>0</v>
      </c>
      <c r="G330" s="53">
        <v>0</v>
      </c>
      <c r="H330" s="78">
        <v>0</v>
      </c>
      <c r="I330" s="84">
        <v>0.02</v>
      </c>
      <c r="J330" s="53">
        <v>1.3718139658414289E-2</v>
      </c>
      <c r="K330" s="78">
        <v>685.90698292071443</v>
      </c>
      <c r="L330" s="84">
        <v>0.02</v>
      </c>
      <c r="M330" s="53">
        <v>1.3718139658414289E-2</v>
      </c>
      <c r="N330" s="78">
        <v>685.90698292071443</v>
      </c>
    </row>
    <row r="331" spans="1:14" ht="19.5" customHeight="1" outlineLevel="1" x14ac:dyDescent="0.2">
      <c r="A331" s="101">
        <v>23</v>
      </c>
      <c r="B331" s="81" t="s">
        <v>30</v>
      </c>
      <c r="C331" s="84">
        <v>0</v>
      </c>
      <c r="D331" s="53">
        <v>0</v>
      </c>
      <c r="E331" s="78">
        <v>0</v>
      </c>
      <c r="F331" s="84">
        <v>0</v>
      </c>
      <c r="G331" s="53">
        <v>0</v>
      </c>
      <c r="H331" s="78">
        <v>0</v>
      </c>
      <c r="I331" s="84">
        <v>0</v>
      </c>
      <c r="J331" s="53">
        <v>0</v>
      </c>
      <c r="K331" s="78">
        <v>0</v>
      </c>
      <c r="L331" s="84">
        <v>0</v>
      </c>
      <c r="M331" s="53">
        <v>0</v>
      </c>
      <c r="N331" s="78">
        <v>0</v>
      </c>
    </row>
    <row r="332" spans="1:14" ht="19.5" customHeight="1" outlineLevel="1" x14ac:dyDescent="0.2">
      <c r="A332" s="101">
        <v>24</v>
      </c>
      <c r="B332" s="81" t="s">
        <v>31</v>
      </c>
      <c r="C332" s="84">
        <v>0</v>
      </c>
      <c r="D332" s="53">
        <v>0</v>
      </c>
      <c r="E332" s="78">
        <v>0</v>
      </c>
      <c r="F332" s="84">
        <v>0</v>
      </c>
      <c r="G332" s="53">
        <v>0</v>
      </c>
      <c r="H332" s="78">
        <v>0</v>
      </c>
      <c r="I332" s="84">
        <v>0</v>
      </c>
      <c r="J332" s="53">
        <v>0</v>
      </c>
      <c r="K332" s="78">
        <v>0</v>
      </c>
      <c r="L332" s="84">
        <v>0</v>
      </c>
      <c r="M332" s="53">
        <v>0</v>
      </c>
      <c r="N332" s="78">
        <v>0</v>
      </c>
    </row>
    <row r="333" spans="1:14" ht="19.5" customHeight="1" outlineLevel="1" x14ac:dyDescent="0.2">
      <c r="A333" s="101">
        <v>25</v>
      </c>
      <c r="B333" s="81" t="s">
        <v>32</v>
      </c>
      <c r="C333" s="84">
        <v>0.11</v>
      </c>
      <c r="D333" s="53">
        <v>5.5155694940040689E-2</v>
      </c>
      <c r="E333" s="78">
        <v>501.41540854582445</v>
      </c>
      <c r="F333" s="84">
        <v>0.27</v>
      </c>
      <c r="G333" s="53">
        <v>0.1816666932916014</v>
      </c>
      <c r="H333" s="78">
        <v>672.83960478370886</v>
      </c>
      <c r="I333" s="84">
        <v>7.0000000000000007E-2</v>
      </c>
      <c r="J333" s="53">
        <v>4.8013488804450014E-2</v>
      </c>
      <c r="K333" s="78">
        <v>685.90698292071443</v>
      </c>
      <c r="L333" s="84">
        <v>0.15</v>
      </c>
      <c r="M333" s="53">
        <v>9.494529234536403E-2</v>
      </c>
      <c r="N333" s="78">
        <v>632.96861563576022</v>
      </c>
    </row>
    <row r="334" spans="1:14" ht="19.5" customHeight="1" outlineLevel="1" x14ac:dyDescent="0.2">
      <c r="A334" s="101">
        <v>26</v>
      </c>
      <c r="B334" s="81" t="s">
        <v>33</v>
      </c>
      <c r="C334" s="84">
        <v>0</v>
      </c>
      <c r="D334" s="53">
        <v>0</v>
      </c>
      <c r="E334" s="78">
        <v>0</v>
      </c>
      <c r="F334" s="84">
        <v>0</v>
      </c>
      <c r="G334" s="53">
        <v>0</v>
      </c>
      <c r="H334" s="78">
        <v>0</v>
      </c>
      <c r="I334" s="84">
        <v>0</v>
      </c>
      <c r="J334" s="53">
        <v>0</v>
      </c>
      <c r="K334" s="78">
        <v>0</v>
      </c>
      <c r="L334" s="84">
        <v>0</v>
      </c>
      <c r="M334" s="53">
        <v>0</v>
      </c>
      <c r="N334" s="78">
        <v>0</v>
      </c>
    </row>
    <row r="335" spans="1:14" ht="19.5" customHeight="1" outlineLevel="1" x14ac:dyDescent="0.2">
      <c r="A335" s="101">
        <v>27</v>
      </c>
      <c r="B335" s="81" t="s">
        <v>34</v>
      </c>
      <c r="C335" s="84">
        <v>0</v>
      </c>
      <c r="D335" s="53">
        <v>0</v>
      </c>
      <c r="E335" s="78">
        <v>0</v>
      </c>
      <c r="F335" s="84">
        <v>0.05</v>
      </c>
      <c r="G335" s="53">
        <v>3.3641980239185444E-2</v>
      </c>
      <c r="H335" s="78">
        <v>672.83960478370886</v>
      </c>
      <c r="I335" s="84">
        <v>0</v>
      </c>
      <c r="J335" s="53">
        <v>0</v>
      </c>
      <c r="K335" s="78">
        <v>0</v>
      </c>
      <c r="L335" s="84">
        <v>0.05</v>
      </c>
      <c r="M335" s="53">
        <v>3.3641980239185444E-2</v>
      </c>
      <c r="N335" s="78">
        <v>672.83960478370886</v>
      </c>
    </row>
    <row r="336" spans="1:14" ht="19.5" customHeight="1" outlineLevel="1" x14ac:dyDescent="0.2">
      <c r="A336" s="101">
        <v>28</v>
      </c>
      <c r="B336" s="81" t="s">
        <v>35</v>
      </c>
      <c r="C336" s="84">
        <v>0</v>
      </c>
      <c r="D336" s="53">
        <v>0</v>
      </c>
      <c r="E336" s="78">
        <v>0</v>
      </c>
      <c r="F336" s="84">
        <v>20</v>
      </c>
      <c r="G336" s="53">
        <v>13.456792095674176</v>
      </c>
      <c r="H336" s="78">
        <v>672.83960478370886</v>
      </c>
      <c r="I336" s="84">
        <v>0</v>
      </c>
      <c r="J336" s="53">
        <v>0</v>
      </c>
      <c r="K336" s="78">
        <v>0</v>
      </c>
      <c r="L336" s="84">
        <v>20</v>
      </c>
      <c r="M336" s="53">
        <v>13.456792095674176</v>
      </c>
      <c r="N336" s="78">
        <v>672.83960478370886</v>
      </c>
    </row>
    <row r="337" spans="1:14" ht="19.5" customHeight="1" outlineLevel="1" x14ac:dyDescent="0.2">
      <c r="A337" s="101">
        <v>29</v>
      </c>
      <c r="B337" s="81" t="s">
        <v>36</v>
      </c>
      <c r="C337" s="84">
        <v>0</v>
      </c>
      <c r="D337" s="53">
        <v>0</v>
      </c>
      <c r="E337" s="78">
        <v>0</v>
      </c>
      <c r="F337" s="84">
        <v>0.13</v>
      </c>
      <c r="G337" s="53">
        <v>8.7469148621882153E-2</v>
      </c>
      <c r="H337" s="78">
        <v>672.83960478370886</v>
      </c>
      <c r="I337" s="84">
        <v>0</v>
      </c>
      <c r="J337" s="53">
        <v>0</v>
      </c>
      <c r="K337" s="78">
        <v>0</v>
      </c>
      <c r="L337" s="84">
        <v>0.13</v>
      </c>
      <c r="M337" s="53">
        <v>8.7469148621882153E-2</v>
      </c>
      <c r="N337" s="78">
        <v>672.83960478370886</v>
      </c>
    </row>
    <row r="338" spans="1:14" ht="19.5" customHeight="1" outlineLevel="1" x14ac:dyDescent="0.2">
      <c r="A338" s="101">
        <v>30</v>
      </c>
      <c r="B338" s="81" t="s">
        <v>37</v>
      </c>
      <c r="C338" s="84">
        <v>0</v>
      </c>
      <c r="D338" s="53">
        <v>0</v>
      </c>
      <c r="E338" s="78">
        <v>0</v>
      </c>
      <c r="F338" s="84">
        <v>0</v>
      </c>
      <c r="G338" s="53">
        <v>0</v>
      </c>
      <c r="H338" s="78">
        <v>0</v>
      </c>
      <c r="I338" s="84">
        <v>0</v>
      </c>
      <c r="J338" s="53">
        <v>0</v>
      </c>
      <c r="K338" s="78">
        <v>0</v>
      </c>
      <c r="L338" s="84">
        <v>0</v>
      </c>
      <c r="M338" s="53">
        <v>0</v>
      </c>
      <c r="N338" s="78">
        <v>0</v>
      </c>
    </row>
    <row r="339" spans="1:14" ht="19.5" customHeight="1" outlineLevel="1" x14ac:dyDescent="0.2">
      <c r="A339" s="101">
        <v>31</v>
      </c>
      <c r="B339" s="81" t="s">
        <v>38</v>
      </c>
      <c r="C339" s="84">
        <v>0</v>
      </c>
      <c r="D339" s="53">
        <v>0</v>
      </c>
      <c r="E339" s="78">
        <v>0</v>
      </c>
      <c r="F339" s="84">
        <v>0</v>
      </c>
      <c r="G339" s="53">
        <v>0</v>
      </c>
      <c r="H339" s="78">
        <v>0</v>
      </c>
      <c r="I339" s="84">
        <v>0</v>
      </c>
      <c r="J339" s="53">
        <v>0</v>
      </c>
      <c r="K339" s="78">
        <v>0</v>
      </c>
      <c r="L339" s="84">
        <v>0</v>
      </c>
      <c r="M339" s="53">
        <v>0</v>
      </c>
      <c r="N339" s="78">
        <v>0</v>
      </c>
    </row>
    <row r="340" spans="1:14" ht="19.5" customHeight="1" outlineLevel="1" x14ac:dyDescent="0.2">
      <c r="A340" s="101">
        <v>32</v>
      </c>
      <c r="B340" s="81" t="s">
        <v>39</v>
      </c>
      <c r="C340" s="84">
        <v>0</v>
      </c>
      <c r="D340" s="53">
        <v>0</v>
      </c>
      <c r="E340" s="78">
        <v>0</v>
      </c>
      <c r="F340" s="84">
        <v>0</v>
      </c>
      <c r="G340" s="53">
        <v>0</v>
      </c>
      <c r="H340" s="78">
        <v>0</v>
      </c>
      <c r="I340" s="84">
        <v>0</v>
      </c>
      <c r="J340" s="53">
        <v>0</v>
      </c>
      <c r="K340" s="78">
        <v>0</v>
      </c>
      <c r="L340" s="84">
        <v>0</v>
      </c>
      <c r="M340" s="53">
        <v>0</v>
      </c>
      <c r="N340" s="78">
        <v>0</v>
      </c>
    </row>
    <row r="341" spans="1:14" ht="19.5" customHeight="1" outlineLevel="1" thickBot="1" x14ac:dyDescent="0.25">
      <c r="A341" s="102">
        <v>33</v>
      </c>
      <c r="B341" s="91" t="s">
        <v>40</v>
      </c>
      <c r="C341" s="92">
        <v>0</v>
      </c>
      <c r="D341" s="93">
        <v>0</v>
      </c>
      <c r="E341" s="94">
        <v>0</v>
      </c>
      <c r="F341" s="92">
        <v>0</v>
      </c>
      <c r="G341" s="93">
        <v>0</v>
      </c>
      <c r="H341" s="94">
        <v>0</v>
      </c>
      <c r="I341" s="92">
        <v>0</v>
      </c>
      <c r="J341" s="93">
        <v>0</v>
      </c>
      <c r="K341" s="94">
        <v>0</v>
      </c>
      <c r="L341" s="92">
        <v>0</v>
      </c>
      <c r="M341" s="93">
        <v>0</v>
      </c>
      <c r="N341" s="94">
        <v>0</v>
      </c>
    </row>
    <row r="342" spans="1:14" ht="19.5" customHeight="1" thickBot="1" x14ac:dyDescent="0.25">
      <c r="A342" s="151" t="s">
        <v>41</v>
      </c>
      <c r="B342" s="152"/>
      <c r="C342" s="96">
        <v>144.76000000000002</v>
      </c>
      <c r="D342" s="97">
        <v>72.584894541093504</v>
      </c>
      <c r="E342" s="98">
        <v>501.41540854582405</v>
      </c>
      <c r="F342" s="96">
        <v>149.93000000000004</v>
      </c>
      <c r="G342" s="97">
        <v>100.87884194522145</v>
      </c>
      <c r="H342" s="98">
        <v>672.83960478370864</v>
      </c>
      <c r="I342" s="96">
        <v>132.05999999999997</v>
      </c>
      <c r="J342" s="97">
        <v>90.580876164509533</v>
      </c>
      <c r="K342" s="98">
        <v>685.90698292071443</v>
      </c>
      <c r="L342" s="96">
        <v>142.25</v>
      </c>
      <c r="M342" s="97">
        <v>88.014870883608168</v>
      </c>
      <c r="N342" s="98">
        <v>618.73371447176214</v>
      </c>
    </row>
    <row r="343" spans="1:14" ht="34.5" customHeight="1" x14ac:dyDescent="0.2">
      <c r="A343" s="153" t="s">
        <v>247</v>
      </c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</row>
    <row r="344" spans="1:14" ht="19.5" customHeight="1" thickBot="1" x14ac:dyDescent="0.25">
      <c r="A344" s="50"/>
      <c r="B344" s="138" t="s">
        <v>50</v>
      </c>
      <c r="C344" s="52"/>
      <c r="D344" s="52"/>
      <c r="E344" s="52"/>
      <c r="F344" s="52"/>
      <c r="G344" s="52"/>
      <c r="H344" s="52"/>
      <c r="I344" s="52"/>
      <c r="J344" s="52"/>
      <c r="K344" s="155" t="s">
        <v>1</v>
      </c>
      <c r="L344" s="154"/>
      <c r="M344" s="154"/>
      <c r="N344" s="154"/>
    </row>
    <row r="345" spans="1:14" ht="19.5" customHeight="1" x14ac:dyDescent="0.2">
      <c r="A345" s="156" t="s">
        <v>2</v>
      </c>
      <c r="B345" s="158" t="s">
        <v>3</v>
      </c>
      <c r="C345" s="148" t="s">
        <v>243</v>
      </c>
      <c r="D345" s="149"/>
      <c r="E345" s="150"/>
      <c r="F345" s="148" t="s">
        <v>244</v>
      </c>
      <c r="G345" s="149"/>
      <c r="H345" s="150"/>
      <c r="I345" s="148" t="s">
        <v>246</v>
      </c>
      <c r="J345" s="149"/>
      <c r="K345" s="150"/>
      <c r="L345" s="148" t="s">
        <v>4</v>
      </c>
      <c r="M345" s="149"/>
      <c r="N345" s="150"/>
    </row>
    <row r="346" spans="1:14" ht="19.5" customHeight="1" thickBot="1" x14ac:dyDescent="0.25">
      <c r="A346" s="157"/>
      <c r="B346" s="159"/>
      <c r="C346" s="85" t="s">
        <v>5</v>
      </c>
      <c r="D346" s="79" t="s">
        <v>6</v>
      </c>
      <c r="E346" s="80" t="s">
        <v>7</v>
      </c>
      <c r="F346" s="85" t="s">
        <v>5</v>
      </c>
      <c r="G346" s="79" t="s">
        <v>6</v>
      </c>
      <c r="H346" s="80" t="s">
        <v>7</v>
      </c>
      <c r="I346" s="85" t="s">
        <v>5</v>
      </c>
      <c r="J346" s="79" t="s">
        <v>6</v>
      </c>
      <c r="K346" s="80" t="s">
        <v>7</v>
      </c>
      <c r="L346" s="85" t="s">
        <v>5</v>
      </c>
      <c r="M346" s="79" t="s">
        <v>6</v>
      </c>
      <c r="N346" s="80" t="s">
        <v>7</v>
      </c>
    </row>
    <row r="347" spans="1:14" ht="19.5" customHeight="1" outlineLevel="1" x14ac:dyDescent="0.2">
      <c r="A347" s="100">
        <v>1</v>
      </c>
      <c r="B347" s="86" t="s">
        <v>8</v>
      </c>
      <c r="C347" s="87">
        <v>7.46</v>
      </c>
      <c r="D347" s="88">
        <v>4.8609359999999997</v>
      </c>
      <c r="E347" s="89">
        <v>651.59999999999991</v>
      </c>
      <c r="F347" s="87">
        <v>8.9499999999999993</v>
      </c>
      <c r="G347" s="88">
        <v>4.8079400000000012</v>
      </c>
      <c r="H347" s="89">
        <v>537.20000000000016</v>
      </c>
      <c r="I347" s="87">
        <v>34.1</v>
      </c>
      <c r="J347" s="88">
        <v>19.437000000000005</v>
      </c>
      <c r="K347" s="89">
        <v>570.00000000000011</v>
      </c>
      <c r="L347" s="87">
        <v>16.83666666666667</v>
      </c>
      <c r="M347" s="88">
        <v>9.701958666666668</v>
      </c>
      <c r="N347" s="89">
        <v>576.23987329241731</v>
      </c>
    </row>
    <row r="348" spans="1:14" ht="19.5" customHeight="1" outlineLevel="1" x14ac:dyDescent="0.2">
      <c r="A348" s="101">
        <v>2</v>
      </c>
      <c r="B348" s="81" t="s">
        <v>9</v>
      </c>
      <c r="C348" s="84">
        <v>17.14</v>
      </c>
      <c r="D348" s="53">
        <v>11.725932451071762</v>
      </c>
      <c r="E348" s="78">
        <v>684.12674743709226</v>
      </c>
      <c r="F348" s="84">
        <v>9.86</v>
      </c>
      <c r="G348" s="53">
        <v>6.5592740997830798</v>
      </c>
      <c r="H348" s="78">
        <v>665.24078091106287</v>
      </c>
      <c r="I348" s="84">
        <v>9.08</v>
      </c>
      <c r="J348" s="53">
        <v>5.6840799999999998</v>
      </c>
      <c r="K348" s="78">
        <v>626</v>
      </c>
      <c r="L348" s="84">
        <v>12.026666666666666</v>
      </c>
      <c r="M348" s="53">
        <v>7.9897621836182795</v>
      </c>
      <c r="N348" s="78">
        <v>664.33721038954661</v>
      </c>
    </row>
    <row r="349" spans="1:14" ht="19.5" customHeight="1" outlineLevel="1" x14ac:dyDescent="0.2">
      <c r="A349" s="101">
        <v>3</v>
      </c>
      <c r="B349" s="81" t="s">
        <v>10</v>
      </c>
      <c r="C349" s="84">
        <v>168.26</v>
      </c>
      <c r="D349" s="53">
        <v>75.332080000000005</v>
      </c>
      <c r="E349" s="78">
        <v>447.71234993462502</v>
      </c>
      <c r="F349" s="84">
        <v>168.47</v>
      </c>
      <c r="G349" s="53">
        <v>84.020379999999989</v>
      </c>
      <c r="H349" s="78">
        <v>498.7260639876535</v>
      </c>
      <c r="I349" s="84">
        <v>266.02999999999997</v>
      </c>
      <c r="J349" s="53">
        <v>99.872305364367122</v>
      </c>
      <c r="K349" s="78">
        <v>375.41745428849049</v>
      </c>
      <c r="L349" s="84">
        <v>200.92</v>
      </c>
      <c r="M349" s="53">
        <v>86.408255121455724</v>
      </c>
      <c r="N349" s="78">
        <v>430.06298587226621</v>
      </c>
    </row>
    <row r="350" spans="1:14" ht="19.5" customHeight="1" outlineLevel="1" x14ac:dyDescent="0.2">
      <c r="A350" s="101">
        <v>4</v>
      </c>
      <c r="B350" s="81" t="s">
        <v>11</v>
      </c>
      <c r="C350" s="84">
        <v>111.41</v>
      </c>
      <c r="D350" s="53">
        <v>68.4209252357265</v>
      </c>
      <c r="E350" s="78">
        <v>614.13630047326546</v>
      </c>
      <c r="F350" s="84">
        <v>115.49</v>
      </c>
      <c r="G350" s="53">
        <v>59.458757978490603</v>
      </c>
      <c r="H350" s="78">
        <v>514.83901617880861</v>
      </c>
      <c r="I350" s="84">
        <v>95.39</v>
      </c>
      <c r="J350" s="53">
        <v>56.402948160112025</v>
      </c>
      <c r="K350" s="78">
        <v>591.28785155794139</v>
      </c>
      <c r="L350" s="84">
        <v>107.42999999999999</v>
      </c>
      <c r="M350" s="53">
        <v>61.427543791443043</v>
      </c>
      <c r="N350" s="78">
        <v>571.79134125889459</v>
      </c>
    </row>
    <row r="351" spans="1:14" ht="19.5" customHeight="1" outlineLevel="1" x14ac:dyDescent="0.2">
      <c r="A351" s="101">
        <v>5</v>
      </c>
      <c r="B351" s="81" t="s">
        <v>12</v>
      </c>
      <c r="C351" s="84">
        <v>97.42</v>
      </c>
      <c r="D351" s="53">
        <v>61.621428894147478</v>
      </c>
      <c r="E351" s="78">
        <v>632.53365729980987</v>
      </c>
      <c r="F351" s="84">
        <v>53.94</v>
      </c>
      <c r="G351" s="53">
        <v>36.648708610169493</v>
      </c>
      <c r="H351" s="78">
        <v>679.4347165400352</v>
      </c>
      <c r="I351" s="84">
        <v>46.01</v>
      </c>
      <c r="J351" s="53">
        <v>35.406777085181901</v>
      </c>
      <c r="K351" s="78">
        <v>769.54525288376226</v>
      </c>
      <c r="L351" s="84">
        <v>65.790000000000006</v>
      </c>
      <c r="M351" s="53">
        <v>44.558971529832966</v>
      </c>
      <c r="N351" s="78">
        <v>677.29094892586966</v>
      </c>
    </row>
    <row r="352" spans="1:14" ht="19.5" customHeight="1" outlineLevel="1" x14ac:dyDescent="0.2">
      <c r="A352" s="101">
        <v>6</v>
      </c>
      <c r="B352" s="81" t="s">
        <v>13</v>
      </c>
      <c r="C352" s="84">
        <v>97.22</v>
      </c>
      <c r="D352" s="53">
        <v>63.407195999999992</v>
      </c>
      <c r="E352" s="78">
        <v>652.20320921621055</v>
      </c>
      <c r="F352" s="84">
        <v>63.78</v>
      </c>
      <c r="G352" s="53">
        <v>43.741296000000013</v>
      </c>
      <c r="H352" s="78">
        <v>685.81523988711206</v>
      </c>
      <c r="I352" s="84">
        <v>52.7</v>
      </c>
      <c r="J352" s="53">
        <v>37.432144000000001</v>
      </c>
      <c r="K352" s="78">
        <v>710.28736242884247</v>
      </c>
      <c r="L352" s="84">
        <v>71.233333333333334</v>
      </c>
      <c r="M352" s="53">
        <v>48.193545333333333</v>
      </c>
      <c r="N352" s="78">
        <v>676.55889564810479</v>
      </c>
    </row>
    <row r="353" spans="1:14" ht="19.5" customHeight="1" outlineLevel="1" x14ac:dyDescent="0.2">
      <c r="A353" s="101">
        <v>7</v>
      </c>
      <c r="B353" s="81" t="s">
        <v>14</v>
      </c>
      <c r="C353" s="84">
        <v>9.18</v>
      </c>
      <c r="D353" s="53">
        <v>5.6076865110974925</v>
      </c>
      <c r="E353" s="78">
        <v>610.85909706944358</v>
      </c>
      <c r="F353" s="84">
        <v>5.47</v>
      </c>
      <c r="G353" s="53">
        <v>3.5194940523283464</v>
      </c>
      <c r="H353" s="78">
        <v>643.41755984064832</v>
      </c>
      <c r="I353" s="84">
        <v>6.3</v>
      </c>
      <c r="J353" s="53">
        <v>3.5907342955366381</v>
      </c>
      <c r="K353" s="78">
        <v>569.95782468835523</v>
      </c>
      <c r="L353" s="84">
        <v>6.9833333333333334</v>
      </c>
      <c r="M353" s="53">
        <v>4.2393049529874922</v>
      </c>
      <c r="N353" s="78">
        <v>607.06037512947387</v>
      </c>
    </row>
    <row r="354" spans="1:14" ht="19.5" customHeight="1" outlineLevel="1" x14ac:dyDescent="0.2">
      <c r="A354" s="101">
        <v>8</v>
      </c>
      <c r="B354" s="81" t="s">
        <v>15</v>
      </c>
      <c r="C354" s="84">
        <v>69.099999999999994</v>
      </c>
      <c r="D354" s="53">
        <v>41.720957642524489</v>
      </c>
      <c r="E354" s="78">
        <v>603.77652159948616</v>
      </c>
      <c r="F354" s="84">
        <v>55.32</v>
      </c>
      <c r="G354" s="53">
        <v>32.951218468842733</v>
      </c>
      <c r="H354" s="78">
        <v>595.64747774480713</v>
      </c>
      <c r="I354" s="84">
        <v>38.46</v>
      </c>
      <c r="J354" s="53">
        <v>8.6875164462982291</v>
      </c>
      <c r="K354" s="78">
        <v>225.88446298227322</v>
      </c>
      <c r="L354" s="84">
        <v>54.293333333333329</v>
      </c>
      <c r="M354" s="53">
        <v>27.786564185888484</v>
      </c>
      <c r="N354" s="78">
        <v>511.78593171454725</v>
      </c>
    </row>
    <row r="355" spans="1:14" ht="19.5" customHeight="1" outlineLevel="1" x14ac:dyDescent="0.2">
      <c r="A355" s="101">
        <v>9</v>
      </c>
      <c r="B355" s="81" t="s">
        <v>16</v>
      </c>
      <c r="C355" s="84">
        <v>27.22</v>
      </c>
      <c r="D355" s="53">
        <v>15.149504666926374</v>
      </c>
      <c r="E355" s="78">
        <v>556.55784962991822</v>
      </c>
      <c r="F355" s="84">
        <v>26.75</v>
      </c>
      <c r="G355" s="53">
        <v>8.4967283105022826</v>
      </c>
      <c r="H355" s="78">
        <v>317.63470319634706</v>
      </c>
      <c r="I355" s="84">
        <v>26.11</v>
      </c>
      <c r="J355" s="53">
        <v>14.693413289256195</v>
      </c>
      <c r="K355" s="78">
        <v>562.75041322314041</v>
      </c>
      <c r="L355" s="84">
        <v>26.693333333333332</v>
      </c>
      <c r="M355" s="53">
        <v>12.779882088894951</v>
      </c>
      <c r="N355" s="78">
        <v>478.76681152203861</v>
      </c>
    </row>
    <row r="356" spans="1:14" ht="19.5" customHeight="1" outlineLevel="1" x14ac:dyDescent="0.2">
      <c r="A356" s="101">
        <v>10</v>
      </c>
      <c r="B356" s="81" t="s">
        <v>17</v>
      </c>
      <c r="C356" s="84">
        <v>19</v>
      </c>
      <c r="D356" s="53">
        <v>6.7604831372549015</v>
      </c>
      <c r="E356" s="78">
        <v>355.81490196078431</v>
      </c>
      <c r="F356" s="84">
        <v>5.35</v>
      </c>
      <c r="G356" s="53">
        <v>3.3032256338028168</v>
      </c>
      <c r="H356" s="78">
        <v>617.42535211267614</v>
      </c>
      <c r="I356" s="84">
        <v>10.07</v>
      </c>
      <c r="J356" s="53">
        <v>2.9839264999999995</v>
      </c>
      <c r="K356" s="78">
        <v>296.31842105263155</v>
      </c>
      <c r="L356" s="84">
        <v>11.473333333333334</v>
      </c>
      <c r="M356" s="53">
        <v>4.3492117570192397</v>
      </c>
      <c r="N356" s="78">
        <v>379.07133268616263</v>
      </c>
    </row>
    <row r="357" spans="1:14" ht="19.5" customHeight="1" outlineLevel="1" x14ac:dyDescent="0.2">
      <c r="A357" s="101">
        <v>11</v>
      </c>
      <c r="B357" s="81" t="s">
        <v>18</v>
      </c>
      <c r="C357" s="84">
        <v>10.17</v>
      </c>
      <c r="D357" s="53">
        <v>6.2124370171962413</v>
      </c>
      <c r="E357" s="78">
        <v>610.85909706944358</v>
      </c>
      <c r="F357" s="84">
        <v>8.92</v>
      </c>
      <c r="G357" s="53">
        <v>5.739284633778583</v>
      </c>
      <c r="H357" s="78">
        <v>643.41755984064832</v>
      </c>
      <c r="I357" s="84">
        <v>9.84</v>
      </c>
      <c r="J357" s="53">
        <v>5.6083849949334157</v>
      </c>
      <c r="K357" s="78">
        <v>569.95782468835523</v>
      </c>
      <c r="L357" s="84">
        <v>9.6433333333333326</v>
      </c>
      <c r="M357" s="53">
        <v>5.8533688819694136</v>
      </c>
      <c r="N357" s="78">
        <v>606.98605758410793</v>
      </c>
    </row>
    <row r="358" spans="1:14" ht="19.5" customHeight="1" outlineLevel="1" x14ac:dyDescent="0.2">
      <c r="A358" s="101">
        <v>12</v>
      </c>
      <c r="B358" s="81" t="s">
        <v>19</v>
      </c>
      <c r="C358" s="84">
        <v>18.61</v>
      </c>
      <c r="D358" s="53">
        <v>21.096295999999999</v>
      </c>
      <c r="E358" s="78">
        <v>1133.5999999999999</v>
      </c>
      <c r="F358" s="84">
        <v>15.16</v>
      </c>
      <c r="G358" s="53">
        <v>15.719375167167165</v>
      </c>
      <c r="H358" s="78">
        <v>1036.898098098098</v>
      </c>
      <c r="I358" s="84">
        <v>17.43</v>
      </c>
      <c r="J358" s="53">
        <v>12.738077629629627</v>
      </c>
      <c r="K358" s="78">
        <v>730.8134038800705</v>
      </c>
      <c r="L358" s="84">
        <v>17.066666666666666</v>
      </c>
      <c r="M358" s="53">
        <v>16.517916265598931</v>
      </c>
      <c r="N358" s="78">
        <v>967.84665618743736</v>
      </c>
    </row>
    <row r="359" spans="1:14" ht="19.5" customHeight="1" outlineLevel="1" x14ac:dyDescent="0.2">
      <c r="A359" s="101">
        <v>13</v>
      </c>
      <c r="B359" s="81" t="s">
        <v>20</v>
      </c>
      <c r="C359" s="84">
        <v>28.35</v>
      </c>
      <c r="D359" s="53">
        <v>8.7318000000000016</v>
      </c>
      <c r="E359" s="78">
        <v>308</v>
      </c>
      <c r="F359" s="84">
        <v>20.260000000000002</v>
      </c>
      <c r="G359" s="53">
        <v>9.9922319999999996</v>
      </c>
      <c r="H359" s="78">
        <v>493.2</v>
      </c>
      <c r="I359" s="84">
        <v>4.5199999999999996</v>
      </c>
      <c r="J359" s="53">
        <v>2.5762093675913653</v>
      </c>
      <c r="K359" s="78">
        <v>569.95782468835523</v>
      </c>
      <c r="L359" s="84">
        <v>17.709999999999997</v>
      </c>
      <c r="M359" s="53">
        <v>7.1000804558637887</v>
      </c>
      <c r="N359" s="78">
        <v>400.90798734408747</v>
      </c>
    </row>
    <row r="360" spans="1:14" ht="19.5" customHeight="1" outlineLevel="1" x14ac:dyDescent="0.2">
      <c r="A360" s="101">
        <v>14</v>
      </c>
      <c r="B360" s="81" t="s">
        <v>21</v>
      </c>
      <c r="C360" s="84">
        <v>0</v>
      </c>
      <c r="D360" s="53">
        <v>0</v>
      </c>
      <c r="E360" s="78">
        <v>0</v>
      </c>
      <c r="F360" s="84">
        <v>0</v>
      </c>
      <c r="G360" s="53">
        <v>0</v>
      </c>
      <c r="H360" s="78">
        <v>0</v>
      </c>
      <c r="I360" s="84">
        <v>0.6</v>
      </c>
      <c r="J360" s="53">
        <v>0.34197469481301312</v>
      </c>
      <c r="K360" s="78">
        <v>569.95782468835523</v>
      </c>
      <c r="L360" s="84">
        <v>0.6</v>
      </c>
      <c r="M360" s="53">
        <v>0.34197469481301312</v>
      </c>
      <c r="N360" s="78">
        <v>569.95782468835523</v>
      </c>
    </row>
    <row r="361" spans="1:14" ht="19.5" customHeight="1" outlineLevel="1" x14ac:dyDescent="0.2">
      <c r="A361" s="101">
        <v>15</v>
      </c>
      <c r="B361" s="81" t="s">
        <v>22</v>
      </c>
      <c r="C361" s="84">
        <v>18.399999999999999</v>
      </c>
      <c r="D361" s="53">
        <v>11.239807386077761</v>
      </c>
      <c r="E361" s="78">
        <v>610.85909706944358</v>
      </c>
      <c r="F361" s="84">
        <v>7.15</v>
      </c>
      <c r="G361" s="53">
        <v>9.4665999999999997</v>
      </c>
      <c r="H361" s="78">
        <v>1324</v>
      </c>
      <c r="I361" s="84">
        <v>14.44</v>
      </c>
      <c r="J361" s="53">
        <v>23.883760000000002</v>
      </c>
      <c r="K361" s="78">
        <v>1654.0000000000002</v>
      </c>
      <c r="L361" s="84">
        <v>13.329999999999998</v>
      </c>
      <c r="M361" s="53">
        <v>14.863389128692589</v>
      </c>
      <c r="N361" s="78">
        <v>1115.0329428876662</v>
      </c>
    </row>
    <row r="362" spans="1:14" ht="19.5" customHeight="1" outlineLevel="1" x14ac:dyDescent="0.2">
      <c r="A362" s="101">
        <v>16</v>
      </c>
      <c r="B362" s="81" t="s">
        <v>23</v>
      </c>
      <c r="C362" s="84">
        <v>2.1</v>
      </c>
      <c r="D362" s="53">
        <v>1.2828041038458315</v>
      </c>
      <c r="E362" s="78">
        <v>610.85909706944358</v>
      </c>
      <c r="F362" s="84">
        <v>1.5</v>
      </c>
      <c r="G362" s="53">
        <v>0.96512633976097251</v>
      </c>
      <c r="H362" s="78">
        <v>643.41755984064832</v>
      </c>
      <c r="I362" s="84">
        <v>4.75</v>
      </c>
      <c r="J362" s="53">
        <v>2.7072996672696874</v>
      </c>
      <c r="K362" s="78">
        <v>569.95782468835523</v>
      </c>
      <c r="L362" s="84">
        <v>2.7833333333333332</v>
      </c>
      <c r="M362" s="53">
        <v>1.6517433702921638</v>
      </c>
      <c r="N362" s="78">
        <v>593.44073184149602</v>
      </c>
    </row>
    <row r="363" spans="1:14" ht="19.5" customHeight="1" outlineLevel="1" x14ac:dyDescent="0.2">
      <c r="A363" s="101">
        <v>17</v>
      </c>
      <c r="B363" s="81" t="s">
        <v>24</v>
      </c>
      <c r="C363" s="84">
        <v>12.17</v>
      </c>
      <c r="D363" s="53">
        <v>7.4341552113351277</v>
      </c>
      <c r="E363" s="78">
        <v>610.85909706944358</v>
      </c>
      <c r="F363" s="84">
        <v>6.19</v>
      </c>
      <c r="G363" s="53">
        <v>3.9827546954136133</v>
      </c>
      <c r="H363" s="78">
        <v>643.41755984064832</v>
      </c>
      <c r="I363" s="84">
        <v>6.55</v>
      </c>
      <c r="J363" s="53">
        <v>3.7332237517087266</v>
      </c>
      <c r="K363" s="78">
        <v>569.95782468835523</v>
      </c>
      <c r="L363" s="84">
        <v>8.3033333333333328</v>
      </c>
      <c r="M363" s="53">
        <v>5.0500445528191555</v>
      </c>
      <c r="N363" s="78">
        <v>608.19484779034394</v>
      </c>
    </row>
    <row r="364" spans="1:14" ht="19.5" customHeight="1" outlineLevel="1" x14ac:dyDescent="0.2">
      <c r="A364" s="101">
        <v>18</v>
      </c>
      <c r="B364" s="81" t="s">
        <v>25</v>
      </c>
      <c r="C364" s="84">
        <v>7.3</v>
      </c>
      <c r="D364" s="53">
        <v>4.4592714086069378</v>
      </c>
      <c r="E364" s="78">
        <v>610.85909706944358</v>
      </c>
      <c r="F364" s="84">
        <v>2.77</v>
      </c>
      <c r="G364" s="53">
        <v>1.7822666407585959</v>
      </c>
      <c r="H364" s="78">
        <v>643.41755984064832</v>
      </c>
      <c r="I364" s="84">
        <v>4.03</v>
      </c>
      <c r="J364" s="53">
        <v>2.2969300334940717</v>
      </c>
      <c r="K364" s="78">
        <v>569.95782468835523</v>
      </c>
      <c r="L364" s="84">
        <v>4.7</v>
      </c>
      <c r="M364" s="53">
        <v>2.8461560276198683</v>
      </c>
      <c r="N364" s="78">
        <v>605.56511225954648</v>
      </c>
    </row>
    <row r="365" spans="1:14" ht="19.5" customHeight="1" outlineLevel="1" x14ac:dyDescent="0.2">
      <c r="A365" s="101">
        <v>19</v>
      </c>
      <c r="B365" s="81" t="s">
        <v>26</v>
      </c>
      <c r="C365" s="84">
        <v>1.1499999999999999</v>
      </c>
      <c r="D365" s="53">
        <v>0.70248796162986005</v>
      </c>
      <c r="E365" s="78">
        <v>610.85909706944358</v>
      </c>
      <c r="F365" s="84">
        <v>0.42</v>
      </c>
      <c r="G365" s="53">
        <v>0.27023537513307228</v>
      </c>
      <c r="H365" s="78">
        <v>643.41755984064832</v>
      </c>
      <c r="I365" s="84">
        <v>0.7</v>
      </c>
      <c r="J365" s="53">
        <v>0.39897047728184859</v>
      </c>
      <c r="K365" s="78">
        <v>569.95782468835523</v>
      </c>
      <c r="L365" s="84">
        <v>0.75666666666666649</v>
      </c>
      <c r="M365" s="53">
        <v>0.4572312713482603</v>
      </c>
      <c r="N365" s="78">
        <v>604.27040266289919</v>
      </c>
    </row>
    <row r="366" spans="1:14" ht="19.5" customHeight="1" outlineLevel="1" x14ac:dyDescent="0.2">
      <c r="A366" s="101">
        <v>20</v>
      </c>
      <c r="B366" s="81" t="s">
        <v>27</v>
      </c>
      <c r="C366" s="84">
        <v>0</v>
      </c>
      <c r="D366" s="53">
        <v>0</v>
      </c>
      <c r="E366" s="78">
        <v>0</v>
      </c>
      <c r="F366" s="84">
        <v>0</v>
      </c>
      <c r="G366" s="53">
        <v>0</v>
      </c>
      <c r="H366" s="78">
        <v>0</v>
      </c>
      <c r="I366" s="84">
        <v>0.03</v>
      </c>
      <c r="J366" s="53">
        <v>1.7098734740650656E-2</v>
      </c>
      <c r="K366" s="78">
        <v>569.95782468835523</v>
      </c>
      <c r="L366" s="84">
        <v>0.03</v>
      </c>
      <c r="M366" s="53">
        <v>1.7098734740650656E-2</v>
      </c>
      <c r="N366" s="78">
        <v>569.95782468835523</v>
      </c>
    </row>
    <row r="367" spans="1:14" ht="19.5" customHeight="1" outlineLevel="1" x14ac:dyDescent="0.2">
      <c r="A367" s="101">
        <v>21</v>
      </c>
      <c r="B367" s="81" t="s">
        <v>28</v>
      </c>
      <c r="C367" s="84">
        <v>6.36</v>
      </c>
      <c r="D367" s="53">
        <v>3.8850638573616614</v>
      </c>
      <c r="E367" s="78">
        <v>610.85909706944358</v>
      </c>
      <c r="F367" s="84">
        <v>2.62</v>
      </c>
      <c r="G367" s="53">
        <v>1.6857540067824988</v>
      </c>
      <c r="H367" s="78">
        <v>643.41755984064832</v>
      </c>
      <c r="I367" s="84">
        <v>1.5</v>
      </c>
      <c r="J367" s="53">
        <v>0.85493673703253281</v>
      </c>
      <c r="K367" s="78">
        <v>569.95782468835523</v>
      </c>
      <c r="L367" s="84">
        <v>3.4933333333333336</v>
      </c>
      <c r="M367" s="53">
        <v>2.1419182003922312</v>
      </c>
      <c r="N367" s="78">
        <v>613.14452301304323</v>
      </c>
    </row>
    <row r="368" spans="1:14" ht="19.5" customHeight="1" outlineLevel="1" x14ac:dyDescent="0.2">
      <c r="A368" s="101">
        <v>22</v>
      </c>
      <c r="B368" s="81" t="s">
        <v>29</v>
      </c>
      <c r="C368" s="84">
        <v>3.46</v>
      </c>
      <c r="D368" s="53">
        <v>2.1135724758602747</v>
      </c>
      <c r="E368" s="78">
        <v>610.85909706944358</v>
      </c>
      <c r="F368" s="84">
        <v>1.36</v>
      </c>
      <c r="G368" s="53">
        <v>0.87504788138328182</v>
      </c>
      <c r="H368" s="78">
        <v>643.41755984064832</v>
      </c>
      <c r="I368" s="84">
        <v>2.4300000000000002</v>
      </c>
      <c r="J368" s="53">
        <v>1.3849975139927033</v>
      </c>
      <c r="K368" s="78">
        <v>569.95782468835523</v>
      </c>
      <c r="L368" s="84">
        <v>2.4166666666666665</v>
      </c>
      <c r="M368" s="53">
        <v>1.4578726237454198</v>
      </c>
      <c r="N368" s="78">
        <v>603.25763741189792</v>
      </c>
    </row>
    <row r="369" spans="1:14" ht="19.5" customHeight="1" outlineLevel="1" x14ac:dyDescent="0.2">
      <c r="A369" s="101">
        <v>23</v>
      </c>
      <c r="B369" s="81" t="s">
        <v>30</v>
      </c>
      <c r="C369" s="84">
        <v>4.4000000000000004</v>
      </c>
      <c r="D369" s="53">
        <v>2.6877800271055521</v>
      </c>
      <c r="E369" s="78">
        <v>610.85909706944358</v>
      </c>
      <c r="F369" s="84">
        <v>1.88</v>
      </c>
      <c r="G369" s="53">
        <v>1.2096250125004187</v>
      </c>
      <c r="H369" s="78">
        <v>643.41755984064832</v>
      </c>
      <c r="I369" s="84">
        <v>2.29</v>
      </c>
      <c r="J369" s="53">
        <v>1.3052034185363335</v>
      </c>
      <c r="K369" s="78">
        <v>569.95782468835523</v>
      </c>
      <c r="L369" s="84">
        <v>2.8566666666666669</v>
      </c>
      <c r="M369" s="53">
        <v>1.7342028193807681</v>
      </c>
      <c r="N369" s="78">
        <v>607.07216547751511</v>
      </c>
    </row>
    <row r="370" spans="1:14" ht="19.5" customHeight="1" outlineLevel="1" x14ac:dyDescent="0.2">
      <c r="A370" s="101">
        <v>24</v>
      </c>
      <c r="B370" s="81" t="s">
        <v>31</v>
      </c>
      <c r="C370" s="84">
        <v>8.85</v>
      </c>
      <c r="D370" s="53">
        <v>6.0896850000000002</v>
      </c>
      <c r="E370" s="78">
        <v>688.1</v>
      </c>
      <c r="F370" s="84">
        <v>6.59</v>
      </c>
      <c r="G370" s="53">
        <v>3.9540000000000002</v>
      </c>
      <c r="H370" s="78">
        <v>600</v>
      </c>
      <c r="I370" s="84">
        <v>5.88</v>
      </c>
      <c r="J370" s="53">
        <v>3.3513520091675288</v>
      </c>
      <c r="K370" s="78">
        <v>569.95782468835523</v>
      </c>
      <c r="L370" s="84">
        <v>7.1066666666666665</v>
      </c>
      <c r="M370" s="53">
        <v>4.4650123363891767</v>
      </c>
      <c r="N370" s="78">
        <v>628.28503795344898</v>
      </c>
    </row>
    <row r="371" spans="1:14" ht="19.5" customHeight="1" outlineLevel="1" x14ac:dyDescent="0.2">
      <c r="A371" s="101">
        <v>25</v>
      </c>
      <c r="B371" s="81" t="s">
        <v>32</v>
      </c>
      <c r="C371" s="84">
        <v>0</v>
      </c>
      <c r="D371" s="53">
        <v>0</v>
      </c>
      <c r="E371" s="78">
        <v>0</v>
      </c>
      <c r="F371" s="84">
        <v>0.1</v>
      </c>
      <c r="G371" s="53">
        <v>6.434175598406483E-2</v>
      </c>
      <c r="H371" s="78">
        <v>643.41755984064832</v>
      </c>
      <c r="I371" s="84">
        <v>0.49</v>
      </c>
      <c r="J371" s="53">
        <v>0.27927933409729405</v>
      </c>
      <c r="K371" s="78">
        <v>569.95782468835523</v>
      </c>
      <c r="L371" s="84">
        <v>0.29499999999999998</v>
      </c>
      <c r="M371" s="53">
        <v>0.17181054504067944</v>
      </c>
      <c r="N371" s="78">
        <v>582.40862725654051</v>
      </c>
    </row>
    <row r="372" spans="1:14" ht="19.5" customHeight="1" outlineLevel="1" x14ac:dyDescent="0.2">
      <c r="A372" s="101">
        <v>26</v>
      </c>
      <c r="B372" s="81" t="s">
        <v>33</v>
      </c>
      <c r="C372" s="84">
        <v>64.39</v>
      </c>
      <c r="D372" s="53">
        <v>38.636038499655889</v>
      </c>
      <c r="E372" s="78">
        <v>600.03165863730214</v>
      </c>
      <c r="F372" s="84">
        <v>35.81</v>
      </c>
      <c r="G372" s="53">
        <v>22.061343721633886</v>
      </c>
      <c r="H372" s="78">
        <v>616.06656580937965</v>
      </c>
      <c r="I372" s="84">
        <v>50.65</v>
      </c>
      <c r="J372" s="53">
        <v>29.776434325422276</v>
      </c>
      <c r="K372" s="78">
        <v>587.88616634594825</v>
      </c>
      <c r="L372" s="84">
        <v>50.283333333333331</v>
      </c>
      <c r="M372" s="53">
        <v>30.157938848904013</v>
      </c>
      <c r="N372" s="78">
        <v>599.76013620624497</v>
      </c>
    </row>
    <row r="373" spans="1:14" ht="19.5" customHeight="1" outlineLevel="1" x14ac:dyDescent="0.2">
      <c r="A373" s="101">
        <v>27</v>
      </c>
      <c r="B373" s="81" t="s">
        <v>34</v>
      </c>
      <c r="C373" s="84">
        <v>5.62</v>
      </c>
      <c r="D373" s="53">
        <v>4.9096320000000002</v>
      </c>
      <c r="E373" s="78">
        <v>873.6</v>
      </c>
      <c r="F373" s="84">
        <v>2.68</v>
      </c>
      <c r="G373" s="53">
        <v>1.7243590603729375</v>
      </c>
      <c r="H373" s="78">
        <v>643.41755984064832</v>
      </c>
      <c r="I373" s="84">
        <v>0.87</v>
      </c>
      <c r="J373" s="53">
        <v>0.49586330747886903</v>
      </c>
      <c r="K373" s="78">
        <v>569.95782468835523</v>
      </c>
      <c r="L373" s="84">
        <v>3.0566666666666666</v>
      </c>
      <c r="M373" s="53">
        <v>2.3766181226172689</v>
      </c>
      <c r="N373" s="78">
        <v>777.51956028918289</v>
      </c>
    </row>
    <row r="374" spans="1:14" ht="19.5" customHeight="1" outlineLevel="1" x14ac:dyDescent="0.2">
      <c r="A374" s="101">
        <v>28</v>
      </c>
      <c r="B374" s="81" t="s">
        <v>35</v>
      </c>
      <c r="C374" s="84">
        <v>9.15</v>
      </c>
      <c r="D374" s="53">
        <v>7.9019400000000006</v>
      </c>
      <c r="E374" s="78">
        <v>863.6</v>
      </c>
      <c r="F374" s="84">
        <v>8.57</v>
      </c>
      <c r="G374" s="53">
        <v>9.449129869822487</v>
      </c>
      <c r="H374" s="78">
        <v>1102.5822485207102</v>
      </c>
      <c r="I374" s="84">
        <v>6.11</v>
      </c>
      <c r="J374" s="53">
        <v>6.7576599999999987</v>
      </c>
      <c r="K374" s="78">
        <v>1105.9999999999998</v>
      </c>
      <c r="L374" s="84">
        <v>7.9433333333333325</v>
      </c>
      <c r="M374" s="53">
        <v>8.0362432899408294</v>
      </c>
      <c r="N374" s="78">
        <v>1011.6965954604486</v>
      </c>
    </row>
    <row r="375" spans="1:14" ht="19.5" customHeight="1" outlineLevel="1" x14ac:dyDescent="0.2">
      <c r="A375" s="101">
        <v>29</v>
      </c>
      <c r="B375" s="81" t="s">
        <v>36</v>
      </c>
      <c r="C375" s="84">
        <v>10.31</v>
      </c>
      <c r="D375" s="53">
        <v>10.446092</v>
      </c>
      <c r="E375" s="78">
        <v>1013.2</v>
      </c>
      <c r="F375" s="84">
        <v>8.31</v>
      </c>
      <c r="G375" s="53">
        <v>10.407444000000002</v>
      </c>
      <c r="H375" s="78">
        <v>1252.4000000000001</v>
      </c>
      <c r="I375" s="84">
        <v>6.5</v>
      </c>
      <c r="J375" s="53">
        <v>5.2208000000000014</v>
      </c>
      <c r="K375" s="78">
        <v>803.20000000000016</v>
      </c>
      <c r="L375" s="84">
        <v>8.3733333333333331</v>
      </c>
      <c r="M375" s="53">
        <v>8.6914453333333341</v>
      </c>
      <c r="N375" s="78">
        <v>1037.9910828025479</v>
      </c>
    </row>
    <row r="376" spans="1:14" ht="19.5" customHeight="1" outlineLevel="1" x14ac:dyDescent="0.2">
      <c r="A376" s="101">
        <v>30</v>
      </c>
      <c r="B376" s="81" t="s">
        <v>37</v>
      </c>
      <c r="C376" s="84">
        <v>91.23</v>
      </c>
      <c r="D376" s="53">
        <v>74.687540000000013</v>
      </c>
      <c r="E376" s="78">
        <v>818.67302422448768</v>
      </c>
      <c r="F376" s="84">
        <v>94</v>
      </c>
      <c r="G376" s="53">
        <v>95.034920000000014</v>
      </c>
      <c r="H376" s="78">
        <v>1011.0097872340426</v>
      </c>
      <c r="I376" s="84">
        <v>66.87</v>
      </c>
      <c r="J376" s="53">
        <v>59.950064000000005</v>
      </c>
      <c r="K376" s="78">
        <v>896.51658441752659</v>
      </c>
      <c r="L376" s="84">
        <v>84.033333333333346</v>
      </c>
      <c r="M376" s="53">
        <v>76.557507999999999</v>
      </c>
      <c r="N376" s="78">
        <v>911.03738199127315</v>
      </c>
    </row>
    <row r="377" spans="1:14" ht="19.5" customHeight="1" outlineLevel="1" x14ac:dyDescent="0.2">
      <c r="A377" s="101">
        <v>31</v>
      </c>
      <c r="B377" s="81" t="s">
        <v>38</v>
      </c>
      <c r="C377" s="84">
        <v>1.53</v>
      </c>
      <c r="D377" s="53">
        <v>0.93461441851624871</v>
      </c>
      <c r="E377" s="78">
        <v>610.85909706944358</v>
      </c>
      <c r="F377" s="84">
        <v>0.94</v>
      </c>
      <c r="G377" s="53">
        <v>0.60481250625020933</v>
      </c>
      <c r="H377" s="78">
        <v>643.41755984064832</v>
      </c>
      <c r="I377" s="84">
        <v>1.71</v>
      </c>
      <c r="J377" s="53">
        <v>0.97462788021708746</v>
      </c>
      <c r="K377" s="78">
        <v>569.95782468835523</v>
      </c>
      <c r="L377" s="84">
        <v>1.3933333333333333</v>
      </c>
      <c r="M377" s="53">
        <v>0.83801826832784843</v>
      </c>
      <c r="N377" s="78">
        <v>601.44851793864723</v>
      </c>
    </row>
    <row r="378" spans="1:14" ht="19.5" customHeight="1" outlineLevel="1" x14ac:dyDescent="0.2">
      <c r="A378" s="101">
        <v>32</v>
      </c>
      <c r="B378" s="81" t="s">
        <v>39</v>
      </c>
      <c r="C378" s="84">
        <v>35.6</v>
      </c>
      <c r="D378" s="53">
        <v>19.930384569224174</v>
      </c>
      <c r="E378" s="78">
        <v>559.84226318045432</v>
      </c>
      <c r="F378" s="84">
        <v>49.78</v>
      </c>
      <c r="G378" s="53">
        <v>28.768294182106931</v>
      </c>
      <c r="H378" s="78">
        <v>577.9086818422445</v>
      </c>
      <c r="I378" s="84">
        <v>41.84</v>
      </c>
      <c r="J378" s="53">
        <v>26.660420962843297</v>
      </c>
      <c r="K378" s="78">
        <v>637.19935379644585</v>
      </c>
      <c r="L378" s="84">
        <v>42.406666666666666</v>
      </c>
      <c r="M378" s="53">
        <v>25.119699904724797</v>
      </c>
      <c r="N378" s="78">
        <v>592.35261526626618</v>
      </c>
    </row>
    <row r="379" spans="1:14" ht="19.5" customHeight="1" outlineLevel="1" thickBot="1" x14ac:dyDescent="0.25">
      <c r="A379" s="102">
        <v>33</v>
      </c>
      <c r="B379" s="91" t="s">
        <v>40</v>
      </c>
      <c r="C379" s="92">
        <v>5.44</v>
      </c>
      <c r="D379" s="93">
        <v>3.3230734880577733</v>
      </c>
      <c r="E379" s="94">
        <v>610.85909706944358</v>
      </c>
      <c r="F379" s="92">
        <v>4.34</v>
      </c>
      <c r="G379" s="93">
        <v>2.7924322097084135</v>
      </c>
      <c r="H379" s="94">
        <v>643.41755984064832</v>
      </c>
      <c r="I379" s="92">
        <v>4.03</v>
      </c>
      <c r="J379" s="93">
        <v>2.2969300334940717</v>
      </c>
      <c r="K379" s="94">
        <v>569.95782468835523</v>
      </c>
      <c r="L379" s="92">
        <v>4.6033333333333344</v>
      </c>
      <c r="M379" s="93">
        <v>2.8041452437534193</v>
      </c>
      <c r="N379" s="94">
        <v>609.15537518177086</v>
      </c>
    </row>
    <row r="380" spans="1:14" ht="19.5" customHeight="1" thickBot="1" x14ac:dyDescent="0.25">
      <c r="A380" s="151" t="s">
        <v>41</v>
      </c>
      <c r="B380" s="152"/>
      <c r="C380" s="96">
        <v>967.99999999999989</v>
      </c>
      <c r="D380" s="97">
        <v>591.31160596322229</v>
      </c>
      <c r="E380" s="98">
        <v>610.8590970694446</v>
      </c>
      <c r="F380" s="96">
        <v>792.7299999999999</v>
      </c>
      <c r="G380" s="97">
        <v>510.05640221247654</v>
      </c>
      <c r="H380" s="98">
        <v>643.41755984064764</v>
      </c>
      <c r="I380" s="96">
        <v>838.31</v>
      </c>
      <c r="J380" s="97">
        <v>477.80134401449658</v>
      </c>
      <c r="K380" s="98">
        <v>569.95782468835705</v>
      </c>
      <c r="L380" s="96">
        <v>866.34666666666669</v>
      </c>
      <c r="M380" s="97">
        <v>526.38978406339845</v>
      </c>
      <c r="N380" s="98">
        <v>607.59717133641482</v>
      </c>
    </row>
    <row r="381" spans="1:14" ht="34.5" customHeight="1" x14ac:dyDescent="0.2">
      <c r="A381" s="153" t="s">
        <v>247</v>
      </c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</row>
    <row r="382" spans="1:14" ht="19.5" customHeight="1" thickBot="1" x14ac:dyDescent="0.25">
      <c r="A382" s="50"/>
      <c r="B382" s="138" t="s">
        <v>51</v>
      </c>
      <c r="C382" s="52"/>
      <c r="D382" s="52"/>
      <c r="E382" s="52"/>
      <c r="F382" s="52"/>
      <c r="G382" s="52"/>
      <c r="H382" s="52"/>
      <c r="I382" s="52"/>
      <c r="J382" s="52"/>
      <c r="K382" s="155" t="s">
        <v>1</v>
      </c>
      <c r="L382" s="154"/>
      <c r="M382" s="154"/>
      <c r="N382" s="154"/>
    </row>
    <row r="383" spans="1:14" ht="19.5" customHeight="1" x14ac:dyDescent="0.2">
      <c r="A383" s="156" t="s">
        <v>2</v>
      </c>
      <c r="B383" s="158" t="s">
        <v>3</v>
      </c>
      <c r="C383" s="148" t="s">
        <v>243</v>
      </c>
      <c r="D383" s="149"/>
      <c r="E383" s="150"/>
      <c r="F383" s="148" t="s">
        <v>244</v>
      </c>
      <c r="G383" s="149"/>
      <c r="H383" s="150"/>
      <c r="I383" s="148" t="s">
        <v>246</v>
      </c>
      <c r="J383" s="149"/>
      <c r="K383" s="150"/>
      <c r="L383" s="148" t="s">
        <v>4</v>
      </c>
      <c r="M383" s="149"/>
      <c r="N383" s="150"/>
    </row>
    <row r="384" spans="1:14" ht="19.5" customHeight="1" thickBot="1" x14ac:dyDescent="0.25">
      <c r="A384" s="157"/>
      <c r="B384" s="159"/>
      <c r="C384" s="85" t="s">
        <v>5</v>
      </c>
      <c r="D384" s="79" t="s">
        <v>6</v>
      </c>
      <c r="E384" s="80" t="s">
        <v>7</v>
      </c>
      <c r="F384" s="85" t="s">
        <v>5</v>
      </c>
      <c r="G384" s="79" t="s">
        <v>6</v>
      </c>
      <c r="H384" s="80" t="s">
        <v>7</v>
      </c>
      <c r="I384" s="85" t="s">
        <v>5</v>
      </c>
      <c r="J384" s="79" t="s">
        <v>6</v>
      </c>
      <c r="K384" s="80" t="s">
        <v>7</v>
      </c>
      <c r="L384" s="85" t="s">
        <v>5</v>
      </c>
      <c r="M384" s="79" t="s">
        <v>6</v>
      </c>
      <c r="N384" s="80" t="s">
        <v>7</v>
      </c>
    </row>
    <row r="385" spans="1:14" ht="19.5" customHeight="1" outlineLevel="1" x14ac:dyDescent="0.2">
      <c r="A385" s="100">
        <v>1</v>
      </c>
      <c r="B385" s="86" t="s">
        <v>8</v>
      </c>
      <c r="C385" s="87">
        <v>0.85</v>
      </c>
      <c r="D385" s="88">
        <v>0.98852076980715819</v>
      </c>
      <c r="E385" s="89">
        <v>1162.9656115378332</v>
      </c>
      <c r="F385" s="87">
        <v>3</v>
      </c>
      <c r="G385" s="88">
        <v>3.8367303938828723</v>
      </c>
      <c r="H385" s="89">
        <v>1278.9101312942907</v>
      </c>
      <c r="I385" s="87">
        <v>90.31</v>
      </c>
      <c r="J385" s="88">
        <v>104.96693196784473</v>
      </c>
      <c r="K385" s="89">
        <v>1162.295780842041</v>
      </c>
      <c r="L385" s="87">
        <v>31.386666666666667</v>
      </c>
      <c r="M385" s="88">
        <v>36.597394377178254</v>
      </c>
      <c r="N385" s="89">
        <v>1166.0172380154499</v>
      </c>
    </row>
    <row r="386" spans="1:14" ht="19.5" customHeight="1" outlineLevel="1" x14ac:dyDescent="0.2">
      <c r="A386" s="101">
        <v>2</v>
      </c>
      <c r="B386" s="81" t="s">
        <v>9</v>
      </c>
      <c r="C386" s="84">
        <v>1.37</v>
      </c>
      <c r="D386" s="53">
        <v>1.5932628878068316</v>
      </c>
      <c r="E386" s="78">
        <v>1162.9656115378332</v>
      </c>
      <c r="F386" s="84">
        <v>3.1</v>
      </c>
      <c r="G386" s="53">
        <v>3.9646214070123014</v>
      </c>
      <c r="H386" s="78">
        <v>1278.9101312942907</v>
      </c>
      <c r="I386" s="84">
        <v>2.15</v>
      </c>
      <c r="J386" s="53">
        <v>2.4989359288103885</v>
      </c>
      <c r="K386" s="78">
        <v>1162.295780842041</v>
      </c>
      <c r="L386" s="84">
        <v>2.206666666666667</v>
      </c>
      <c r="M386" s="53">
        <v>2.6856067412098406</v>
      </c>
      <c r="N386" s="78">
        <v>1217.042329853402</v>
      </c>
    </row>
    <row r="387" spans="1:14" ht="19.5" customHeight="1" outlineLevel="1" x14ac:dyDescent="0.2">
      <c r="A387" s="101">
        <v>3</v>
      </c>
      <c r="B387" s="81" t="s">
        <v>10</v>
      </c>
      <c r="C387" s="84">
        <v>4.55</v>
      </c>
      <c r="D387" s="53">
        <v>5.2914935324971415</v>
      </c>
      <c r="E387" s="78">
        <v>1162.9656115378332</v>
      </c>
      <c r="F387" s="84">
        <v>2.73</v>
      </c>
      <c r="G387" s="53">
        <v>3.4914246584334139</v>
      </c>
      <c r="H387" s="78">
        <v>1278.9101312942907</v>
      </c>
      <c r="I387" s="84">
        <v>45.65</v>
      </c>
      <c r="J387" s="53">
        <v>53.058802395439166</v>
      </c>
      <c r="K387" s="78">
        <v>1162.295780842041</v>
      </c>
      <c r="L387" s="84">
        <v>17.643333333333334</v>
      </c>
      <c r="M387" s="53">
        <v>20.61390686212324</v>
      </c>
      <c r="N387" s="78">
        <v>1168.3680443296753</v>
      </c>
    </row>
    <row r="388" spans="1:14" ht="19.5" customHeight="1" outlineLevel="1" x14ac:dyDescent="0.2">
      <c r="A388" s="101">
        <v>4</v>
      </c>
      <c r="B388" s="81" t="s">
        <v>11</v>
      </c>
      <c r="C388" s="84">
        <v>0.46</v>
      </c>
      <c r="D388" s="53">
        <v>0.5349641813074032</v>
      </c>
      <c r="E388" s="78">
        <v>1162.9656115378332</v>
      </c>
      <c r="F388" s="84">
        <v>1.98</v>
      </c>
      <c r="G388" s="53">
        <v>2.5322420599626958</v>
      </c>
      <c r="H388" s="78">
        <v>1278.9101312942907</v>
      </c>
      <c r="I388" s="84">
        <v>16.829999999999998</v>
      </c>
      <c r="J388" s="53">
        <v>19.561437991571548</v>
      </c>
      <c r="K388" s="78">
        <v>1162.295780842041</v>
      </c>
      <c r="L388" s="84">
        <v>6.4233333333333329</v>
      </c>
      <c r="M388" s="53">
        <v>7.5428814109472162</v>
      </c>
      <c r="N388" s="78">
        <v>1174.2939404692086</v>
      </c>
    </row>
    <row r="389" spans="1:14" ht="19.5" customHeight="1" outlineLevel="1" x14ac:dyDescent="0.2">
      <c r="A389" s="101">
        <v>5</v>
      </c>
      <c r="B389" s="81" t="s">
        <v>12</v>
      </c>
      <c r="C389" s="84">
        <v>50.23</v>
      </c>
      <c r="D389" s="53">
        <v>70.125174330391502</v>
      </c>
      <c r="E389" s="78">
        <v>1396.0815116542205</v>
      </c>
      <c r="F389" s="84">
        <v>19.809999999999999</v>
      </c>
      <c r="G389" s="53">
        <v>25.168631413333333</v>
      </c>
      <c r="H389" s="78">
        <v>1270.5013333333334</v>
      </c>
      <c r="I389" s="84">
        <v>19.88</v>
      </c>
      <c r="J389" s="53">
        <v>23.714160250783696</v>
      </c>
      <c r="K389" s="78">
        <v>1192.8652037617553</v>
      </c>
      <c r="L389" s="84">
        <v>29.973333333333329</v>
      </c>
      <c r="M389" s="53">
        <v>39.669321998169508</v>
      </c>
      <c r="N389" s="78">
        <v>1323.4871663090362</v>
      </c>
    </row>
    <row r="390" spans="1:14" ht="19.5" customHeight="1" outlineLevel="1" x14ac:dyDescent="0.2">
      <c r="A390" s="101">
        <v>6</v>
      </c>
      <c r="B390" s="81" t="s">
        <v>13</v>
      </c>
      <c r="C390" s="84">
        <v>29.65</v>
      </c>
      <c r="D390" s="53">
        <v>31.800720059992504</v>
      </c>
      <c r="E390" s="78">
        <v>1072.5369328833897</v>
      </c>
      <c r="F390" s="84">
        <v>26.03</v>
      </c>
      <c r="G390" s="53">
        <v>26.645634327257319</v>
      </c>
      <c r="H390" s="78">
        <v>1023.6509537939806</v>
      </c>
      <c r="I390" s="84">
        <v>25.05</v>
      </c>
      <c r="J390" s="53">
        <v>26.058351387096781</v>
      </c>
      <c r="K390" s="78">
        <v>1040.253548387097</v>
      </c>
      <c r="L390" s="84">
        <v>26.91</v>
      </c>
      <c r="M390" s="53">
        <v>28.168235258115534</v>
      </c>
      <c r="N390" s="78">
        <v>1046.7571630663519</v>
      </c>
    </row>
    <row r="391" spans="1:14" ht="19.5" customHeight="1" outlineLevel="1" x14ac:dyDescent="0.2">
      <c r="A391" s="101">
        <v>7</v>
      </c>
      <c r="B391" s="81" t="s">
        <v>14</v>
      </c>
      <c r="C391" s="84">
        <v>7.0000000000000007E-2</v>
      </c>
      <c r="D391" s="53">
        <v>8.1407592807648324E-2</v>
      </c>
      <c r="E391" s="78">
        <v>1162.9656115378332</v>
      </c>
      <c r="F391" s="84">
        <v>0.66</v>
      </c>
      <c r="G391" s="53">
        <v>0.84408068665423197</v>
      </c>
      <c r="H391" s="78">
        <v>1278.9101312942907</v>
      </c>
      <c r="I391" s="84">
        <v>0.54</v>
      </c>
      <c r="J391" s="53">
        <v>0.62763972165470217</v>
      </c>
      <c r="K391" s="78">
        <v>1162.295780842041</v>
      </c>
      <c r="L391" s="84">
        <v>0.42333333333333334</v>
      </c>
      <c r="M391" s="53">
        <v>0.51770933370552752</v>
      </c>
      <c r="N391" s="78">
        <v>1222.9354339500651</v>
      </c>
    </row>
    <row r="392" spans="1:14" ht="19.5" customHeight="1" outlineLevel="1" x14ac:dyDescent="0.2">
      <c r="A392" s="101">
        <v>8</v>
      </c>
      <c r="B392" s="81" t="s">
        <v>15</v>
      </c>
      <c r="C392" s="84">
        <v>136.03</v>
      </c>
      <c r="D392" s="53">
        <v>117.66105903370786</v>
      </c>
      <c r="E392" s="78">
        <v>864.96404494382023</v>
      </c>
      <c r="F392" s="84">
        <v>147.9</v>
      </c>
      <c r="G392" s="53">
        <v>194.32772841973772</v>
      </c>
      <c r="H392" s="78">
        <v>1313.9129710597547</v>
      </c>
      <c r="I392" s="84">
        <v>233.86</v>
      </c>
      <c r="J392" s="53">
        <v>272.5506858510056</v>
      </c>
      <c r="K392" s="78">
        <v>1165.4437947960557</v>
      </c>
      <c r="L392" s="84">
        <v>172.59666666666666</v>
      </c>
      <c r="M392" s="53">
        <v>194.84649110148371</v>
      </c>
      <c r="N392" s="78">
        <v>1128.9122487967152</v>
      </c>
    </row>
    <row r="393" spans="1:14" ht="19.5" customHeight="1" outlineLevel="1" x14ac:dyDescent="0.2">
      <c r="A393" s="101">
        <v>9</v>
      </c>
      <c r="B393" s="81" t="s">
        <v>16</v>
      </c>
      <c r="C393" s="84">
        <v>12.78</v>
      </c>
      <c r="D393" s="53">
        <v>15.908543999999997</v>
      </c>
      <c r="E393" s="78">
        <v>1244.8</v>
      </c>
      <c r="F393" s="84">
        <v>29.55</v>
      </c>
      <c r="G393" s="53">
        <v>30.046439999999997</v>
      </c>
      <c r="H393" s="78">
        <v>1016.8</v>
      </c>
      <c r="I393" s="84">
        <v>224.84</v>
      </c>
      <c r="J393" s="53">
        <v>254.428944</v>
      </c>
      <c r="K393" s="78">
        <v>1131.5999999999999</v>
      </c>
      <c r="L393" s="84">
        <v>89.056666666666672</v>
      </c>
      <c r="M393" s="53">
        <v>100.12797599999999</v>
      </c>
      <c r="N393" s="78">
        <v>1124.3175805666804</v>
      </c>
    </row>
    <row r="394" spans="1:14" ht="19.5" customHeight="1" outlineLevel="1" x14ac:dyDescent="0.2">
      <c r="A394" s="101">
        <v>10</v>
      </c>
      <c r="B394" s="81" t="s">
        <v>17</v>
      </c>
      <c r="C394" s="84">
        <v>18.600000000000001</v>
      </c>
      <c r="D394" s="53">
        <v>21.631160374603699</v>
      </c>
      <c r="E394" s="78">
        <v>1162.9656115378332</v>
      </c>
      <c r="F394" s="84">
        <v>10.25</v>
      </c>
      <c r="G394" s="53">
        <v>15.8506</v>
      </c>
      <c r="H394" s="78">
        <v>1546.4</v>
      </c>
      <c r="I394" s="84">
        <v>27.21</v>
      </c>
      <c r="J394" s="53">
        <v>19.585757999999998</v>
      </c>
      <c r="K394" s="78">
        <v>719.8</v>
      </c>
      <c r="L394" s="84">
        <v>18.686666666666667</v>
      </c>
      <c r="M394" s="53">
        <v>19.022506124867899</v>
      </c>
      <c r="N394" s="78">
        <v>1017.9721436782678</v>
      </c>
    </row>
    <row r="395" spans="1:14" ht="19.5" customHeight="1" outlineLevel="1" x14ac:dyDescent="0.2">
      <c r="A395" s="101">
        <v>11</v>
      </c>
      <c r="B395" s="81" t="s">
        <v>18</v>
      </c>
      <c r="C395" s="84">
        <v>30.72</v>
      </c>
      <c r="D395" s="53">
        <v>60.192764242201825</v>
      </c>
      <c r="E395" s="78">
        <v>1959.3998776758408</v>
      </c>
      <c r="F395" s="84">
        <v>32.770000000000003</v>
      </c>
      <c r="G395" s="53">
        <v>59.659815533742339</v>
      </c>
      <c r="H395" s="78">
        <v>1820.5619631901841</v>
      </c>
      <c r="I395" s="84">
        <v>47.97</v>
      </c>
      <c r="J395" s="53">
        <v>96.239238017231457</v>
      </c>
      <c r="K395" s="78">
        <v>2006.2380241240664</v>
      </c>
      <c r="L395" s="84">
        <v>37.153333333333336</v>
      </c>
      <c r="M395" s="53">
        <v>72.030605931058531</v>
      </c>
      <c r="N395" s="78">
        <v>1938.7387205560342</v>
      </c>
    </row>
    <row r="396" spans="1:14" ht="19.5" customHeight="1" outlineLevel="1" x14ac:dyDescent="0.2">
      <c r="A396" s="101">
        <v>12</v>
      </c>
      <c r="B396" s="81" t="s">
        <v>19</v>
      </c>
      <c r="C396" s="84">
        <v>22.6</v>
      </c>
      <c r="D396" s="53">
        <v>26.283022820755033</v>
      </c>
      <c r="E396" s="78">
        <v>1162.9656115378332</v>
      </c>
      <c r="F396" s="84">
        <v>26.11</v>
      </c>
      <c r="G396" s="53">
        <v>47.385223595567872</v>
      </c>
      <c r="H396" s="78">
        <v>1814.8304709141275</v>
      </c>
      <c r="I396" s="84">
        <v>54.35</v>
      </c>
      <c r="J396" s="53">
        <v>86.126502853185599</v>
      </c>
      <c r="K396" s="78">
        <v>1584.6642659279778</v>
      </c>
      <c r="L396" s="84">
        <v>34.353333333333332</v>
      </c>
      <c r="M396" s="53">
        <v>53.264916423169495</v>
      </c>
      <c r="N396" s="78">
        <v>1550.5021275908064</v>
      </c>
    </row>
    <row r="397" spans="1:14" ht="19.5" customHeight="1" outlineLevel="1" x14ac:dyDescent="0.2">
      <c r="A397" s="101">
        <v>13</v>
      </c>
      <c r="B397" s="81" t="s">
        <v>20</v>
      </c>
      <c r="C397" s="84">
        <v>0</v>
      </c>
      <c r="D397" s="53">
        <v>0</v>
      </c>
      <c r="E397" s="78">
        <v>0</v>
      </c>
      <c r="F397" s="84">
        <v>0</v>
      </c>
      <c r="G397" s="53">
        <v>0</v>
      </c>
      <c r="H397" s="78">
        <v>0</v>
      </c>
      <c r="I397" s="84">
        <v>0.09</v>
      </c>
      <c r="J397" s="53">
        <v>0.10460662027578368</v>
      </c>
      <c r="K397" s="78">
        <v>1162.295780842041</v>
      </c>
      <c r="L397" s="84">
        <v>0.09</v>
      </c>
      <c r="M397" s="53">
        <v>0.10460662027578368</v>
      </c>
      <c r="N397" s="78">
        <v>1162.295780842041</v>
      </c>
    </row>
    <row r="398" spans="1:14" ht="19.5" customHeight="1" outlineLevel="1" x14ac:dyDescent="0.2">
      <c r="A398" s="101">
        <v>14</v>
      </c>
      <c r="B398" s="81" t="s">
        <v>21</v>
      </c>
      <c r="C398" s="84">
        <v>0.2</v>
      </c>
      <c r="D398" s="53">
        <v>0.23259312230756665</v>
      </c>
      <c r="E398" s="78">
        <v>1162.9656115378332</v>
      </c>
      <c r="F398" s="84">
        <v>0.6</v>
      </c>
      <c r="G398" s="53">
        <v>0.76734607877657446</v>
      </c>
      <c r="H398" s="78">
        <v>1278.9101312942907</v>
      </c>
      <c r="I398" s="84">
        <v>0.7</v>
      </c>
      <c r="J398" s="53">
        <v>0.81360704658942873</v>
      </c>
      <c r="K398" s="78">
        <v>1162.295780842041</v>
      </c>
      <c r="L398" s="84">
        <v>0.5</v>
      </c>
      <c r="M398" s="53">
        <v>0.60451541589118996</v>
      </c>
      <c r="N398" s="78">
        <v>1209.0308317823799</v>
      </c>
    </row>
    <row r="399" spans="1:14" ht="19.5" customHeight="1" outlineLevel="1" x14ac:dyDescent="0.2">
      <c r="A399" s="101">
        <v>15</v>
      </c>
      <c r="B399" s="81" t="s">
        <v>22</v>
      </c>
      <c r="C399" s="84">
        <v>108.55</v>
      </c>
      <c r="D399" s="53">
        <v>235.94580917658726</v>
      </c>
      <c r="E399" s="78">
        <v>2173.614087301587</v>
      </c>
      <c r="F399" s="84">
        <v>119.3</v>
      </c>
      <c r="G399" s="53">
        <v>411.32445613840241</v>
      </c>
      <c r="H399" s="78">
        <v>3447.8160615121742</v>
      </c>
      <c r="I399" s="84">
        <v>209.8</v>
      </c>
      <c r="J399" s="53">
        <v>369.19456233894954</v>
      </c>
      <c r="K399" s="78">
        <v>1759.7452923686822</v>
      </c>
      <c r="L399" s="84">
        <v>145.88333333333333</v>
      </c>
      <c r="M399" s="53">
        <v>338.82160921797976</v>
      </c>
      <c r="N399" s="78">
        <v>2322.551873995063</v>
      </c>
    </row>
    <row r="400" spans="1:14" ht="19.5" customHeight="1" outlineLevel="1" x14ac:dyDescent="0.2">
      <c r="A400" s="101">
        <v>16</v>
      </c>
      <c r="B400" s="81" t="s">
        <v>23</v>
      </c>
      <c r="C400" s="84">
        <v>11.45</v>
      </c>
      <c r="D400" s="53">
        <v>13.31595625210819</v>
      </c>
      <c r="E400" s="78">
        <v>1162.9656115378332</v>
      </c>
      <c r="F400" s="84">
        <v>18.2</v>
      </c>
      <c r="G400" s="53">
        <v>29.949919999999999</v>
      </c>
      <c r="H400" s="78">
        <v>1645.6</v>
      </c>
      <c r="I400" s="84">
        <v>14.33</v>
      </c>
      <c r="J400" s="53">
        <v>24.183307999999997</v>
      </c>
      <c r="K400" s="78">
        <v>1687.6</v>
      </c>
      <c r="L400" s="84">
        <v>14.659999999999998</v>
      </c>
      <c r="M400" s="53">
        <v>22.483061417369395</v>
      </c>
      <c r="N400" s="78">
        <v>1533.6331116895906</v>
      </c>
    </row>
    <row r="401" spans="1:14" ht="19.5" customHeight="1" outlineLevel="1" x14ac:dyDescent="0.2">
      <c r="A401" s="101">
        <v>17</v>
      </c>
      <c r="B401" s="81" t="s">
        <v>24</v>
      </c>
      <c r="C401" s="84">
        <v>25.65</v>
      </c>
      <c r="D401" s="53">
        <v>24.818939999999994</v>
      </c>
      <c r="E401" s="78">
        <v>967.59999999999991</v>
      </c>
      <c r="F401" s="84">
        <v>13.72</v>
      </c>
      <c r="G401" s="53">
        <v>15.889742800894854</v>
      </c>
      <c r="H401" s="78">
        <v>1158.1445190156599</v>
      </c>
      <c r="I401" s="84">
        <v>18.010000000000002</v>
      </c>
      <c r="J401" s="53">
        <v>23.268920000000001</v>
      </c>
      <c r="K401" s="78">
        <v>1292</v>
      </c>
      <c r="L401" s="84">
        <v>19.126666666666665</v>
      </c>
      <c r="M401" s="53">
        <v>21.325867600298285</v>
      </c>
      <c r="N401" s="78">
        <v>1114.9808783704227</v>
      </c>
    </row>
    <row r="402" spans="1:14" ht="19.5" customHeight="1" outlineLevel="1" x14ac:dyDescent="0.2">
      <c r="A402" s="101">
        <v>18</v>
      </c>
      <c r="B402" s="81" t="s">
        <v>25</v>
      </c>
      <c r="C402" s="84">
        <v>10.96</v>
      </c>
      <c r="D402" s="53">
        <v>12.746103102454653</v>
      </c>
      <c r="E402" s="78">
        <v>1162.9656115378332</v>
      </c>
      <c r="F402" s="84">
        <v>5.69</v>
      </c>
      <c r="G402" s="53">
        <v>7.2769986470645147</v>
      </c>
      <c r="H402" s="78">
        <v>1278.9101312942907</v>
      </c>
      <c r="I402" s="84">
        <v>5.88</v>
      </c>
      <c r="J402" s="53">
        <v>6.8342991913512012</v>
      </c>
      <c r="K402" s="78">
        <v>1162.295780842041</v>
      </c>
      <c r="L402" s="84">
        <v>7.5100000000000007</v>
      </c>
      <c r="M402" s="53">
        <v>8.952466980290124</v>
      </c>
      <c r="N402" s="78">
        <v>1192.0728335938913</v>
      </c>
    </row>
    <row r="403" spans="1:14" ht="19.5" customHeight="1" outlineLevel="1" x14ac:dyDescent="0.2">
      <c r="A403" s="101">
        <v>19</v>
      </c>
      <c r="B403" s="81" t="s">
        <v>26</v>
      </c>
      <c r="C403" s="84">
        <v>5.12</v>
      </c>
      <c r="D403" s="53">
        <v>5.9543839310737061</v>
      </c>
      <c r="E403" s="78">
        <v>1162.9656115378332</v>
      </c>
      <c r="F403" s="84">
        <v>5.97</v>
      </c>
      <c r="G403" s="53">
        <v>7.6350934838269158</v>
      </c>
      <c r="H403" s="78">
        <v>1278.9101312942907</v>
      </c>
      <c r="I403" s="84">
        <v>6.95</v>
      </c>
      <c r="J403" s="53">
        <v>8.0779556768521861</v>
      </c>
      <c r="K403" s="78">
        <v>1162.295780842041</v>
      </c>
      <c r="L403" s="84">
        <v>6.0133333333333328</v>
      </c>
      <c r="M403" s="53">
        <v>7.2224776972509348</v>
      </c>
      <c r="N403" s="78">
        <v>1201.0772223809759</v>
      </c>
    </row>
    <row r="404" spans="1:14" ht="19.5" customHeight="1" outlineLevel="1" x14ac:dyDescent="0.2">
      <c r="A404" s="101">
        <v>20</v>
      </c>
      <c r="B404" s="81" t="s">
        <v>27</v>
      </c>
      <c r="C404" s="84">
        <v>0.26</v>
      </c>
      <c r="D404" s="53">
        <v>0.30237105899983663</v>
      </c>
      <c r="E404" s="78">
        <v>1162.9656115378332</v>
      </c>
      <c r="F404" s="84">
        <v>0.24</v>
      </c>
      <c r="G404" s="53">
        <v>0.30693843151062977</v>
      </c>
      <c r="H404" s="78">
        <v>1278.9101312942907</v>
      </c>
      <c r="I404" s="84">
        <v>0.97</v>
      </c>
      <c r="J404" s="53">
        <v>1.1274269074167798</v>
      </c>
      <c r="K404" s="78">
        <v>1162.295780842041</v>
      </c>
      <c r="L404" s="84">
        <v>0.49</v>
      </c>
      <c r="M404" s="53">
        <v>0.57891213264241537</v>
      </c>
      <c r="N404" s="78">
        <v>1181.4533319232967</v>
      </c>
    </row>
    <row r="405" spans="1:14" ht="19.5" customHeight="1" outlineLevel="1" x14ac:dyDescent="0.2">
      <c r="A405" s="101">
        <v>21</v>
      </c>
      <c r="B405" s="81" t="s">
        <v>28</v>
      </c>
      <c r="C405" s="84">
        <v>6.17</v>
      </c>
      <c r="D405" s="53">
        <v>7.1754978231884303</v>
      </c>
      <c r="E405" s="78">
        <v>1162.9656115378332</v>
      </c>
      <c r="F405" s="84">
        <v>5.49</v>
      </c>
      <c r="G405" s="53">
        <v>7.0212166208056566</v>
      </c>
      <c r="H405" s="78">
        <v>1278.9101312942907</v>
      </c>
      <c r="I405" s="84">
        <v>4.04</v>
      </c>
      <c r="J405" s="53">
        <v>4.695674954601845</v>
      </c>
      <c r="K405" s="78">
        <v>1162.295780842041</v>
      </c>
      <c r="L405" s="84">
        <v>5.2333333333333334</v>
      </c>
      <c r="M405" s="53">
        <v>6.2974631328653103</v>
      </c>
      <c r="N405" s="78">
        <v>1203.3369043691675</v>
      </c>
    </row>
    <row r="406" spans="1:14" ht="19.5" customHeight="1" outlineLevel="1" x14ac:dyDescent="0.2">
      <c r="A406" s="101">
        <v>22</v>
      </c>
      <c r="B406" s="81" t="s">
        <v>29</v>
      </c>
      <c r="C406" s="84">
        <v>155.72</v>
      </c>
      <c r="D406" s="53">
        <v>243.64216006944167</v>
      </c>
      <c r="E406" s="78">
        <v>1564.6170053264943</v>
      </c>
      <c r="F406" s="84">
        <v>164.12</v>
      </c>
      <c r="G406" s="53">
        <v>283.7808020849115</v>
      </c>
      <c r="H406" s="78">
        <v>1729.1055452407475</v>
      </c>
      <c r="I406" s="84">
        <v>150.52000000000001</v>
      </c>
      <c r="J406" s="53">
        <v>222.26656489029224</v>
      </c>
      <c r="K406" s="78">
        <v>1476.6580181390661</v>
      </c>
      <c r="L406" s="84">
        <v>156.78666666666666</v>
      </c>
      <c r="M406" s="53">
        <v>249.89650901488179</v>
      </c>
      <c r="N406" s="78">
        <v>1593.8632686551693</v>
      </c>
    </row>
    <row r="407" spans="1:14" ht="19.5" customHeight="1" outlineLevel="1" x14ac:dyDescent="0.2">
      <c r="A407" s="101">
        <v>23</v>
      </c>
      <c r="B407" s="81" t="s">
        <v>30</v>
      </c>
      <c r="C407" s="84">
        <v>37.17</v>
      </c>
      <c r="D407" s="53">
        <v>27.069570442622954</v>
      </c>
      <c r="E407" s="78">
        <v>728.26393442622953</v>
      </c>
      <c r="F407" s="84">
        <v>35.97</v>
      </c>
      <c r="G407" s="53">
        <v>23.937732961832062</v>
      </c>
      <c r="H407" s="78">
        <v>665.49160305343514</v>
      </c>
      <c r="I407" s="84">
        <v>27.87</v>
      </c>
      <c r="J407" s="53">
        <v>18.818399971028487</v>
      </c>
      <c r="K407" s="78">
        <v>675.22066634476096</v>
      </c>
      <c r="L407" s="84">
        <v>33.67</v>
      </c>
      <c r="M407" s="53">
        <v>23.275234458494499</v>
      </c>
      <c r="N407" s="78">
        <v>691.27515469244122</v>
      </c>
    </row>
    <row r="408" spans="1:14" ht="19.5" customHeight="1" outlineLevel="1" x14ac:dyDescent="0.2">
      <c r="A408" s="101">
        <v>24</v>
      </c>
      <c r="B408" s="81" t="s">
        <v>31</v>
      </c>
      <c r="C408" s="84">
        <v>79.3</v>
      </c>
      <c r="D408" s="53">
        <v>42.927371756553185</v>
      </c>
      <c r="E408" s="78">
        <v>541.32877372702626</v>
      </c>
      <c r="F408" s="84">
        <v>67.08</v>
      </c>
      <c r="G408" s="53">
        <v>39.06155201927163</v>
      </c>
      <c r="H408" s="78">
        <v>582.31294006069811</v>
      </c>
      <c r="I408" s="84">
        <v>51.79</v>
      </c>
      <c r="J408" s="53">
        <v>32.351417760988362</v>
      </c>
      <c r="K408" s="78">
        <v>624.66533618436688</v>
      </c>
      <c r="L408" s="84">
        <v>66.056666666666658</v>
      </c>
      <c r="M408" s="53">
        <v>38.113447178937726</v>
      </c>
      <c r="N408" s="78">
        <v>576.9810846082313</v>
      </c>
    </row>
    <row r="409" spans="1:14" ht="19.5" customHeight="1" outlineLevel="1" x14ac:dyDescent="0.2">
      <c r="A409" s="101">
        <v>25</v>
      </c>
      <c r="B409" s="81" t="s">
        <v>32</v>
      </c>
      <c r="C409" s="84">
        <v>271.66000000000003</v>
      </c>
      <c r="D409" s="53">
        <v>365.28194999999999</v>
      </c>
      <c r="E409" s="78">
        <v>1344.6291320032392</v>
      </c>
      <c r="F409" s="84">
        <v>197.35</v>
      </c>
      <c r="G409" s="53">
        <v>247.42877800000002</v>
      </c>
      <c r="H409" s="78">
        <v>1253.7561591081835</v>
      </c>
      <c r="I409" s="84">
        <v>168.75</v>
      </c>
      <c r="J409" s="53">
        <v>204.21780999999999</v>
      </c>
      <c r="K409" s="78">
        <v>1210.1796148148148</v>
      </c>
      <c r="L409" s="84">
        <v>212.58666666666667</v>
      </c>
      <c r="M409" s="53">
        <v>272.30951266666665</v>
      </c>
      <c r="N409" s="78">
        <v>1280.9341100100351</v>
      </c>
    </row>
    <row r="410" spans="1:14" ht="19.5" customHeight="1" outlineLevel="1" x14ac:dyDescent="0.2">
      <c r="A410" s="101">
        <v>26</v>
      </c>
      <c r="B410" s="81" t="s">
        <v>33</v>
      </c>
      <c r="C410" s="84">
        <v>149.99</v>
      </c>
      <c r="D410" s="53">
        <v>160.28615200000004</v>
      </c>
      <c r="E410" s="78">
        <v>1068.6455897059805</v>
      </c>
      <c r="F410" s="84">
        <v>150.81</v>
      </c>
      <c r="G410" s="53">
        <v>163.68588600000001</v>
      </c>
      <c r="H410" s="78">
        <v>1085.3781977322458</v>
      </c>
      <c r="I410" s="84">
        <v>147.54</v>
      </c>
      <c r="J410" s="53">
        <v>133.92269200000001</v>
      </c>
      <c r="K410" s="78">
        <v>907.70429713975875</v>
      </c>
      <c r="L410" s="84">
        <v>149.44666666666669</v>
      </c>
      <c r="M410" s="53">
        <v>152.63157666666669</v>
      </c>
      <c r="N410" s="78">
        <v>1021.3113485301334</v>
      </c>
    </row>
    <row r="411" spans="1:14" ht="19.5" customHeight="1" outlineLevel="1" x14ac:dyDescent="0.2">
      <c r="A411" s="101">
        <v>27</v>
      </c>
      <c r="B411" s="81" t="s">
        <v>34</v>
      </c>
      <c r="C411" s="84">
        <v>199.43</v>
      </c>
      <c r="D411" s="53">
        <v>220.13616399999998</v>
      </c>
      <c r="E411" s="78">
        <v>1103.8267261695833</v>
      </c>
      <c r="F411" s="84">
        <v>178.13</v>
      </c>
      <c r="G411" s="53">
        <v>197.92040400000002</v>
      </c>
      <c r="H411" s="78">
        <v>1111.1009038342784</v>
      </c>
      <c r="I411" s="84">
        <v>158.94</v>
      </c>
      <c r="J411" s="53">
        <v>179.58031199999999</v>
      </c>
      <c r="K411" s="78">
        <v>1129.8622876557192</v>
      </c>
      <c r="L411" s="84">
        <v>178.83333333333334</v>
      </c>
      <c r="M411" s="53">
        <v>199.21229333333335</v>
      </c>
      <c r="N411" s="78">
        <v>1113.9550419384902</v>
      </c>
    </row>
    <row r="412" spans="1:14" ht="19.5" customHeight="1" outlineLevel="1" x14ac:dyDescent="0.2">
      <c r="A412" s="101">
        <v>28</v>
      </c>
      <c r="B412" s="81" t="s">
        <v>35</v>
      </c>
      <c r="C412" s="84">
        <v>778.7</v>
      </c>
      <c r="D412" s="53">
        <v>878.9504044364478</v>
      </c>
      <c r="E412" s="78">
        <v>1128.7407274129289</v>
      </c>
      <c r="F412" s="84">
        <v>722.33</v>
      </c>
      <c r="G412" s="53">
        <v>827.10765177548183</v>
      </c>
      <c r="H412" s="78">
        <v>1145.0551019277641</v>
      </c>
      <c r="I412" s="84">
        <v>653.41999999999996</v>
      </c>
      <c r="J412" s="53">
        <v>723.69504107218131</v>
      </c>
      <c r="K412" s="78">
        <v>1107.5495715958823</v>
      </c>
      <c r="L412" s="84">
        <v>718.15000000000009</v>
      </c>
      <c r="M412" s="53">
        <v>809.91769909470361</v>
      </c>
      <c r="N412" s="78">
        <v>1127.7834701590245</v>
      </c>
    </row>
    <row r="413" spans="1:14" ht="19.5" customHeight="1" outlineLevel="1" x14ac:dyDescent="0.2">
      <c r="A413" s="101">
        <v>29</v>
      </c>
      <c r="B413" s="81" t="s">
        <v>36</v>
      </c>
      <c r="C413" s="84">
        <v>88.52</v>
      </c>
      <c r="D413" s="53">
        <v>106.69672343496204</v>
      </c>
      <c r="E413" s="78">
        <v>1205.340300892025</v>
      </c>
      <c r="F413" s="84">
        <v>89.71</v>
      </c>
      <c r="G413" s="53">
        <v>92.1655175145725</v>
      </c>
      <c r="H413" s="78">
        <v>1027.3717257225783</v>
      </c>
      <c r="I413" s="84">
        <v>53.49</v>
      </c>
      <c r="J413" s="53">
        <v>47.223702615591925</v>
      </c>
      <c r="K413" s="78">
        <v>882.85104908565938</v>
      </c>
      <c r="L413" s="84">
        <v>77.239999999999995</v>
      </c>
      <c r="M413" s="53">
        <v>82.028647855042152</v>
      </c>
      <c r="N413" s="78">
        <v>1061.9969944982154</v>
      </c>
    </row>
    <row r="414" spans="1:14" ht="19.5" customHeight="1" outlineLevel="1" x14ac:dyDescent="0.2">
      <c r="A414" s="101">
        <v>30</v>
      </c>
      <c r="B414" s="81" t="s">
        <v>37</v>
      </c>
      <c r="C414" s="84">
        <v>34.72</v>
      </c>
      <c r="D414" s="53">
        <v>17.090599999999998</v>
      </c>
      <c r="E414" s="78">
        <v>492.24078341013819</v>
      </c>
      <c r="F414" s="84">
        <v>34.450000000000003</v>
      </c>
      <c r="G414" s="53">
        <v>13.697590000000002</v>
      </c>
      <c r="H414" s="78">
        <v>397.6078374455733</v>
      </c>
      <c r="I414" s="84">
        <v>35.159999999999997</v>
      </c>
      <c r="J414" s="53">
        <v>12.864108</v>
      </c>
      <c r="K414" s="78">
        <v>365.87337883959049</v>
      </c>
      <c r="L414" s="84">
        <v>34.776666666666664</v>
      </c>
      <c r="M414" s="53">
        <v>14.550766000000001</v>
      </c>
      <c r="N414" s="78">
        <v>418.40600019169949</v>
      </c>
    </row>
    <row r="415" spans="1:14" ht="19.5" customHeight="1" outlineLevel="1" x14ac:dyDescent="0.2">
      <c r="A415" s="101">
        <v>31</v>
      </c>
      <c r="B415" s="81" t="s">
        <v>38</v>
      </c>
      <c r="C415" s="84">
        <v>3.88</v>
      </c>
      <c r="D415" s="53">
        <v>4.5123065727667928</v>
      </c>
      <c r="E415" s="78">
        <v>1162.9656115378332</v>
      </c>
      <c r="F415" s="84">
        <v>2.62</v>
      </c>
      <c r="G415" s="53">
        <v>3.3507445439910422</v>
      </c>
      <c r="H415" s="78">
        <v>1278.9101312942907</v>
      </c>
      <c r="I415" s="84">
        <v>3.32</v>
      </c>
      <c r="J415" s="53">
        <v>3.8588219923955762</v>
      </c>
      <c r="K415" s="78">
        <v>1162.295780842041</v>
      </c>
      <c r="L415" s="84">
        <v>3.2733333333333334</v>
      </c>
      <c r="M415" s="53">
        <v>3.90729103638447</v>
      </c>
      <c r="N415" s="78">
        <v>1193.6734327040131</v>
      </c>
    </row>
    <row r="416" spans="1:14" ht="19.5" customHeight="1" outlineLevel="1" x14ac:dyDescent="0.2">
      <c r="A416" s="101">
        <v>32</v>
      </c>
      <c r="B416" s="81" t="s">
        <v>39</v>
      </c>
      <c r="C416" s="84">
        <v>60.42</v>
      </c>
      <c r="D416" s="53">
        <v>44.981280514851484</v>
      </c>
      <c r="E416" s="78">
        <v>744.47667187771401</v>
      </c>
      <c r="F416" s="84">
        <v>75.319999999999993</v>
      </c>
      <c r="G416" s="53">
        <v>53.770399613899613</v>
      </c>
      <c r="H416" s="78">
        <v>713.89271924986224</v>
      </c>
      <c r="I416" s="84">
        <v>72.42</v>
      </c>
      <c r="J416" s="53">
        <v>47.122372558006305</v>
      </c>
      <c r="K416" s="78">
        <v>650.68175307934689</v>
      </c>
      <c r="L416" s="84">
        <v>69.38666666666667</v>
      </c>
      <c r="M416" s="53">
        <v>48.624684228919136</v>
      </c>
      <c r="N416" s="78">
        <v>700.77850060894218</v>
      </c>
    </row>
    <row r="417" spans="1:14" ht="19.5" customHeight="1" outlineLevel="1" thickBot="1" x14ac:dyDescent="0.25">
      <c r="A417" s="102">
        <v>33</v>
      </c>
      <c r="B417" s="91" t="s">
        <v>40</v>
      </c>
      <c r="C417" s="92">
        <v>101.93</v>
      </c>
      <c r="D417" s="93">
        <v>70.814469381670904</v>
      </c>
      <c r="E417" s="94">
        <v>694.73628354430389</v>
      </c>
      <c r="F417" s="92">
        <v>82.21</v>
      </c>
      <c r="G417" s="93">
        <v>67.386567247336373</v>
      </c>
      <c r="H417" s="94">
        <v>819.68820395738203</v>
      </c>
      <c r="I417" s="92">
        <v>81.06</v>
      </c>
      <c r="J417" s="93">
        <v>60.733698701559902</v>
      </c>
      <c r="K417" s="94">
        <v>749.24375402861949</v>
      </c>
      <c r="L417" s="92">
        <v>88.399999999999991</v>
      </c>
      <c r="M417" s="93">
        <v>66.311578443522379</v>
      </c>
      <c r="N417" s="94">
        <v>750.13097786790024</v>
      </c>
    </row>
    <row r="418" spans="1:14" ht="19.5" customHeight="1" thickBot="1" x14ac:dyDescent="0.25">
      <c r="A418" s="151" t="s">
        <v>41</v>
      </c>
      <c r="B418" s="152"/>
      <c r="C418" s="96">
        <v>2437.7099999999996</v>
      </c>
      <c r="D418" s="97">
        <v>2834.9729009019147</v>
      </c>
      <c r="E418" s="98">
        <v>1162.965611537843</v>
      </c>
      <c r="F418" s="96">
        <v>2273.2000000000003</v>
      </c>
      <c r="G418" s="97">
        <v>2907.2185104581622</v>
      </c>
      <c r="H418" s="98">
        <v>1278.9101312942819</v>
      </c>
      <c r="I418" s="96">
        <v>2653.69</v>
      </c>
      <c r="J418" s="97">
        <v>3084.3726906627044</v>
      </c>
      <c r="K418" s="98">
        <v>1162.2957808420367</v>
      </c>
      <c r="L418" s="96">
        <v>2454.8666666666668</v>
      </c>
      <c r="M418" s="97">
        <v>2942.1880340075936</v>
      </c>
      <c r="N418" s="98">
        <v>1198.5123566823427</v>
      </c>
    </row>
    <row r="419" spans="1:14" ht="34.5" customHeight="1" x14ac:dyDescent="0.2">
      <c r="A419" s="153" t="s">
        <v>247</v>
      </c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</row>
    <row r="420" spans="1:14" ht="19.5" customHeight="1" thickBot="1" x14ac:dyDescent="0.25">
      <c r="A420" s="50"/>
      <c r="B420" s="138" t="s">
        <v>52</v>
      </c>
      <c r="C420" s="52"/>
      <c r="D420" s="52"/>
      <c r="E420" s="52"/>
      <c r="F420" s="52"/>
      <c r="G420" s="52"/>
      <c r="H420" s="52"/>
      <c r="I420" s="52"/>
      <c r="J420" s="52"/>
      <c r="K420" s="155" t="s">
        <v>1</v>
      </c>
      <c r="L420" s="154"/>
      <c r="M420" s="154"/>
      <c r="N420" s="154"/>
    </row>
    <row r="421" spans="1:14" ht="19.5" customHeight="1" x14ac:dyDescent="0.2">
      <c r="A421" s="156" t="s">
        <v>2</v>
      </c>
      <c r="B421" s="158" t="s">
        <v>3</v>
      </c>
      <c r="C421" s="148" t="s">
        <v>243</v>
      </c>
      <c r="D421" s="149"/>
      <c r="E421" s="150"/>
      <c r="F421" s="148" t="s">
        <v>244</v>
      </c>
      <c r="G421" s="149"/>
      <c r="H421" s="150"/>
      <c r="I421" s="148" t="s">
        <v>246</v>
      </c>
      <c r="J421" s="149"/>
      <c r="K421" s="150"/>
      <c r="L421" s="148" t="s">
        <v>4</v>
      </c>
      <c r="M421" s="149"/>
      <c r="N421" s="150"/>
    </row>
    <row r="422" spans="1:14" ht="19.5" customHeight="1" thickBot="1" x14ac:dyDescent="0.25">
      <c r="A422" s="157"/>
      <c r="B422" s="159"/>
      <c r="C422" s="85" t="s">
        <v>5</v>
      </c>
      <c r="D422" s="79" t="s">
        <v>6</v>
      </c>
      <c r="E422" s="80" t="s">
        <v>7</v>
      </c>
      <c r="F422" s="85" t="s">
        <v>5</v>
      </c>
      <c r="G422" s="79" t="s">
        <v>6</v>
      </c>
      <c r="H422" s="80" t="s">
        <v>7</v>
      </c>
      <c r="I422" s="85" t="s">
        <v>5</v>
      </c>
      <c r="J422" s="79" t="s">
        <v>6</v>
      </c>
      <c r="K422" s="80" t="s">
        <v>7</v>
      </c>
      <c r="L422" s="85" t="s">
        <v>5</v>
      </c>
      <c r="M422" s="79" t="s">
        <v>6</v>
      </c>
      <c r="N422" s="80" t="s">
        <v>7</v>
      </c>
    </row>
    <row r="423" spans="1:14" ht="19.5" customHeight="1" outlineLevel="1" x14ac:dyDescent="0.2">
      <c r="A423" s="100">
        <v>1</v>
      </c>
      <c r="B423" s="86" t="s">
        <v>8</v>
      </c>
      <c r="C423" s="87">
        <v>650.01</v>
      </c>
      <c r="D423" s="88">
        <v>1110.2485244</v>
      </c>
      <c r="E423" s="89">
        <v>1708.0483752557654</v>
      </c>
      <c r="F423" s="87">
        <v>641.21</v>
      </c>
      <c r="G423" s="88">
        <v>1265.9642180000001</v>
      </c>
      <c r="H423" s="89">
        <v>1974.336360942593</v>
      </c>
      <c r="I423" s="87">
        <v>786.15</v>
      </c>
      <c r="J423" s="88">
        <v>1493.5937213</v>
      </c>
      <c r="K423" s="89">
        <v>1899.8838914965336</v>
      </c>
      <c r="L423" s="87">
        <v>692.45666666666659</v>
      </c>
      <c r="M423" s="88">
        <v>1289.9354879</v>
      </c>
      <c r="N423" s="89">
        <v>1862.8392937704889</v>
      </c>
    </row>
    <row r="424" spans="1:14" ht="19.5" customHeight="1" outlineLevel="1" x14ac:dyDescent="0.2">
      <c r="A424" s="101">
        <v>2</v>
      </c>
      <c r="B424" s="81" t="s">
        <v>9</v>
      </c>
      <c r="C424" s="84">
        <v>1259.43</v>
      </c>
      <c r="D424" s="53">
        <v>3352.0734171039267</v>
      </c>
      <c r="E424" s="78">
        <v>2661.579775854098</v>
      </c>
      <c r="F424" s="84">
        <v>1486.36</v>
      </c>
      <c r="G424" s="53">
        <v>4308.146188382063</v>
      </c>
      <c r="H424" s="78">
        <v>2898.4540679122579</v>
      </c>
      <c r="I424" s="84">
        <v>1718.77</v>
      </c>
      <c r="J424" s="53">
        <v>4744.0843818148214</v>
      </c>
      <c r="K424" s="78">
        <v>2760.1624311657883</v>
      </c>
      <c r="L424" s="84">
        <v>1488.1866666666665</v>
      </c>
      <c r="M424" s="53">
        <v>4134.767995766937</v>
      </c>
      <c r="N424" s="78">
        <v>2778.3933886655823</v>
      </c>
    </row>
    <row r="425" spans="1:14" ht="19.5" customHeight="1" outlineLevel="1" x14ac:dyDescent="0.2">
      <c r="A425" s="101">
        <v>3</v>
      </c>
      <c r="B425" s="81" t="s">
        <v>10</v>
      </c>
      <c r="C425" s="84">
        <v>14.22</v>
      </c>
      <c r="D425" s="53">
        <v>28.55376</v>
      </c>
      <c r="E425" s="78">
        <v>2008</v>
      </c>
      <c r="F425" s="84">
        <v>15.09</v>
      </c>
      <c r="G425" s="53">
        <v>28.972799999999999</v>
      </c>
      <c r="H425" s="78">
        <v>1920</v>
      </c>
      <c r="I425" s="84">
        <v>52.86</v>
      </c>
      <c r="J425" s="53">
        <v>95.835179999999994</v>
      </c>
      <c r="K425" s="78">
        <v>1813</v>
      </c>
      <c r="L425" s="84">
        <v>27.39</v>
      </c>
      <c r="M425" s="53">
        <v>51.120579999999997</v>
      </c>
      <c r="N425" s="78">
        <v>1866.3957648776923</v>
      </c>
    </row>
    <row r="426" spans="1:14" ht="19.5" customHeight="1" outlineLevel="1" x14ac:dyDescent="0.2">
      <c r="A426" s="101">
        <v>4</v>
      </c>
      <c r="B426" s="81" t="s">
        <v>11</v>
      </c>
      <c r="C426" s="84">
        <v>213.38</v>
      </c>
      <c r="D426" s="53">
        <v>597.52829024801053</v>
      </c>
      <c r="E426" s="78">
        <v>2800.3012946293493</v>
      </c>
      <c r="F426" s="84">
        <v>207.8</v>
      </c>
      <c r="G426" s="53">
        <v>526.69962911586083</v>
      </c>
      <c r="H426" s="78">
        <v>2534.6469158607351</v>
      </c>
      <c r="I426" s="84">
        <v>224.55</v>
      </c>
      <c r="J426" s="53">
        <v>539.04593405629578</v>
      </c>
      <c r="K426" s="78">
        <v>2400.5608285740182</v>
      </c>
      <c r="L426" s="84">
        <v>215.24333333333334</v>
      </c>
      <c r="M426" s="53">
        <v>554.42461780672238</v>
      </c>
      <c r="N426" s="78">
        <v>2575.8039016619441</v>
      </c>
    </row>
    <row r="427" spans="1:14" ht="19.5" customHeight="1" outlineLevel="1" x14ac:dyDescent="0.2">
      <c r="A427" s="101">
        <v>5</v>
      </c>
      <c r="B427" s="81" t="s">
        <v>12</v>
      </c>
      <c r="C427" s="84">
        <v>729.66</v>
      </c>
      <c r="D427" s="53">
        <v>2132.2651326626556</v>
      </c>
      <c r="E427" s="78">
        <v>2922.2721989182028</v>
      </c>
      <c r="F427" s="84">
        <v>664.55</v>
      </c>
      <c r="G427" s="53">
        <v>2082.3386247109688</v>
      </c>
      <c r="H427" s="78">
        <v>3133.4566619682023</v>
      </c>
      <c r="I427" s="84">
        <v>776.75</v>
      </c>
      <c r="J427" s="53">
        <v>2268.0972329403839</v>
      </c>
      <c r="K427" s="78">
        <v>2919.9835634893902</v>
      </c>
      <c r="L427" s="84">
        <v>723.65333333333331</v>
      </c>
      <c r="M427" s="53">
        <v>2160.9003301046696</v>
      </c>
      <c r="N427" s="78">
        <v>2986.098772116487</v>
      </c>
    </row>
    <row r="428" spans="1:14" ht="19.5" customHeight="1" outlineLevel="1" x14ac:dyDescent="0.2">
      <c r="A428" s="101">
        <v>6</v>
      </c>
      <c r="B428" s="81" t="s">
        <v>13</v>
      </c>
      <c r="C428" s="84">
        <v>548.42999999999995</v>
      </c>
      <c r="D428" s="53">
        <v>1143.1037179999998</v>
      </c>
      <c r="E428" s="78">
        <v>2084.3201830680305</v>
      </c>
      <c r="F428" s="84">
        <v>492.8</v>
      </c>
      <c r="G428" s="53">
        <v>984.39123300000017</v>
      </c>
      <c r="H428" s="78">
        <v>1997.5471448863639</v>
      </c>
      <c r="I428" s="84">
        <v>577.03</v>
      </c>
      <c r="J428" s="53">
        <v>1288.8199155000002</v>
      </c>
      <c r="K428" s="78">
        <v>2233.5405706809006</v>
      </c>
      <c r="L428" s="84">
        <v>539.41999999999996</v>
      </c>
      <c r="M428" s="53">
        <v>1138.7716221666667</v>
      </c>
      <c r="N428" s="78">
        <v>2111.1038192255883</v>
      </c>
    </row>
    <row r="429" spans="1:14" ht="19.5" customHeight="1" outlineLevel="1" x14ac:dyDescent="0.2">
      <c r="A429" s="101">
        <v>7</v>
      </c>
      <c r="B429" s="81" t="s">
        <v>14</v>
      </c>
      <c r="C429" s="84">
        <v>119.89</v>
      </c>
      <c r="D429" s="53">
        <v>316.10040978199129</v>
      </c>
      <c r="E429" s="78">
        <v>2636.5869528900766</v>
      </c>
      <c r="F429" s="84">
        <v>122.73</v>
      </c>
      <c r="G429" s="53">
        <v>319.13085179779779</v>
      </c>
      <c r="H429" s="78">
        <v>2600.2676753670476</v>
      </c>
      <c r="I429" s="84">
        <v>158.78</v>
      </c>
      <c r="J429" s="53">
        <v>408.02205425470146</v>
      </c>
      <c r="K429" s="78">
        <v>2569.7320459421935</v>
      </c>
      <c r="L429" s="84">
        <v>133.79999999999998</v>
      </c>
      <c r="M429" s="53">
        <v>347.75110527816355</v>
      </c>
      <c r="N429" s="78">
        <v>2599.0366612717758</v>
      </c>
    </row>
    <row r="430" spans="1:14" ht="19.5" customHeight="1" outlineLevel="1" x14ac:dyDescent="0.2">
      <c r="A430" s="101">
        <v>8</v>
      </c>
      <c r="B430" s="81" t="s">
        <v>15</v>
      </c>
      <c r="C430" s="84">
        <v>1.61</v>
      </c>
      <c r="D430" s="53">
        <v>4.1521766477786395</v>
      </c>
      <c r="E430" s="78">
        <v>2578.9917066948069</v>
      </c>
      <c r="F430" s="84">
        <v>1.7</v>
      </c>
      <c r="G430" s="53">
        <v>4.6885840535955126</v>
      </c>
      <c r="H430" s="78">
        <v>2757.9906197620662</v>
      </c>
      <c r="I430" s="84">
        <v>1.54</v>
      </c>
      <c r="J430" s="53">
        <v>4.1035167758042617</v>
      </c>
      <c r="K430" s="78">
        <v>2664.62128298978</v>
      </c>
      <c r="L430" s="84">
        <v>1.6166666666666665</v>
      </c>
      <c r="M430" s="53">
        <v>4.3147591590594709</v>
      </c>
      <c r="N430" s="78">
        <v>2668.9231911708071</v>
      </c>
    </row>
    <row r="431" spans="1:14" ht="19.5" customHeight="1" outlineLevel="1" x14ac:dyDescent="0.2">
      <c r="A431" s="101">
        <v>9</v>
      </c>
      <c r="B431" s="81" t="s">
        <v>16</v>
      </c>
      <c r="C431" s="84">
        <v>211.74</v>
      </c>
      <c r="D431" s="53">
        <v>532.93977215837242</v>
      </c>
      <c r="E431" s="78">
        <v>2516.9536797882897</v>
      </c>
      <c r="F431" s="84">
        <v>247.68</v>
      </c>
      <c r="G431" s="53">
        <v>615.04031930999997</v>
      </c>
      <c r="H431" s="78">
        <v>2483.205423570736</v>
      </c>
      <c r="I431" s="84">
        <v>301.37</v>
      </c>
      <c r="J431" s="53">
        <v>660.10438788295653</v>
      </c>
      <c r="K431" s="78">
        <v>2190.3453823637274</v>
      </c>
      <c r="L431" s="84">
        <v>253.59666666666666</v>
      </c>
      <c r="M431" s="53">
        <v>602.69482645044297</v>
      </c>
      <c r="N431" s="78">
        <v>2376.5881246484955</v>
      </c>
    </row>
    <row r="432" spans="1:14" ht="19.5" customHeight="1" outlineLevel="1" x14ac:dyDescent="0.2">
      <c r="A432" s="101">
        <v>10</v>
      </c>
      <c r="B432" s="81" t="s">
        <v>17</v>
      </c>
      <c r="C432" s="84">
        <v>652.15</v>
      </c>
      <c r="D432" s="53">
        <v>1247.2065655199999</v>
      </c>
      <c r="E432" s="78">
        <v>1912.4535237598711</v>
      </c>
      <c r="F432" s="84">
        <v>565.15</v>
      </c>
      <c r="G432" s="53">
        <v>1483.7871495000002</v>
      </c>
      <c r="H432" s="78">
        <v>2625.4749172785987</v>
      </c>
      <c r="I432" s="84">
        <v>694.58</v>
      </c>
      <c r="J432" s="53">
        <v>1486.8032146</v>
      </c>
      <c r="K432" s="78">
        <v>2140.5787880445737</v>
      </c>
      <c r="L432" s="84">
        <v>637.29333333333341</v>
      </c>
      <c r="M432" s="53">
        <v>1405.9323098733337</v>
      </c>
      <c r="N432" s="78">
        <v>2206.0991953574494</v>
      </c>
    </row>
    <row r="433" spans="1:14" ht="19.5" customHeight="1" outlineLevel="1" x14ac:dyDescent="0.2">
      <c r="A433" s="101">
        <v>11</v>
      </c>
      <c r="B433" s="81" t="s">
        <v>18</v>
      </c>
      <c r="C433" s="84">
        <v>2426.9699999999998</v>
      </c>
      <c r="D433" s="53">
        <v>6453.4682911919999</v>
      </c>
      <c r="E433" s="78">
        <v>2659.0638908565002</v>
      </c>
      <c r="F433" s="84">
        <v>2260.66</v>
      </c>
      <c r="G433" s="53">
        <v>6263.638202879999</v>
      </c>
      <c r="H433" s="78">
        <v>2770.7121826723164</v>
      </c>
      <c r="I433" s="84">
        <v>2682.6</v>
      </c>
      <c r="J433" s="53">
        <v>7608.6606122299991</v>
      </c>
      <c r="K433" s="78">
        <v>2836.3008321143666</v>
      </c>
      <c r="L433" s="84">
        <v>2456.7433333333333</v>
      </c>
      <c r="M433" s="53">
        <v>6775.255702100666</v>
      </c>
      <c r="N433" s="78">
        <v>2757.8199196364289</v>
      </c>
    </row>
    <row r="434" spans="1:14" ht="19.5" customHeight="1" outlineLevel="1" x14ac:dyDescent="0.2">
      <c r="A434" s="101">
        <v>12</v>
      </c>
      <c r="B434" s="81" t="s">
        <v>19</v>
      </c>
      <c r="C434" s="84">
        <v>1545.52</v>
      </c>
      <c r="D434" s="53">
        <v>4723.8411008200001</v>
      </c>
      <c r="E434" s="78">
        <v>3056.4736145892648</v>
      </c>
      <c r="F434" s="84">
        <v>1446.76</v>
      </c>
      <c r="G434" s="53">
        <v>5058.786092379999</v>
      </c>
      <c r="H434" s="78">
        <v>3496.6311567779035</v>
      </c>
      <c r="I434" s="84">
        <v>1824.17</v>
      </c>
      <c r="J434" s="53">
        <v>5496.9985255000001</v>
      </c>
      <c r="K434" s="78">
        <v>3013.424475514892</v>
      </c>
      <c r="L434" s="84">
        <v>1605.4833333333333</v>
      </c>
      <c r="M434" s="53">
        <v>5093.2085728999991</v>
      </c>
      <c r="N434" s="78">
        <v>3172.3833360047333</v>
      </c>
    </row>
    <row r="435" spans="1:14" ht="19.5" customHeight="1" outlineLevel="1" x14ac:dyDescent="0.2">
      <c r="A435" s="101">
        <v>13</v>
      </c>
      <c r="B435" s="81" t="s">
        <v>20</v>
      </c>
      <c r="C435" s="84">
        <v>2028.4</v>
      </c>
      <c r="D435" s="53">
        <v>5390.7286773999986</v>
      </c>
      <c r="E435" s="78">
        <v>2657.6260488069406</v>
      </c>
      <c r="F435" s="84">
        <v>2085.38</v>
      </c>
      <c r="G435" s="53">
        <v>6941.5832039999987</v>
      </c>
      <c r="H435" s="78">
        <v>3328.6898330280328</v>
      </c>
      <c r="I435" s="84">
        <v>2173.23</v>
      </c>
      <c r="J435" s="53">
        <v>5507.6971040000026</v>
      </c>
      <c r="K435" s="78">
        <v>2534.3369565117368</v>
      </c>
      <c r="L435" s="84">
        <v>2095.67</v>
      </c>
      <c r="M435" s="53">
        <v>5946.6696617999996</v>
      </c>
      <c r="N435" s="78">
        <v>2837.5983154790592</v>
      </c>
    </row>
    <row r="436" spans="1:14" ht="19.5" customHeight="1" outlineLevel="1" x14ac:dyDescent="0.2">
      <c r="A436" s="101">
        <v>14</v>
      </c>
      <c r="B436" s="81" t="s">
        <v>21</v>
      </c>
      <c r="C436" s="84">
        <v>770.35</v>
      </c>
      <c r="D436" s="53">
        <v>1953.0101179999999</v>
      </c>
      <c r="E436" s="78">
        <v>2535.2244018952424</v>
      </c>
      <c r="F436" s="84">
        <v>743.3</v>
      </c>
      <c r="G436" s="53">
        <v>2213.2919180000004</v>
      </c>
      <c r="H436" s="78">
        <v>2977.6562868290066</v>
      </c>
      <c r="I436" s="84">
        <v>756.95</v>
      </c>
      <c r="J436" s="53">
        <v>1433.7579000000001</v>
      </c>
      <c r="K436" s="78">
        <v>1894.1249752295398</v>
      </c>
      <c r="L436" s="84">
        <v>756.86666666666679</v>
      </c>
      <c r="M436" s="53">
        <v>1866.6866453333332</v>
      </c>
      <c r="N436" s="78">
        <v>2466.3348612701484</v>
      </c>
    </row>
    <row r="437" spans="1:14" ht="19.5" customHeight="1" outlineLevel="1" x14ac:dyDescent="0.2">
      <c r="A437" s="101">
        <v>15</v>
      </c>
      <c r="B437" s="81" t="s">
        <v>22</v>
      </c>
      <c r="C437" s="84">
        <v>2118.4499999999998</v>
      </c>
      <c r="D437" s="53">
        <v>6204.9979499999981</v>
      </c>
      <c r="E437" s="78">
        <v>2929.0273313035468</v>
      </c>
      <c r="F437" s="84">
        <v>1911.62</v>
      </c>
      <c r="G437" s="53">
        <v>5204.8961799999988</v>
      </c>
      <c r="H437" s="78">
        <v>2722.7671712997349</v>
      </c>
      <c r="I437" s="84">
        <v>2077.59</v>
      </c>
      <c r="J437" s="53">
        <v>7014.9916400000002</v>
      </c>
      <c r="K437" s="78">
        <v>3376.5043343489333</v>
      </c>
      <c r="L437" s="84">
        <v>2035.8866666666665</v>
      </c>
      <c r="M437" s="53">
        <v>6141.6285899999993</v>
      </c>
      <c r="N437" s="78">
        <v>3016.6849120612474</v>
      </c>
    </row>
    <row r="438" spans="1:14" ht="19.5" customHeight="1" outlineLevel="1" x14ac:dyDescent="0.2">
      <c r="A438" s="101">
        <v>16</v>
      </c>
      <c r="B438" s="81" t="s">
        <v>23</v>
      </c>
      <c r="C438" s="84">
        <v>857.5</v>
      </c>
      <c r="D438" s="53">
        <v>2045.4513699999998</v>
      </c>
      <c r="E438" s="78">
        <v>2385.3660291545189</v>
      </c>
      <c r="F438" s="84">
        <v>777.8</v>
      </c>
      <c r="G438" s="53">
        <v>1998.4320849999997</v>
      </c>
      <c r="H438" s="78">
        <v>2569.3392710208277</v>
      </c>
      <c r="I438" s="84">
        <v>839.16</v>
      </c>
      <c r="J438" s="53">
        <v>2197.9764319999999</v>
      </c>
      <c r="K438" s="78">
        <v>2619.2578673912008</v>
      </c>
      <c r="L438" s="84">
        <v>824.82</v>
      </c>
      <c r="M438" s="53">
        <v>2080.6199623333328</v>
      </c>
      <c r="N438" s="78">
        <v>2522.5139573886818</v>
      </c>
    </row>
    <row r="439" spans="1:14" ht="19.5" customHeight="1" outlineLevel="1" x14ac:dyDescent="0.2">
      <c r="A439" s="101">
        <v>17</v>
      </c>
      <c r="B439" s="81" t="s">
        <v>24</v>
      </c>
      <c r="C439" s="84">
        <v>1569.64</v>
      </c>
      <c r="D439" s="53">
        <v>3824.647950999999</v>
      </c>
      <c r="E439" s="78">
        <v>2436.6402175021017</v>
      </c>
      <c r="F439" s="84">
        <v>1511.02</v>
      </c>
      <c r="G439" s="53">
        <v>3096.0452420000006</v>
      </c>
      <c r="H439" s="78">
        <v>2048.9770102314997</v>
      </c>
      <c r="I439" s="84">
        <v>2086.77</v>
      </c>
      <c r="J439" s="53">
        <v>5469.6998619999995</v>
      </c>
      <c r="K439" s="78">
        <v>2621.1321142243755</v>
      </c>
      <c r="L439" s="84">
        <v>1722.4766666666667</v>
      </c>
      <c r="M439" s="53">
        <v>4130.1310183333326</v>
      </c>
      <c r="N439" s="78">
        <v>2397.786337695914</v>
      </c>
    </row>
    <row r="440" spans="1:14" ht="19.5" customHeight="1" outlineLevel="1" x14ac:dyDescent="0.2">
      <c r="A440" s="101">
        <v>18</v>
      </c>
      <c r="B440" s="81" t="s">
        <v>25</v>
      </c>
      <c r="C440" s="84">
        <v>1088.07</v>
      </c>
      <c r="D440" s="53">
        <v>2526.4009716342302</v>
      </c>
      <c r="E440" s="78">
        <v>2321.9103289625027</v>
      </c>
      <c r="F440" s="84">
        <v>969.66</v>
      </c>
      <c r="G440" s="53">
        <v>2258.3276900551596</v>
      </c>
      <c r="H440" s="78">
        <v>2328.9892230835135</v>
      </c>
      <c r="I440" s="84">
        <v>1141.79</v>
      </c>
      <c r="J440" s="53">
        <v>2710.3560523670581</v>
      </c>
      <c r="K440" s="78">
        <v>2373.7780610857149</v>
      </c>
      <c r="L440" s="84">
        <v>1066.5066666666667</v>
      </c>
      <c r="M440" s="53">
        <v>2498.361571352149</v>
      </c>
      <c r="N440" s="78">
        <v>2342.5653579463315</v>
      </c>
    </row>
    <row r="441" spans="1:14" ht="19.5" customHeight="1" outlineLevel="1" x14ac:dyDescent="0.2">
      <c r="A441" s="101">
        <v>19</v>
      </c>
      <c r="B441" s="81" t="s">
        <v>26</v>
      </c>
      <c r="C441" s="84">
        <v>142.44999999999999</v>
      </c>
      <c r="D441" s="53">
        <v>267.78033577994336</v>
      </c>
      <c r="E441" s="78">
        <v>1879.8198369950392</v>
      </c>
      <c r="F441" s="84">
        <v>68.8</v>
      </c>
      <c r="G441" s="53">
        <v>210.11059173329448</v>
      </c>
      <c r="H441" s="78">
        <v>3053.9330193792803</v>
      </c>
      <c r="I441" s="84">
        <v>62.09</v>
      </c>
      <c r="J441" s="53">
        <v>162.1941457200565</v>
      </c>
      <c r="K441" s="78">
        <v>2612.242643260694</v>
      </c>
      <c r="L441" s="84">
        <v>91.113333333333344</v>
      </c>
      <c r="M441" s="53">
        <v>213.36169107776479</v>
      </c>
      <c r="N441" s="78">
        <v>2341.7175431085616</v>
      </c>
    </row>
    <row r="442" spans="1:14" ht="19.5" customHeight="1" outlineLevel="1" x14ac:dyDescent="0.2">
      <c r="A442" s="101">
        <v>20</v>
      </c>
      <c r="B442" s="81" t="s">
        <v>27</v>
      </c>
      <c r="C442" s="84">
        <v>0</v>
      </c>
      <c r="D442" s="53">
        <v>0</v>
      </c>
      <c r="E442" s="78">
        <v>0</v>
      </c>
      <c r="F442" s="84">
        <v>0.05</v>
      </c>
      <c r="G442" s="53">
        <v>0.13789953098810331</v>
      </c>
      <c r="H442" s="78">
        <v>2757.9906197620662</v>
      </c>
      <c r="I442" s="84">
        <v>0.27</v>
      </c>
      <c r="J442" s="53">
        <v>0.71944774640724063</v>
      </c>
      <c r="K442" s="78">
        <v>2664.62128298978</v>
      </c>
      <c r="L442" s="84">
        <v>0.16</v>
      </c>
      <c r="M442" s="53">
        <v>0.42867363869767194</v>
      </c>
      <c r="N442" s="78">
        <v>2679.2102418604495</v>
      </c>
    </row>
    <row r="443" spans="1:14" ht="19.5" customHeight="1" outlineLevel="1" x14ac:dyDescent="0.2">
      <c r="A443" s="101">
        <v>21</v>
      </c>
      <c r="B443" s="81" t="s">
        <v>28</v>
      </c>
      <c r="C443" s="84">
        <v>60.91</v>
      </c>
      <c r="D443" s="53">
        <v>82.825417999999985</v>
      </c>
      <c r="E443" s="78">
        <v>1359.8</v>
      </c>
      <c r="F443" s="84">
        <v>64.02</v>
      </c>
      <c r="G443" s="53">
        <v>120.107922</v>
      </c>
      <c r="H443" s="78">
        <v>1876.1000000000001</v>
      </c>
      <c r="I443" s="84">
        <v>94.75</v>
      </c>
      <c r="J443" s="53">
        <v>186.48695000000001</v>
      </c>
      <c r="K443" s="78">
        <v>1968.2</v>
      </c>
      <c r="L443" s="84">
        <v>73.226666666666674</v>
      </c>
      <c r="M443" s="53">
        <v>129.80676333333335</v>
      </c>
      <c r="N443" s="78">
        <v>1772.6706573197378</v>
      </c>
    </row>
    <row r="444" spans="1:14" ht="19.5" customHeight="1" outlineLevel="1" x14ac:dyDescent="0.2">
      <c r="A444" s="101">
        <v>22</v>
      </c>
      <c r="B444" s="81" t="s">
        <v>29</v>
      </c>
      <c r="C444" s="84">
        <v>2.77</v>
      </c>
      <c r="D444" s="53">
        <v>7.1438070275446153</v>
      </c>
      <c r="E444" s="78">
        <v>2578.9917066948069</v>
      </c>
      <c r="F444" s="84">
        <v>0.47</v>
      </c>
      <c r="G444" s="53">
        <v>1.296255591288171</v>
      </c>
      <c r="H444" s="78">
        <v>2757.9906197620662</v>
      </c>
      <c r="I444" s="84">
        <v>0.43</v>
      </c>
      <c r="J444" s="53">
        <v>1.1457871516856053</v>
      </c>
      <c r="K444" s="78">
        <v>2664.62128298978</v>
      </c>
      <c r="L444" s="84">
        <v>1.2233333333333334</v>
      </c>
      <c r="M444" s="53">
        <v>3.1952832568394638</v>
      </c>
      <c r="N444" s="78">
        <v>2611.9481663537849</v>
      </c>
    </row>
    <row r="445" spans="1:14" ht="19.5" customHeight="1" outlineLevel="1" x14ac:dyDescent="0.2">
      <c r="A445" s="101">
        <v>23</v>
      </c>
      <c r="B445" s="81" t="s">
        <v>30</v>
      </c>
      <c r="C445" s="84">
        <v>9.18</v>
      </c>
      <c r="D445" s="53">
        <v>15.357222</v>
      </c>
      <c r="E445" s="78">
        <v>1672.9</v>
      </c>
      <c r="F445" s="84">
        <v>7.46</v>
      </c>
      <c r="G445" s="53">
        <v>14.676804000000001</v>
      </c>
      <c r="H445" s="78">
        <v>1967.4</v>
      </c>
      <c r="I445" s="84">
        <v>4.2300000000000004</v>
      </c>
      <c r="J445" s="53">
        <v>11.27134802704677</v>
      </c>
      <c r="K445" s="78">
        <v>2664.62128298978</v>
      </c>
      <c r="L445" s="84">
        <v>6.956666666666667</v>
      </c>
      <c r="M445" s="53">
        <v>13.768458009015589</v>
      </c>
      <c r="N445" s="78">
        <v>1979.1746059916993</v>
      </c>
    </row>
    <row r="446" spans="1:14" ht="19.5" customHeight="1" outlineLevel="1" x14ac:dyDescent="0.2">
      <c r="A446" s="101">
        <v>24</v>
      </c>
      <c r="B446" s="81" t="s">
        <v>31</v>
      </c>
      <c r="C446" s="84">
        <v>4.71</v>
      </c>
      <c r="D446" s="53">
        <v>12.147050938532541</v>
      </c>
      <c r="E446" s="78">
        <v>2578.9917066948069</v>
      </c>
      <c r="F446" s="84">
        <v>5.57</v>
      </c>
      <c r="G446" s="53">
        <v>15.362007752074708</v>
      </c>
      <c r="H446" s="78">
        <v>2757.9906197620662</v>
      </c>
      <c r="I446" s="84">
        <v>2.21</v>
      </c>
      <c r="J446" s="53">
        <v>5.8888130354074137</v>
      </c>
      <c r="K446" s="78">
        <v>2664.62128298978</v>
      </c>
      <c r="L446" s="84">
        <v>4.163333333333334</v>
      </c>
      <c r="M446" s="53">
        <v>11.132623908671555</v>
      </c>
      <c r="N446" s="78">
        <v>2673.9689132117419</v>
      </c>
    </row>
    <row r="447" spans="1:14" ht="19.5" customHeight="1" outlineLevel="1" x14ac:dyDescent="0.2">
      <c r="A447" s="101">
        <v>25</v>
      </c>
      <c r="B447" s="81" t="s">
        <v>32</v>
      </c>
      <c r="C447" s="84">
        <v>0.09</v>
      </c>
      <c r="D447" s="53">
        <v>0.23210925360253262</v>
      </c>
      <c r="E447" s="78">
        <v>2578.9917066948069</v>
      </c>
      <c r="F447" s="84">
        <v>0.1</v>
      </c>
      <c r="G447" s="53">
        <v>0.27579906197620663</v>
      </c>
      <c r="H447" s="78">
        <v>2757.9906197620662</v>
      </c>
      <c r="I447" s="84">
        <v>0.6</v>
      </c>
      <c r="J447" s="53">
        <v>1.5987727697938678</v>
      </c>
      <c r="K447" s="78">
        <v>2664.62128298978</v>
      </c>
      <c r="L447" s="84">
        <v>0.26333333333333336</v>
      </c>
      <c r="M447" s="53">
        <v>0.70222702845753571</v>
      </c>
      <c r="N447" s="78">
        <v>2666.684918193173</v>
      </c>
    </row>
    <row r="448" spans="1:14" ht="19.5" customHeight="1" outlineLevel="1" x14ac:dyDescent="0.2">
      <c r="A448" s="101">
        <v>26</v>
      </c>
      <c r="B448" s="81" t="s">
        <v>33</v>
      </c>
      <c r="C448" s="84">
        <v>5.41</v>
      </c>
      <c r="D448" s="53">
        <v>13.952345133218905</v>
      </c>
      <c r="E448" s="78">
        <v>2578.9917066948069</v>
      </c>
      <c r="F448" s="84">
        <v>0.54</v>
      </c>
      <c r="G448" s="53">
        <v>1.4893149346715158</v>
      </c>
      <c r="H448" s="78">
        <v>2757.9906197620662</v>
      </c>
      <c r="I448" s="84">
        <v>0.55000000000000004</v>
      </c>
      <c r="J448" s="53">
        <v>1.4655417056443791</v>
      </c>
      <c r="K448" s="78">
        <v>2664.62128298978</v>
      </c>
      <c r="L448" s="84">
        <v>2.1666666666666665</v>
      </c>
      <c r="M448" s="53">
        <v>5.6357339245116007</v>
      </c>
      <c r="N448" s="78">
        <v>2601.1079651592004</v>
      </c>
    </row>
    <row r="449" spans="1:14" ht="19.5" customHeight="1" outlineLevel="1" x14ac:dyDescent="0.2">
      <c r="A449" s="101">
        <v>27</v>
      </c>
      <c r="B449" s="81" t="s">
        <v>34</v>
      </c>
      <c r="C449" s="84">
        <v>0.12</v>
      </c>
      <c r="D449" s="53">
        <v>0.30947900480337681</v>
      </c>
      <c r="E449" s="78">
        <v>2578.9917066948069</v>
      </c>
      <c r="F449" s="84">
        <v>1.41</v>
      </c>
      <c r="G449" s="53">
        <v>3.8887667738645133</v>
      </c>
      <c r="H449" s="78">
        <v>2757.9906197620662</v>
      </c>
      <c r="I449" s="84">
        <v>0.38</v>
      </c>
      <c r="J449" s="53">
        <v>1.0125560875361164</v>
      </c>
      <c r="K449" s="78">
        <v>2664.62128298978</v>
      </c>
      <c r="L449" s="84">
        <v>0.6366666666666666</v>
      </c>
      <c r="M449" s="53">
        <v>1.7369339554013354</v>
      </c>
      <c r="N449" s="78">
        <v>2728.1685163371762</v>
      </c>
    </row>
    <row r="450" spans="1:14" ht="19.5" customHeight="1" outlineLevel="1" x14ac:dyDescent="0.2">
      <c r="A450" s="101">
        <v>28</v>
      </c>
      <c r="B450" s="81" t="s">
        <v>35</v>
      </c>
      <c r="C450" s="84">
        <v>0.28999999999999998</v>
      </c>
      <c r="D450" s="53">
        <v>0.74790759494149395</v>
      </c>
      <c r="E450" s="78">
        <v>2578.9917066948069</v>
      </c>
      <c r="F450" s="84">
        <v>0.99</v>
      </c>
      <c r="G450" s="53">
        <v>2.7304107135644453</v>
      </c>
      <c r="H450" s="78">
        <v>2757.9906197620662</v>
      </c>
      <c r="I450" s="84">
        <v>0.9</v>
      </c>
      <c r="J450" s="53">
        <v>2.3981591546908021</v>
      </c>
      <c r="K450" s="78">
        <v>2664.62128298978</v>
      </c>
      <c r="L450" s="84">
        <v>0.72666666666666668</v>
      </c>
      <c r="M450" s="53">
        <v>1.9588258210655802</v>
      </c>
      <c r="N450" s="78">
        <v>2695.6318638517159</v>
      </c>
    </row>
    <row r="451" spans="1:14" ht="19.5" customHeight="1" outlineLevel="1" x14ac:dyDescent="0.2">
      <c r="A451" s="101">
        <v>29</v>
      </c>
      <c r="B451" s="81" t="s">
        <v>36</v>
      </c>
      <c r="C451" s="84">
        <v>7.01</v>
      </c>
      <c r="D451" s="53">
        <v>18.078731863930596</v>
      </c>
      <c r="E451" s="78">
        <v>2578.9917066948069</v>
      </c>
      <c r="F451" s="84">
        <v>3.76</v>
      </c>
      <c r="G451" s="53">
        <v>10.370044730305368</v>
      </c>
      <c r="H451" s="78">
        <v>2757.9906197620662</v>
      </c>
      <c r="I451" s="84">
        <v>1.5</v>
      </c>
      <c r="J451" s="53">
        <v>3.9969319244846702</v>
      </c>
      <c r="K451" s="78">
        <v>2664.62128298978</v>
      </c>
      <c r="L451" s="84">
        <v>4.09</v>
      </c>
      <c r="M451" s="53">
        <v>10.815236172906879</v>
      </c>
      <c r="N451" s="78">
        <v>2644.3120227156182</v>
      </c>
    </row>
    <row r="452" spans="1:14" ht="19.5" customHeight="1" outlineLevel="1" x14ac:dyDescent="0.2">
      <c r="A452" s="101">
        <v>30</v>
      </c>
      <c r="B452" s="81" t="s">
        <v>37</v>
      </c>
      <c r="C452" s="84">
        <v>36.46</v>
      </c>
      <c r="D452" s="53">
        <v>39.072918000000008</v>
      </c>
      <c r="E452" s="78">
        <v>1071.6653318705432</v>
      </c>
      <c r="F452" s="84">
        <v>35.4</v>
      </c>
      <c r="G452" s="53">
        <v>41.118297999999996</v>
      </c>
      <c r="H452" s="78">
        <v>1161.5338418079095</v>
      </c>
      <c r="I452" s="84">
        <v>31.01</v>
      </c>
      <c r="J452" s="53">
        <v>26.994907000000005</v>
      </c>
      <c r="K452" s="78">
        <v>870.52263785875539</v>
      </c>
      <c r="L452" s="84">
        <v>34.29</v>
      </c>
      <c r="M452" s="53">
        <v>35.728707666666672</v>
      </c>
      <c r="N452" s="78">
        <v>1041.9570623116556</v>
      </c>
    </row>
    <row r="453" spans="1:14" ht="19.5" customHeight="1" outlineLevel="1" x14ac:dyDescent="0.2">
      <c r="A453" s="101">
        <v>31</v>
      </c>
      <c r="B453" s="81" t="s">
        <v>38</v>
      </c>
      <c r="C453" s="84">
        <v>0</v>
      </c>
      <c r="D453" s="53">
        <v>0</v>
      </c>
      <c r="E453" s="78">
        <v>0</v>
      </c>
      <c r="F453" s="84">
        <v>0</v>
      </c>
      <c r="G453" s="53">
        <v>0</v>
      </c>
      <c r="H453" s="78">
        <v>0</v>
      </c>
      <c r="I453" s="84">
        <v>0</v>
      </c>
      <c r="J453" s="53">
        <v>0</v>
      </c>
      <c r="K453" s="78">
        <v>0</v>
      </c>
      <c r="L453" s="84">
        <v>0</v>
      </c>
      <c r="M453" s="53">
        <v>0</v>
      </c>
      <c r="N453" s="78">
        <v>0</v>
      </c>
    </row>
    <row r="454" spans="1:14" ht="19.5" customHeight="1" outlineLevel="1" x14ac:dyDescent="0.2">
      <c r="A454" s="101">
        <v>32</v>
      </c>
      <c r="B454" s="81" t="s">
        <v>39</v>
      </c>
      <c r="C454" s="84">
        <v>7.0000000000000007E-2</v>
      </c>
      <c r="D454" s="53">
        <v>0.18052941946863649</v>
      </c>
      <c r="E454" s="78">
        <v>2578.9917066948069</v>
      </c>
      <c r="F454" s="84">
        <v>0.17</v>
      </c>
      <c r="G454" s="53">
        <v>0.46885840535955131</v>
      </c>
      <c r="H454" s="78">
        <v>2757.9906197620662</v>
      </c>
      <c r="I454" s="84">
        <v>0.11</v>
      </c>
      <c r="J454" s="53">
        <v>0.29310834112887579</v>
      </c>
      <c r="K454" s="78">
        <v>2664.62128298978</v>
      </c>
      <c r="L454" s="84">
        <v>0.11666666666666668</v>
      </c>
      <c r="M454" s="53">
        <v>0.31416538865235455</v>
      </c>
      <c r="N454" s="78">
        <v>2692.8461884487529</v>
      </c>
    </row>
    <row r="455" spans="1:14" ht="19.5" customHeight="1" outlineLevel="1" thickBot="1" x14ac:dyDescent="0.25">
      <c r="A455" s="102">
        <v>33</v>
      </c>
      <c r="B455" s="91" t="s">
        <v>40</v>
      </c>
      <c r="C455" s="92">
        <v>15.33</v>
      </c>
      <c r="D455" s="93">
        <v>30.989595000000001</v>
      </c>
      <c r="E455" s="94">
        <v>2021.5</v>
      </c>
      <c r="F455" s="92">
        <v>12.73</v>
      </c>
      <c r="G455" s="93">
        <v>24.510342000000001</v>
      </c>
      <c r="H455" s="94">
        <v>1925.4</v>
      </c>
      <c r="I455" s="92">
        <v>11.99</v>
      </c>
      <c r="J455" s="93">
        <v>21.941700000000001</v>
      </c>
      <c r="K455" s="94">
        <v>1830</v>
      </c>
      <c r="L455" s="92">
        <v>13.350000000000001</v>
      </c>
      <c r="M455" s="93">
        <v>25.813879</v>
      </c>
      <c r="N455" s="94">
        <v>1933.6238951310861</v>
      </c>
    </row>
    <row r="456" spans="1:14" ht="19.5" customHeight="1" thickBot="1" x14ac:dyDescent="0.25">
      <c r="A456" s="151" t="s">
        <v>41</v>
      </c>
      <c r="B456" s="152"/>
      <c r="C456" s="96">
        <v>17090.219999999998</v>
      </c>
      <c r="D456" s="97">
        <v>44075.535645584961</v>
      </c>
      <c r="E456" s="98">
        <v>2578.9917066945286</v>
      </c>
      <c r="F456" s="96">
        <v>16352.739999999994</v>
      </c>
      <c r="G456" s="97">
        <v>45100.703527412836</v>
      </c>
      <c r="H456" s="98">
        <v>2757.9906197623673</v>
      </c>
      <c r="I456" s="96">
        <v>19085.66</v>
      </c>
      <c r="J456" s="97">
        <v>50856.05583588592</v>
      </c>
      <c r="K456" s="98">
        <v>2664.6212829886899</v>
      </c>
      <c r="L456" s="96">
        <v>17509.539999999997</v>
      </c>
      <c r="M456" s="97">
        <v>46677.431669627906</v>
      </c>
      <c r="N456" s="98">
        <v>2665.8285522993701</v>
      </c>
    </row>
    <row r="457" spans="1:14" ht="34.5" customHeight="1" x14ac:dyDescent="0.2">
      <c r="A457" s="153" t="s">
        <v>247</v>
      </c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</row>
    <row r="458" spans="1:14" ht="19.5" customHeight="1" thickBot="1" x14ac:dyDescent="0.25">
      <c r="A458" s="50"/>
      <c r="B458" s="138" t="s">
        <v>53</v>
      </c>
      <c r="C458" s="52"/>
      <c r="D458" s="52"/>
      <c r="E458" s="52"/>
      <c r="F458" s="52"/>
      <c r="G458" s="52"/>
      <c r="H458" s="52"/>
      <c r="I458" s="52"/>
      <c r="J458" s="52"/>
      <c r="K458" s="155" t="s">
        <v>1</v>
      </c>
      <c r="L458" s="154"/>
      <c r="M458" s="154"/>
      <c r="N458" s="154"/>
    </row>
    <row r="459" spans="1:14" ht="19.5" customHeight="1" x14ac:dyDescent="0.2">
      <c r="A459" s="156" t="s">
        <v>2</v>
      </c>
      <c r="B459" s="158" t="s">
        <v>3</v>
      </c>
      <c r="C459" s="148" t="s">
        <v>243</v>
      </c>
      <c r="D459" s="149"/>
      <c r="E459" s="150"/>
      <c r="F459" s="148" t="s">
        <v>244</v>
      </c>
      <c r="G459" s="149"/>
      <c r="H459" s="150"/>
      <c r="I459" s="148" t="s">
        <v>246</v>
      </c>
      <c r="J459" s="149"/>
      <c r="K459" s="150"/>
      <c r="L459" s="148" t="s">
        <v>4</v>
      </c>
      <c r="M459" s="149"/>
      <c r="N459" s="150"/>
    </row>
    <row r="460" spans="1:14" ht="19.5" customHeight="1" thickBot="1" x14ac:dyDescent="0.25">
      <c r="A460" s="157"/>
      <c r="B460" s="159"/>
      <c r="C460" s="85" t="s">
        <v>5</v>
      </c>
      <c r="D460" s="79" t="s">
        <v>6</v>
      </c>
      <c r="E460" s="80" t="s">
        <v>7</v>
      </c>
      <c r="F460" s="85" t="s">
        <v>5</v>
      </c>
      <c r="G460" s="79" t="s">
        <v>6</v>
      </c>
      <c r="H460" s="80" t="s">
        <v>7</v>
      </c>
      <c r="I460" s="85" t="s">
        <v>5</v>
      </c>
      <c r="J460" s="79" t="s">
        <v>6</v>
      </c>
      <c r="K460" s="80" t="s">
        <v>7</v>
      </c>
      <c r="L460" s="85" t="s">
        <v>5</v>
      </c>
      <c r="M460" s="79" t="s">
        <v>6</v>
      </c>
      <c r="N460" s="80" t="s">
        <v>7</v>
      </c>
    </row>
    <row r="461" spans="1:14" ht="19.5" customHeight="1" outlineLevel="1" x14ac:dyDescent="0.2">
      <c r="A461" s="100">
        <v>1</v>
      </c>
      <c r="B461" s="86" t="s">
        <v>8</v>
      </c>
      <c r="C461" s="87">
        <v>1905.03</v>
      </c>
      <c r="D461" s="88">
        <v>3659.9565951835289</v>
      </c>
      <c r="E461" s="89">
        <v>1921.2068026138847</v>
      </c>
      <c r="F461" s="87">
        <v>1902.66</v>
      </c>
      <c r="G461" s="88">
        <v>3600.9688360957375</v>
      </c>
      <c r="H461" s="89">
        <v>1892.5971198720408</v>
      </c>
      <c r="I461" s="87">
        <v>1626.67</v>
      </c>
      <c r="J461" s="88">
        <v>3166.0585344632996</v>
      </c>
      <c r="K461" s="89">
        <v>1946.3434713022921</v>
      </c>
      <c r="L461" s="87">
        <v>1811.4533333333336</v>
      </c>
      <c r="M461" s="88">
        <v>3475.6613219141886</v>
      </c>
      <c r="N461" s="89">
        <v>1918.7142489166276</v>
      </c>
    </row>
    <row r="462" spans="1:14" ht="19.5" customHeight="1" outlineLevel="1" x14ac:dyDescent="0.2">
      <c r="A462" s="101">
        <v>2</v>
      </c>
      <c r="B462" s="81" t="s">
        <v>9</v>
      </c>
      <c r="C462" s="84">
        <v>840.52</v>
      </c>
      <c r="D462" s="53">
        <v>2281.9974600000005</v>
      </c>
      <c r="E462" s="78">
        <v>2714.9829391329181</v>
      </c>
      <c r="F462" s="84">
        <v>907.23</v>
      </c>
      <c r="G462" s="53">
        <v>2455.05251</v>
      </c>
      <c r="H462" s="78">
        <v>2706.0971418493655</v>
      </c>
      <c r="I462" s="84">
        <v>1035.42</v>
      </c>
      <c r="J462" s="53">
        <v>2755.2398100000005</v>
      </c>
      <c r="K462" s="78">
        <v>2660.987628208843</v>
      </c>
      <c r="L462" s="84">
        <v>927.72333333333336</v>
      </c>
      <c r="M462" s="53">
        <v>2497.4299266666671</v>
      </c>
      <c r="N462" s="78">
        <v>2691.9986130922657</v>
      </c>
    </row>
    <row r="463" spans="1:14" ht="19.5" customHeight="1" outlineLevel="1" x14ac:dyDescent="0.2">
      <c r="A463" s="101">
        <v>3</v>
      </c>
      <c r="B463" s="81" t="s">
        <v>10</v>
      </c>
      <c r="C463" s="84">
        <v>874.74</v>
      </c>
      <c r="D463" s="53">
        <v>1979.1648199999997</v>
      </c>
      <c r="E463" s="78">
        <v>2262.5749594165122</v>
      </c>
      <c r="F463" s="84">
        <v>989.29</v>
      </c>
      <c r="G463" s="53">
        <v>2226.2308900000003</v>
      </c>
      <c r="H463" s="78">
        <v>2250.3319451323678</v>
      </c>
      <c r="I463" s="84">
        <v>856.99</v>
      </c>
      <c r="J463" s="53">
        <v>1783.96946</v>
      </c>
      <c r="K463" s="78">
        <v>2081.6689342932823</v>
      </c>
      <c r="L463" s="84">
        <v>907.00666666666666</v>
      </c>
      <c r="M463" s="53">
        <v>1996.4550566666667</v>
      </c>
      <c r="N463" s="78">
        <v>2201.1470588235293</v>
      </c>
    </row>
    <row r="464" spans="1:14" ht="19.5" customHeight="1" outlineLevel="1" x14ac:dyDescent="0.2">
      <c r="A464" s="101">
        <v>4</v>
      </c>
      <c r="B464" s="81" t="s">
        <v>11</v>
      </c>
      <c r="C464" s="84">
        <v>881.05</v>
      </c>
      <c r="D464" s="53">
        <v>2189.6737559999997</v>
      </c>
      <c r="E464" s="78">
        <v>2485.300216786788</v>
      </c>
      <c r="F464" s="84">
        <v>887.05</v>
      </c>
      <c r="G464" s="53">
        <v>2263.8445199999996</v>
      </c>
      <c r="H464" s="78">
        <v>2552.1047517050897</v>
      </c>
      <c r="I464" s="84">
        <v>923.87</v>
      </c>
      <c r="J464" s="53">
        <v>2332.3274599999995</v>
      </c>
      <c r="K464" s="78">
        <v>2524.5190990074357</v>
      </c>
      <c r="L464" s="84">
        <v>897.32333333333327</v>
      </c>
      <c r="M464" s="53">
        <v>2261.948578666666</v>
      </c>
      <c r="N464" s="78">
        <v>2520.7731646340781</v>
      </c>
    </row>
    <row r="465" spans="1:14" ht="19.5" customHeight="1" outlineLevel="1" x14ac:dyDescent="0.2">
      <c r="A465" s="101">
        <v>5</v>
      </c>
      <c r="B465" s="81" t="s">
        <v>12</v>
      </c>
      <c r="C465" s="84">
        <v>244.3</v>
      </c>
      <c r="D465" s="53">
        <v>506.72534515552996</v>
      </c>
      <c r="E465" s="78">
        <v>2074.1929805793284</v>
      </c>
      <c r="F465" s="84">
        <v>251.54</v>
      </c>
      <c r="G465" s="53">
        <v>503.34720177105908</v>
      </c>
      <c r="H465" s="78">
        <v>2001.0622635408249</v>
      </c>
      <c r="I465" s="84">
        <v>263.58</v>
      </c>
      <c r="J465" s="53">
        <v>521.42786185561306</v>
      </c>
      <c r="K465" s="78">
        <v>1978.2527576280943</v>
      </c>
      <c r="L465" s="84">
        <v>253.14000000000001</v>
      </c>
      <c r="M465" s="53">
        <v>510.50013626073405</v>
      </c>
      <c r="N465" s="78">
        <v>2016.6711553319667</v>
      </c>
    </row>
    <row r="466" spans="1:14" ht="19.5" customHeight="1" outlineLevel="1" x14ac:dyDescent="0.2">
      <c r="A466" s="101">
        <v>6</v>
      </c>
      <c r="B466" s="81" t="s">
        <v>13</v>
      </c>
      <c r="C466" s="84">
        <v>145.65</v>
      </c>
      <c r="D466" s="53">
        <v>280.63298072095944</v>
      </c>
      <c r="E466" s="78">
        <v>1926.7626551387532</v>
      </c>
      <c r="F466" s="84">
        <v>138.75</v>
      </c>
      <c r="G466" s="53">
        <v>264.08227522799734</v>
      </c>
      <c r="H466" s="78">
        <v>1903.2956773188998</v>
      </c>
      <c r="I466" s="84">
        <v>120.76</v>
      </c>
      <c r="J466" s="53">
        <v>227.6689319034333</v>
      </c>
      <c r="K466" s="78">
        <v>1885.300860412664</v>
      </c>
      <c r="L466" s="84">
        <v>135.05333333333331</v>
      </c>
      <c r="M466" s="53">
        <v>257.46139595079671</v>
      </c>
      <c r="N466" s="78">
        <v>1906.3683183245885</v>
      </c>
    </row>
    <row r="467" spans="1:14" ht="19.5" customHeight="1" outlineLevel="1" x14ac:dyDescent="0.2">
      <c r="A467" s="101">
        <v>7</v>
      </c>
      <c r="B467" s="81" t="s">
        <v>14</v>
      </c>
      <c r="C467" s="84">
        <v>208.38</v>
      </c>
      <c r="D467" s="53">
        <v>493.78911199999999</v>
      </c>
      <c r="E467" s="78">
        <v>2369.6569344466839</v>
      </c>
      <c r="F467" s="84">
        <v>212.73</v>
      </c>
      <c r="G467" s="53">
        <v>492.76673999999991</v>
      </c>
      <c r="H467" s="78">
        <v>2316.3951487801437</v>
      </c>
      <c r="I467" s="84">
        <v>205.2</v>
      </c>
      <c r="J467" s="53">
        <v>448.13411600000001</v>
      </c>
      <c r="K467" s="78">
        <v>2183.8894541910331</v>
      </c>
      <c r="L467" s="84">
        <v>208.76999999999998</v>
      </c>
      <c r="M467" s="53">
        <v>478.22998933333332</v>
      </c>
      <c r="N467" s="78">
        <v>2290.7026360747873</v>
      </c>
    </row>
    <row r="468" spans="1:14" ht="19.5" customHeight="1" outlineLevel="1" x14ac:dyDescent="0.2">
      <c r="A468" s="101">
        <v>8</v>
      </c>
      <c r="B468" s="81" t="s">
        <v>15</v>
      </c>
      <c r="C468" s="84">
        <v>424.61</v>
      </c>
      <c r="D468" s="53">
        <v>919.40565671448917</v>
      </c>
      <c r="E468" s="78">
        <v>2165.2944036044587</v>
      </c>
      <c r="F468" s="84">
        <v>414.6</v>
      </c>
      <c r="G468" s="53">
        <v>869.00745334206306</v>
      </c>
      <c r="H468" s="78">
        <v>2096.0141180464616</v>
      </c>
      <c r="I468" s="84">
        <v>337</v>
      </c>
      <c r="J468" s="53">
        <v>640.38501246628709</v>
      </c>
      <c r="K468" s="78">
        <v>1900.2522625112379</v>
      </c>
      <c r="L468" s="84">
        <v>392.07</v>
      </c>
      <c r="M468" s="53">
        <v>809.59937417427989</v>
      </c>
      <c r="N468" s="78">
        <v>2064.9357874213274</v>
      </c>
    </row>
    <row r="469" spans="1:14" ht="19.5" customHeight="1" outlineLevel="1" x14ac:dyDescent="0.2">
      <c r="A469" s="101">
        <v>9</v>
      </c>
      <c r="B469" s="81" t="s">
        <v>16</v>
      </c>
      <c r="C469" s="84">
        <v>688.68</v>
      </c>
      <c r="D469" s="53">
        <v>1440.7051669681211</v>
      </c>
      <c r="E469" s="78">
        <v>2091.9805526051596</v>
      </c>
      <c r="F469" s="84">
        <v>670.69</v>
      </c>
      <c r="G469" s="53">
        <v>1394.3818636321839</v>
      </c>
      <c r="H469" s="78">
        <v>2079.025874296894</v>
      </c>
      <c r="I469" s="84">
        <v>422.56</v>
      </c>
      <c r="J469" s="53">
        <v>704.30353669505791</v>
      </c>
      <c r="K469" s="78">
        <v>1666.7539206149609</v>
      </c>
      <c r="L469" s="84">
        <v>593.97666666666657</v>
      </c>
      <c r="M469" s="53">
        <v>1179.7968557651211</v>
      </c>
      <c r="N469" s="78">
        <v>1986.2680168667478</v>
      </c>
    </row>
    <row r="470" spans="1:14" ht="19.5" customHeight="1" outlineLevel="1" x14ac:dyDescent="0.2">
      <c r="A470" s="101">
        <v>10</v>
      </c>
      <c r="B470" s="81" t="s">
        <v>17</v>
      </c>
      <c r="C470" s="84">
        <v>142.5</v>
      </c>
      <c r="D470" s="53">
        <v>425.76452490974725</v>
      </c>
      <c r="E470" s="78">
        <v>2987.8212274368229</v>
      </c>
      <c r="F470" s="84">
        <v>74.150000000000006</v>
      </c>
      <c r="G470" s="53">
        <v>208.3774931372549</v>
      </c>
      <c r="H470" s="78">
        <v>2810.2156862745096</v>
      </c>
      <c r="I470" s="84">
        <v>60.12</v>
      </c>
      <c r="J470" s="53">
        <v>158.15612844755245</v>
      </c>
      <c r="K470" s="78">
        <v>2630.6741258741258</v>
      </c>
      <c r="L470" s="84">
        <v>92.256666666666661</v>
      </c>
      <c r="M470" s="53">
        <v>264.09938216485153</v>
      </c>
      <c r="N470" s="78">
        <v>2862.6590544298683</v>
      </c>
    </row>
    <row r="471" spans="1:14" ht="19.5" customHeight="1" outlineLevel="1" x14ac:dyDescent="0.2">
      <c r="A471" s="101">
        <v>11</v>
      </c>
      <c r="B471" s="81" t="s">
        <v>18</v>
      </c>
      <c r="C471" s="84">
        <v>63.34</v>
      </c>
      <c r="D471" s="53">
        <v>196.60643307317071</v>
      </c>
      <c r="E471" s="78">
        <v>3103.9853658536581</v>
      </c>
      <c r="F471" s="84">
        <v>60.29</v>
      </c>
      <c r="G471" s="53">
        <v>183.20818176331363</v>
      </c>
      <c r="H471" s="78">
        <v>3038.7822485207103</v>
      </c>
      <c r="I471" s="84">
        <v>50.7</v>
      </c>
      <c r="J471" s="53">
        <v>146.30775501432666</v>
      </c>
      <c r="K471" s="78">
        <v>2885.7545367717289</v>
      </c>
      <c r="L471" s="84">
        <v>58.109999999999992</v>
      </c>
      <c r="M471" s="53">
        <v>175.37412328360367</v>
      </c>
      <c r="N471" s="78">
        <v>3017.9680482464928</v>
      </c>
    </row>
    <row r="472" spans="1:14" ht="19.5" customHeight="1" outlineLevel="1" x14ac:dyDescent="0.2">
      <c r="A472" s="101">
        <v>12</v>
      </c>
      <c r="B472" s="81" t="s">
        <v>19</v>
      </c>
      <c r="C472" s="84">
        <v>52.04</v>
      </c>
      <c r="D472" s="53">
        <v>159.94568262940069</v>
      </c>
      <c r="E472" s="78">
        <v>3073.5142703574306</v>
      </c>
      <c r="F472" s="84">
        <v>25.95</v>
      </c>
      <c r="G472" s="53">
        <v>91.818684776649761</v>
      </c>
      <c r="H472" s="78">
        <v>3538.29228426396</v>
      </c>
      <c r="I472" s="84">
        <v>30.35</v>
      </c>
      <c r="J472" s="53">
        <v>100.82367903225807</v>
      </c>
      <c r="K472" s="78">
        <v>3322.0322580645161</v>
      </c>
      <c r="L472" s="84">
        <v>36.113333333333337</v>
      </c>
      <c r="M472" s="53">
        <v>117.52934881276951</v>
      </c>
      <c r="N472" s="78">
        <v>3254.4586158234124</v>
      </c>
    </row>
    <row r="473" spans="1:14" ht="19.5" customHeight="1" outlineLevel="1" x14ac:dyDescent="0.2">
      <c r="A473" s="101">
        <v>13</v>
      </c>
      <c r="B473" s="81" t="s">
        <v>20</v>
      </c>
      <c r="C473" s="84">
        <v>0.19</v>
      </c>
      <c r="D473" s="53">
        <v>0.42568965537520365</v>
      </c>
      <c r="E473" s="78">
        <v>2240.4718703958088</v>
      </c>
      <c r="F473" s="84">
        <v>0</v>
      </c>
      <c r="G473" s="53">
        <v>0</v>
      </c>
      <c r="H473" s="78">
        <v>0</v>
      </c>
      <c r="I473" s="84">
        <v>0.6</v>
      </c>
      <c r="J473" s="53">
        <v>1.3025799244079845</v>
      </c>
      <c r="K473" s="78">
        <v>2170.9665406799741</v>
      </c>
      <c r="L473" s="84">
        <v>0.39500000000000002</v>
      </c>
      <c r="M473" s="53">
        <v>0.86413478989159409</v>
      </c>
      <c r="N473" s="78">
        <v>2187.6830123837826</v>
      </c>
    </row>
    <row r="474" spans="1:14" ht="19.5" customHeight="1" outlineLevel="1" x14ac:dyDescent="0.2">
      <c r="A474" s="101">
        <v>14</v>
      </c>
      <c r="B474" s="81" t="s">
        <v>21</v>
      </c>
      <c r="C474" s="84">
        <v>0</v>
      </c>
      <c r="D474" s="53">
        <v>0</v>
      </c>
      <c r="E474" s="78">
        <v>0</v>
      </c>
      <c r="F474" s="84">
        <v>0</v>
      </c>
      <c r="G474" s="53">
        <v>0</v>
      </c>
      <c r="H474" s="78">
        <v>0</v>
      </c>
      <c r="I474" s="84">
        <v>0</v>
      </c>
      <c r="J474" s="53">
        <v>0</v>
      </c>
      <c r="K474" s="78">
        <v>0</v>
      </c>
      <c r="L474" s="84">
        <v>0</v>
      </c>
      <c r="M474" s="53">
        <v>0</v>
      </c>
      <c r="N474" s="78">
        <v>0</v>
      </c>
    </row>
    <row r="475" spans="1:14" ht="19.5" customHeight="1" outlineLevel="1" x14ac:dyDescent="0.2">
      <c r="A475" s="101">
        <v>15</v>
      </c>
      <c r="B475" s="81" t="s">
        <v>22</v>
      </c>
      <c r="C475" s="84">
        <v>3.07</v>
      </c>
      <c r="D475" s="53">
        <v>6.8782486421151328</v>
      </c>
      <c r="E475" s="78">
        <v>2240.4718703958088</v>
      </c>
      <c r="F475" s="84">
        <v>6.7</v>
      </c>
      <c r="G475" s="53">
        <v>14.749128948522236</v>
      </c>
      <c r="H475" s="78">
        <v>2201.3625296301843</v>
      </c>
      <c r="I475" s="84">
        <v>2.15</v>
      </c>
      <c r="J475" s="53">
        <v>4.6675780624619438</v>
      </c>
      <c r="K475" s="78">
        <v>2170.9665406799741</v>
      </c>
      <c r="L475" s="84">
        <v>3.9733333333333332</v>
      </c>
      <c r="M475" s="53">
        <v>8.7649852176997722</v>
      </c>
      <c r="N475" s="78">
        <v>2205.9526554613522</v>
      </c>
    </row>
    <row r="476" spans="1:14" ht="19.5" customHeight="1" outlineLevel="1" x14ac:dyDescent="0.2">
      <c r="A476" s="101">
        <v>16</v>
      </c>
      <c r="B476" s="81" t="s">
        <v>23</v>
      </c>
      <c r="C476" s="84">
        <v>0.1</v>
      </c>
      <c r="D476" s="53">
        <v>0.22404718703958088</v>
      </c>
      <c r="E476" s="78">
        <v>2240.4718703958088</v>
      </c>
      <c r="F476" s="84">
        <v>0.9</v>
      </c>
      <c r="G476" s="53">
        <v>1.9812262766671658</v>
      </c>
      <c r="H476" s="78">
        <v>2201.3625296301843</v>
      </c>
      <c r="I476" s="84">
        <v>0.45</v>
      </c>
      <c r="J476" s="53">
        <v>0.97693494330598829</v>
      </c>
      <c r="K476" s="78">
        <v>2170.9665406799741</v>
      </c>
      <c r="L476" s="84">
        <v>0.48333333333333334</v>
      </c>
      <c r="M476" s="53">
        <v>1.0607361356709117</v>
      </c>
      <c r="N476" s="78">
        <v>2194.6264875949901</v>
      </c>
    </row>
    <row r="477" spans="1:14" ht="19.5" customHeight="1" outlineLevel="1" x14ac:dyDescent="0.2">
      <c r="A477" s="101">
        <v>17</v>
      </c>
      <c r="B477" s="81" t="s">
        <v>24</v>
      </c>
      <c r="C477" s="84">
        <v>5.79</v>
      </c>
      <c r="D477" s="53">
        <v>12.972332129591733</v>
      </c>
      <c r="E477" s="78">
        <v>2240.4718703958088</v>
      </c>
      <c r="F477" s="84">
        <v>10.77</v>
      </c>
      <c r="G477" s="53">
        <v>23.708674444117086</v>
      </c>
      <c r="H477" s="78">
        <v>2201.3625296301843</v>
      </c>
      <c r="I477" s="84">
        <v>15.03</v>
      </c>
      <c r="J477" s="53">
        <v>32.62962710642001</v>
      </c>
      <c r="K477" s="78">
        <v>2170.9665406799741</v>
      </c>
      <c r="L477" s="84">
        <v>10.53</v>
      </c>
      <c r="M477" s="53">
        <v>23.103544560042945</v>
      </c>
      <c r="N477" s="78">
        <v>2194.0688091208876</v>
      </c>
    </row>
    <row r="478" spans="1:14" ht="19.5" customHeight="1" outlineLevel="1" x14ac:dyDescent="0.2">
      <c r="A478" s="101">
        <v>18</v>
      </c>
      <c r="B478" s="81" t="s">
        <v>25</v>
      </c>
      <c r="C478" s="84">
        <v>0.65</v>
      </c>
      <c r="D478" s="53">
        <v>1.4563067157572758</v>
      </c>
      <c r="E478" s="78">
        <v>2240.4718703958088</v>
      </c>
      <c r="F478" s="84">
        <v>1.34</v>
      </c>
      <c r="G478" s="53">
        <v>2.9498257897044473</v>
      </c>
      <c r="H478" s="78">
        <v>2201.3625296301843</v>
      </c>
      <c r="I478" s="84">
        <v>2.57</v>
      </c>
      <c r="J478" s="53">
        <v>5.5793840095475336</v>
      </c>
      <c r="K478" s="78">
        <v>2170.9665406799741</v>
      </c>
      <c r="L478" s="84">
        <v>1.5200000000000002</v>
      </c>
      <c r="M478" s="53">
        <v>3.3285055050030858</v>
      </c>
      <c r="N478" s="78">
        <v>2189.8062532915037</v>
      </c>
    </row>
    <row r="479" spans="1:14" ht="19.5" customHeight="1" outlineLevel="1" x14ac:dyDescent="0.2">
      <c r="A479" s="101">
        <v>19</v>
      </c>
      <c r="B479" s="81" t="s">
        <v>26</v>
      </c>
      <c r="C479" s="84">
        <v>0.94</v>
      </c>
      <c r="D479" s="53">
        <v>2.1060435581720602</v>
      </c>
      <c r="E479" s="78">
        <v>2240.4718703958088</v>
      </c>
      <c r="F479" s="84">
        <v>0.21</v>
      </c>
      <c r="G479" s="53">
        <v>0.46228613122233869</v>
      </c>
      <c r="H479" s="78">
        <v>2201.3625296301843</v>
      </c>
      <c r="I479" s="84">
        <v>1.73</v>
      </c>
      <c r="J479" s="53">
        <v>3.755772115376355</v>
      </c>
      <c r="K479" s="78">
        <v>2170.9665406799741</v>
      </c>
      <c r="L479" s="84">
        <v>0.96</v>
      </c>
      <c r="M479" s="53">
        <v>2.1080339349235846</v>
      </c>
      <c r="N479" s="78">
        <v>2195.8686822120676</v>
      </c>
    </row>
    <row r="480" spans="1:14" ht="19.5" customHeight="1" outlineLevel="1" x14ac:dyDescent="0.2">
      <c r="A480" s="101">
        <v>20</v>
      </c>
      <c r="B480" s="81" t="s">
        <v>27</v>
      </c>
      <c r="C480" s="84">
        <v>5.12</v>
      </c>
      <c r="D480" s="53">
        <v>11.471215976426542</v>
      </c>
      <c r="E480" s="78">
        <v>2240.4718703958088</v>
      </c>
      <c r="F480" s="84">
        <v>8.4600000000000009</v>
      </c>
      <c r="G480" s="53">
        <v>18.623527000671363</v>
      </c>
      <c r="H480" s="78">
        <v>2201.3625296301843</v>
      </c>
      <c r="I480" s="84">
        <v>8.14</v>
      </c>
      <c r="J480" s="53">
        <v>17.671667641134992</v>
      </c>
      <c r="K480" s="78">
        <v>2170.9665406799741</v>
      </c>
      <c r="L480" s="84">
        <v>7.2400000000000011</v>
      </c>
      <c r="M480" s="53">
        <v>15.922136872744298</v>
      </c>
      <c r="N480" s="78">
        <v>2199.1901757934111</v>
      </c>
    </row>
    <row r="481" spans="1:14" ht="19.5" customHeight="1" outlineLevel="1" x14ac:dyDescent="0.2">
      <c r="A481" s="101">
        <v>21</v>
      </c>
      <c r="B481" s="81" t="s">
        <v>28</v>
      </c>
      <c r="C481" s="84">
        <v>123.9</v>
      </c>
      <c r="D481" s="53">
        <v>281.24675363184082</v>
      </c>
      <c r="E481" s="78">
        <v>2269.9495854063016</v>
      </c>
      <c r="F481" s="84">
        <v>111</v>
      </c>
      <c r="G481" s="53">
        <v>233.10052007744434</v>
      </c>
      <c r="H481" s="78">
        <v>2100.0046853823815</v>
      </c>
      <c r="I481" s="84">
        <v>95.55</v>
      </c>
      <c r="J481" s="53">
        <v>183.79641238992991</v>
      </c>
      <c r="K481" s="78">
        <v>1923.5626623749861</v>
      </c>
      <c r="L481" s="84">
        <v>110.14999999999999</v>
      </c>
      <c r="M481" s="53">
        <v>232.7145620330717</v>
      </c>
      <c r="N481" s="78">
        <v>2112.7059648939785</v>
      </c>
    </row>
    <row r="482" spans="1:14" ht="19.5" customHeight="1" outlineLevel="1" x14ac:dyDescent="0.2">
      <c r="A482" s="101">
        <v>22</v>
      </c>
      <c r="B482" s="81" t="s">
        <v>29</v>
      </c>
      <c r="C482" s="84">
        <v>52.14</v>
      </c>
      <c r="D482" s="53">
        <v>87.723635506146451</v>
      </c>
      <c r="E482" s="78">
        <v>1682.4632816675576</v>
      </c>
      <c r="F482" s="84">
        <v>64.91</v>
      </c>
      <c r="G482" s="53">
        <v>118.76958366347799</v>
      </c>
      <c r="H482" s="78">
        <v>1829.7578749572945</v>
      </c>
      <c r="I482" s="84">
        <v>52.67</v>
      </c>
      <c r="J482" s="53">
        <v>103.69212264989775</v>
      </c>
      <c r="K482" s="78">
        <v>1968.7131697341513</v>
      </c>
      <c r="L482" s="84">
        <v>56.573333333333331</v>
      </c>
      <c r="M482" s="53">
        <v>103.39511393984073</v>
      </c>
      <c r="N482" s="78">
        <v>1827.6298716681722</v>
      </c>
    </row>
    <row r="483" spans="1:14" ht="19.5" customHeight="1" outlineLevel="1" x14ac:dyDescent="0.2">
      <c r="A483" s="101">
        <v>23</v>
      </c>
      <c r="B483" s="81" t="s">
        <v>30</v>
      </c>
      <c r="C483" s="84">
        <v>27</v>
      </c>
      <c r="D483" s="53">
        <v>47.458814173228347</v>
      </c>
      <c r="E483" s="78">
        <v>1757.7338582677166</v>
      </c>
      <c r="F483" s="84">
        <v>26.09</v>
      </c>
      <c r="G483" s="53">
        <v>42.413340050622736</v>
      </c>
      <c r="H483" s="78">
        <v>1625.6550421856166</v>
      </c>
      <c r="I483" s="84">
        <v>20.22</v>
      </c>
      <c r="J483" s="53">
        <v>32.116627686832736</v>
      </c>
      <c r="K483" s="78">
        <v>1588.3594306049822</v>
      </c>
      <c r="L483" s="84">
        <v>24.436666666666667</v>
      </c>
      <c r="M483" s="53">
        <v>40.662927303561275</v>
      </c>
      <c r="N483" s="78">
        <v>1664.0128483247011</v>
      </c>
    </row>
    <row r="484" spans="1:14" ht="19.5" customHeight="1" outlineLevel="1" x14ac:dyDescent="0.2">
      <c r="A484" s="101">
        <v>24</v>
      </c>
      <c r="B484" s="81" t="s">
        <v>31</v>
      </c>
      <c r="C484" s="84">
        <v>0</v>
      </c>
      <c r="D484" s="53">
        <v>0</v>
      </c>
      <c r="E484" s="78">
        <v>0</v>
      </c>
      <c r="F484" s="84">
        <v>0</v>
      </c>
      <c r="G484" s="53">
        <v>0</v>
      </c>
      <c r="H484" s="78">
        <v>0</v>
      </c>
      <c r="I484" s="84">
        <v>1.64</v>
      </c>
      <c r="J484" s="53">
        <v>3.5603851267151572</v>
      </c>
      <c r="K484" s="78">
        <v>2170.9665406799741</v>
      </c>
      <c r="L484" s="84">
        <v>1.64</v>
      </c>
      <c r="M484" s="53">
        <v>3.5603851267151572</v>
      </c>
      <c r="N484" s="78">
        <v>2170.9665406799741</v>
      </c>
    </row>
    <row r="485" spans="1:14" ht="19.5" customHeight="1" outlineLevel="1" x14ac:dyDescent="0.2">
      <c r="A485" s="101">
        <v>25</v>
      </c>
      <c r="B485" s="81" t="s">
        <v>32</v>
      </c>
      <c r="C485" s="84">
        <v>404.84</v>
      </c>
      <c r="D485" s="53">
        <v>918.98539599999992</v>
      </c>
      <c r="E485" s="78">
        <v>2269.9965319632447</v>
      </c>
      <c r="F485" s="84">
        <v>421.23</v>
      </c>
      <c r="G485" s="53">
        <v>834.08470399999999</v>
      </c>
      <c r="H485" s="78">
        <v>1980.1170476936591</v>
      </c>
      <c r="I485" s="84">
        <v>286.55</v>
      </c>
      <c r="J485" s="53">
        <v>574.33200999999997</v>
      </c>
      <c r="K485" s="78">
        <v>2004.2994590821847</v>
      </c>
      <c r="L485" s="84">
        <v>370.87333333333328</v>
      </c>
      <c r="M485" s="53">
        <v>775.80070333333333</v>
      </c>
      <c r="N485" s="78">
        <v>2091.8212058025206</v>
      </c>
    </row>
    <row r="486" spans="1:14" ht="19.5" customHeight="1" outlineLevel="1" x14ac:dyDescent="0.2">
      <c r="A486" s="101">
        <v>26</v>
      </c>
      <c r="B486" s="81" t="s">
        <v>33</v>
      </c>
      <c r="C486" s="84">
        <v>20.16</v>
      </c>
      <c r="D486" s="53">
        <v>45.167912907179506</v>
      </c>
      <c r="E486" s="78">
        <v>2240.4718703958088</v>
      </c>
      <c r="F486" s="84">
        <v>21.43</v>
      </c>
      <c r="G486" s="53">
        <v>42.452829999999992</v>
      </c>
      <c r="H486" s="78">
        <v>1980.9999999999998</v>
      </c>
      <c r="I486" s="84">
        <v>11.69</v>
      </c>
      <c r="J486" s="53">
        <v>24.121726286302781</v>
      </c>
      <c r="K486" s="78">
        <v>2063.4496395468591</v>
      </c>
      <c r="L486" s="84">
        <v>17.760000000000002</v>
      </c>
      <c r="M486" s="53">
        <v>37.247489731160762</v>
      </c>
      <c r="N486" s="78">
        <v>2097.2685659437366</v>
      </c>
    </row>
    <row r="487" spans="1:14" ht="19.5" customHeight="1" outlineLevel="1" x14ac:dyDescent="0.2">
      <c r="A487" s="101">
        <v>27</v>
      </c>
      <c r="B487" s="81" t="s">
        <v>34</v>
      </c>
      <c r="C487" s="84">
        <v>7.03</v>
      </c>
      <c r="D487" s="53">
        <v>15.750517248882536</v>
      </c>
      <c r="E487" s="78">
        <v>2240.4718703958088</v>
      </c>
      <c r="F487" s="84">
        <v>4.55</v>
      </c>
      <c r="G487" s="53">
        <v>10.016199509817337</v>
      </c>
      <c r="H487" s="78">
        <v>2201.3625296301843</v>
      </c>
      <c r="I487" s="84">
        <v>2.85</v>
      </c>
      <c r="J487" s="53">
        <v>6.1872546409379261</v>
      </c>
      <c r="K487" s="78">
        <v>2170.9665406799741</v>
      </c>
      <c r="L487" s="84">
        <v>4.8099999999999996</v>
      </c>
      <c r="M487" s="53">
        <v>10.651323799879266</v>
      </c>
      <c r="N487" s="78">
        <v>2214.4124324073323</v>
      </c>
    </row>
    <row r="488" spans="1:14" ht="19.5" customHeight="1" outlineLevel="1" x14ac:dyDescent="0.2">
      <c r="A488" s="101">
        <v>28</v>
      </c>
      <c r="B488" s="81" t="s">
        <v>35</v>
      </c>
      <c r="C488" s="84">
        <v>24.72</v>
      </c>
      <c r="D488" s="53">
        <v>45.275370378378369</v>
      </c>
      <c r="E488" s="78">
        <v>1831.5279279279277</v>
      </c>
      <c r="F488" s="84">
        <v>31.4</v>
      </c>
      <c r="G488" s="53">
        <v>50.095559999999999</v>
      </c>
      <c r="H488" s="78">
        <v>1595.4</v>
      </c>
      <c r="I488" s="84">
        <v>25.65</v>
      </c>
      <c r="J488" s="53">
        <v>46.792870575539567</v>
      </c>
      <c r="K488" s="78">
        <v>1824.28345323741</v>
      </c>
      <c r="L488" s="84">
        <v>27.256666666666664</v>
      </c>
      <c r="M488" s="53">
        <v>47.387933651305978</v>
      </c>
      <c r="N488" s="78">
        <v>1738.5813984825479</v>
      </c>
    </row>
    <row r="489" spans="1:14" ht="19.5" customHeight="1" outlineLevel="1" x14ac:dyDescent="0.2">
      <c r="A489" s="101">
        <v>29</v>
      </c>
      <c r="B489" s="81" t="s">
        <v>36</v>
      </c>
      <c r="C489" s="84">
        <v>0.72</v>
      </c>
      <c r="D489" s="53">
        <v>1.6131397466849824</v>
      </c>
      <c r="E489" s="78">
        <v>2240.4718703958088</v>
      </c>
      <c r="F489" s="84">
        <v>0.54</v>
      </c>
      <c r="G489" s="53">
        <v>1.1887357660002997</v>
      </c>
      <c r="H489" s="78">
        <v>2201.3625296301843</v>
      </c>
      <c r="I489" s="84">
        <v>0.27</v>
      </c>
      <c r="J489" s="53">
        <v>0.58616096598359313</v>
      </c>
      <c r="K489" s="78">
        <v>2170.9665406799741</v>
      </c>
      <c r="L489" s="84">
        <v>0.51</v>
      </c>
      <c r="M489" s="53">
        <v>1.1293454928896252</v>
      </c>
      <c r="N489" s="78">
        <v>2214.4029272345592</v>
      </c>
    </row>
    <row r="490" spans="1:14" ht="19.5" customHeight="1" outlineLevel="1" x14ac:dyDescent="0.2">
      <c r="A490" s="101">
        <v>30</v>
      </c>
      <c r="B490" s="81" t="s">
        <v>37</v>
      </c>
      <c r="C490" s="84">
        <v>0</v>
      </c>
      <c r="D490" s="53">
        <v>0</v>
      </c>
      <c r="E490" s="78">
        <v>0</v>
      </c>
      <c r="F490" s="84">
        <v>0</v>
      </c>
      <c r="G490" s="53">
        <v>0</v>
      </c>
      <c r="H490" s="78">
        <v>0</v>
      </c>
      <c r="I490" s="84">
        <v>0</v>
      </c>
      <c r="J490" s="53">
        <v>0</v>
      </c>
      <c r="K490" s="78">
        <v>0</v>
      </c>
      <c r="L490" s="84">
        <v>0</v>
      </c>
      <c r="M490" s="53">
        <v>0</v>
      </c>
      <c r="N490" s="78">
        <v>0</v>
      </c>
    </row>
    <row r="491" spans="1:14" ht="19.5" customHeight="1" outlineLevel="1" x14ac:dyDescent="0.2">
      <c r="A491" s="101">
        <v>31</v>
      </c>
      <c r="B491" s="81" t="s">
        <v>38</v>
      </c>
      <c r="C491" s="84">
        <v>0</v>
      </c>
      <c r="D491" s="53">
        <v>0</v>
      </c>
      <c r="E491" s="78">
        <v>0</v>
      </c>
      <c r="F491" s="84">
        <v>0</v>
      </c>
      <c r="G491" s="53">
        <v>0</v>
      </c>
      <c r="H491" s="78">
        <v>0</v>
      </c>
      <c r="I491" s="84">
        <v>0</v>
      </c>
      <c r="J491" s="53">
        <v>0</v>
      </c>
      <c r="K491" s="78">
        <v>0</v>
      </c>
      <c r="L491" s="84">
        <v>0</v>
      </c>
      <c r="M491" s="53">
        <v>0</v>
      </c>
      <c r="N491" s="78">
        <v>0</v>
      </c>
    </row>
    <row r="492" spans="1:14" ht="19.5" customHeight="1" outlineLevel="1" x14ac:dyDescent="0.2">
      <c r="A492" s="101">
        <v>32</v>
      </c>
      <c r="B492" s="81" t="s">
        <v>39</v>
      </c>
      <c r="C492" s="84">
        <v>0</v>
      </c>
      <c r="D492" s="53">
        <v>0</v>
      </c>
      <c r="E492" s="78">
        <v>0</v>
      </c>
      <c r="F492" s="84">
        <v>0</v>
      </c>
      <c r="G492" s="53">
        <v>0</v>
      </c>
      <c r="H492" s="78">
        <v>0</v>
      </c>
      <c r="I492" s="84">
        <v>0</v>
      </c>
      <c r="J492" s="53">
        <v>0</v>
      </c>
      <c r="K492" s="78">
        <v>0</v>
      </c>
      <c r="L492" s="84">
        <v>0</v>
      </c>
      <c r="M492" s="53">
        <v>0</v>
      </c>
      <c r="N492" s="78">
        <v>0</v>
      </c>
    </row>
    <row r="493" spans="1:14" ht="19.5" customHeight="1" outlineLevel="1" thickBot="1" x14ac:dyDescent="0.25">
      <c r="A493" s="102">
        <v>33</v>
      </c>
      <c r="B493" s="91" t="s">
        <v>40</v>
      </c>
      <c r="C493" s="92">
        <v>8.31</v>
      </c>
      <c r="D493" s="93">
        <v>18.618321242989172</v>
      </c>
      <c r="E493" s="94">
        <v>2240.4718703958088</v>
      </c>
      <c r="F493" s="92">
        <v>3.22</v>
      </c>
      <c r="G493" s="93">
        <v>7.0883873454091937</v>
      </c>
      <c r="H493" s="94">
        <v>2201.3625296301843</v>
      </c>
      <c r="I493" s="92">
        <v>3.41</v>
      </c>
      <c r="J493" s="93">
        <v>7.4029959037187121</v>
      </c>
      <c r="K493" s="94">
        <v>2170.9665406799741</v>
      </c>
      <c r="L493" s="92">
        <v>4.9800000000000004</v>
      </c>
      <c r="M493" s="93">
        <v>11.036568164039025</v>
      </c>
      <c r="N493" s="94">
        <v>2216.1783461925752</v>
      </c>
    </row>
    <row r="494" spans="1:14" ht="19.5" customHeight="1" thickBot="1" x14ac:dyDescent="0.25">
      <c r="A494" s="151" t="s">
        <v>41</v>
      </c>
      <c r="B494" s="152"/>
      <c r="C494" s="96">
        <v>7155.5199999999995</v>
      </c>
      <c r="D494" s="97">
        <v>16031.741278054751</v>
      </c>
      <c r="E494" s="98">
        <v>2240.4718703958274</v>
      </c>
      <c r="F494" s="96">
        <v>7247.6800000000012</v>
      </c>
      <c r="G494" s="97">
        <v>15954.771178749934</v>
      </c>
      <c r="H494" s="98">
        <v>2201.362529630162</v>
      </c>
      <c r="I494" s="96">
        <v>6464.39</v>
      </c>
      <c r="J494" s="97">
        <v>14033.974395906342</v>
      </c>
      <c r="K494" s="98">
        <v>2170.9665406799932</v>
      </c>
      <c r="L494" s="96">
        <v>6955.8633333333337</v>
      </c>
      <c r="M494" s="97">
        <v>15340.162284237007</v>
      </c>
      <c r="N494" s="98">
        <v>2205.3570562154528</v>
      </c>
    </row>
    <row r="495" spans="1:14" ht="34.5" customHeight="1" x14ac:dyDescent="0.2">
      <c r="A495" s="153" t="s">
        <v>247</v>
      </c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</row>
    <row r="496" spans="1:14" ht="19.5" customHeight="1" thickBot="1" x14ac:dyDescent="0.25">
      <c r="A496" s="50"/>
      <c r="B496" s="138" t="s">
        <v>54</v>
      </c>
      <c r="C496" s="52"/>
      <c r="D496" s="52"/>
      <c r="E496" s="52"/>
      <c r="F496" s="52"/>
      <c r="G496" s="52"/>
      <c r="H496" s="52"/>
      <c r="I496" s="52"/>
      <c r="J496" s="52"/>
      <c r="K496" s="155" t="s">
        <v>1</v>
      </c>
      <c r="L496" s="154"/>
      <c r="M496" s="154"/>
      <c r="N496" s="154"/>
    </row>
    <row r="497" spans="1:14" ht="19.5" customHeight="1" x14ac:dyDescent="0.2">
      <c r="A497" s="156" t="s">
        <v>2</v>
      </c>
      <c r="B497" s="158" t="s">
        <v>3</v>
      </c>
      <c r="C497" s="148" t="s">
        <v>243</v>
      </c>
      <c r="D497" s="149"/>
      <c r="E497" s="150"/>
      <c r="F497" s="148" t="s">
        <v>244</v>
      </c>
      <c r="G497" s="149"/>
      <c r="H497" s="150"/>
      <c r="I497" s="148" t="s">
        <v>246</v>
      </c>
      <c r="J497" s="149"/>
      <c r="K497" s="150"/>
      <c r="L497" s="148" t="s">
        <v>4</v>
      </c>
      <c r="M497" s="149"/>
      <c r="N497" s="150"/>
    </row>
    <row r="498" spans="1:14" ht="19.5" customHeight="1" thickBot="1" x14ac:dyDescent="0.25">
      <c r="A498" s="157"/>
      <c r="B498" s="159"/>
      <c r="C498" s="85" t="s">
        <v>5</v>
      </c>
      <c r="D498" s="79" t="s">
        <v>6</v>
      </c>
      <c r="E498" s="80" t="s">
        <v>7</v>
      </c>
      <c r="F498" s="85" t="s">
        <v>5</v>
      </c>
      <c r="G498" s="79" t="s">
        <v>6</v>
      </c>
      <c r="H498" s="80" t="s">
        <v>7</v>
      </c>
      <c r="I498" s="85" t="s">
        <v>5</v>
      </c>
      <c r="J498" s="79" t="s">
        <v>6</v>
      </c>
      <c r="K498" s="80" t="s">
        <v>7</v>
      </c>
      <c r="L498" s="85" t="s">
        <v>5</v>
      </c>
      <c r="M498" s="79" t="s">
        <v>6</v>
      </c>
      <c r="N498" s="80" t="s">
        <v>7</v>
      </c>
    </row>
    <row r="499" spans="1:14" ht="19.5" customHeight="1" outlineLevel="1" x14ac:dyDescent="0.2">
      <c r="A499" s="100">
        <v>1</v>
      </c>
      <c r="B499" s="86" t="s">
        <v>8</v>
      </c>
      <c r="C499" s="87">
        <v>348.97</v>
      </c>
      <c r="D499" s="88">
        <v>159.48796291173178</v>
      </c>
      <c r="E499" s="89">
        <v>457.02485288629907</v>
      </c>
      <c r="F499" s="87">
        <v>315.69</v>
      </c>
      <c r="G499" s="88">
        <v>163.83326352386695</v>
      </c>
      <c r="H499" s="89">
        <v>518.96880966729054</v>
      </c>
      <c r="I499" s="87">
        <v>313.85000000000002</v>
      </c>
      <c r="J499" s="88">
        <v>135.3654944371707</v>
      </c>
      <c r="K499" s="89">
        <v>431.30633881526427</v>
      </c>
      <c r="L499" s="87">
        <v>326.17</v>
      </c>
      <c r="M499" s="88">
        <v>152.89557362425649</v>
      </c>
      <c r="N499" s="89">
        <v>468.76038147057199</v>
      </c>
    </row>
    <row r="500" spans="1:14" ht="19.5" customHeight="1" outlineLevel="1" x14ac:dyDescent="0.2">
      <c r="A500" s="101">
        <v>2</v>
      </c>
      <c r="B500" s="81" t="s">
        <v>9</v>
      </c>
      <c r="C500" s="84">
        <v>5.8</v>
      </c>
      <c r="D500" s="53">
        <v>2.6331999999999995</v>
      </c>
      <c r="E500" s="78">
        <v>453.99999999999994</v>
      </c>
      <c r="F500" s="84">
        <v>16.77</v>
      </c>
      <c r="G500" s="53">
        <v>8.8296063589272329</v>
      </c>
      <c r="H500" s="78">
        <v>526.51200709166562</v>
      </c>
      <c r="I500" s="84">
        <v>6.74</v>
      </c>
      <c r="J500" s="53">
        <v>3.0340150653965234</v>
      </c>
      <c r="K500" s="78">
        <v>450.15060317455834</v>
      </c>
      <c r="L500" s="84">
        <v>9.7700000000000014</v>
      </c>
      <c r="M500" s="53">
        <v>4.8322738081079182</v>
      </c>
      <c r="N500" s="78">
        <v>494.60325569170084</v>
      </c>
    </row>
    <row r="501" spans="1:14" ht="19.5" customHeight="1" outlineLevel="1" x14ac:dyDescent="0.2">
      <c r="A501" s="101">
        <v>3</v>
      </c>
      <c r="B501" s="81" t="s">
        <v>10</v>
      </c>
      <c r="C501" s="84">
        <v>9.35</v>
      </c>
      <c r="D501" s="53">
        <v>4.7530398212144549</v>
      </c>
      <c r="E501" s="78">
        <v>508.34650494272239</v>
      </c>
      <c r="F501" s="84">
        <v>7.04</v>
      </c>
      <c r="G501" s="53">
        <v>5.420799999999999</v>
      </c>
      <c r="H501" s="78">
        <v>769.99999999999989</v>
      </c>
      <c r="I501" s="84">
        <v>23.24</v>
      </c>
      <c r="J501" s="53">
        <v>15.198959999999996</v>
      </c>
      <c r="K501" s="78">
        <v>653.99999999999989</v>
      </c>
      <c r="L501" s="84">
        <v>13.209999999999999</v>
      </c>
      <c r="M501" s="53">
        <v>8.4575999404048172</v>
      </c>
      <c r="N501" s="78">
        <v>640.24223621535339</v>
      </c>
    </row>
    <row r="502" spans="1:14" ht="19.5" customHeight="1" outlineLevel="1" x14ac:dyDescent="0.2">
      <c r="A502" s="101">
        <v>4</v>
      </c>
      <c r="B502" s="81" t="s">
        <v>11</v>
      </c>
      <c r="C502" s="84">
        <v>13.86</v>
      </c>
      <c r="D502" s="53">
        <v>7.2349199999999998</v>
      </c>
      <c r="E502" s="78">
        <v>522</v>
      </c>
      <c r="F502" s="84">
        <v>11.38</v>
      </c>
      <c r="G502" s="53">
        <v>6.859864</v>
      </c>
      <c r="H502" s="78">
        <v>602.79999999999995</v>
      </c>
      <c r="I502" s="84">
        <v>12.02</v>
      </c>
      <c r="J502" s="53">
        <v>4.8993520000000004</v>
      </c>
      <c r="K502" s="78">
        <v>407.60000000000008</v>
      </c>
      <c r="L502" s="84">
        <v>12.420000000000002</v>
      </c>
      <c r="M502" s="53">
        <v>6.3313786666666667</v>
      </c>
      <c r="N502" s="78">
        <v>509.77283950617277</v>
      </c>
    </row>
    <row r="503" spans="1:14" ht="19.5" customHeight="1" outlineLevel="1" x14ac:dyDescent="0.2">
      <c r="A503" s="101">
        <v>5</v>
      </c>
      <c r="B503" s="81" t="s">
        <v>12</v>
      </c>
      <c r="C503" s="84">
        <v>0.65</v>
      </c>
      <c r="D503" s="53">
        <v>0.33042522821276959</v>
      </c>
      <c r="E503" s="78">
        <v>508.34650494272239</v>
      </c>
      <c r="F503" s="84">
        <v>0.59</v>
      </c>
      <c r="G503" s="53">
        <v>0.31064208418408268</v>
      </c>
      <c r="H503" s="78">
        <v>526.51200709166562</v>
      </c>
      <c r="I503" s="84">
        <v>0</v>
      </c>
      <c r="J503" s="53">
        <v>0</v>
      </c>
      <c r="K503" s="78">
        <v>0</v>
      </c>
      <c r="L503" s="84">
        <v>0.62</v>
      </c>
      <c r="M503" s="53">
        <v>0.32053365619842611</v>
      </c>
      <c r="N503" s="78">
        <v>516.98976806197766</v>
      </c>
    </row>
    <row r="504" spans="1:14" ht="19.5" customHeight="1" outlineLevel="1" x14ac:dyDescent="0.2">
      <c r="A504" s="101">
        <v>6</v>
      </c>
      <c r="B504" s="81" t="s">
        <v>13</v>
      </c>
      <c r="C504" s="84">
        <v>2.4500000000000002</v>
      </c>
      <c r="D504" s="53">
        <v>1.24544893710967</v>
      </c>
      <c r="E504" s="78">
        <v>508.34650494272239</v>
      </c>
      <c r="F504" s="84">
        <v>2.15</v>
      </c>
      <c r="G504" s="53">
        <v>1.1320008152470808</v>
      </c>
      <c r="H504" s="78">
        <v>526.51200709166562</v>
      </c>
      <c r="I504" s="84">
        <v>0.52</v>
      </c>
      <c r="J504" s="53">
        <v>0.23407831365077036</v>
      </c>
      <c r="K504" s="78">
        <v>450.15060317455834</v>
      </c>
      <c r="L504" s="84">
        <v>1.7066666666666663</v>
      </c>
      <c r="M504" s="53">
        <v>0.8705093553358404</v>
      </c>
      <c r="N504" s="78">
        <v>510.06407539209408</v>
      </c>
    </row>
    <row r="505" spans="1:14" ht="19.5" customHeight="1" outlineLevel="1" x14ac:dyDescent="0.2">
      <c r="A505" s="101">
        <v>7</v>
      </c>
      <c r="B505" s="81" t="s">
        <v>14</v>
      </c>
      <c r="C505" s="84">
        <v>4.62</v>
      </c>
      <c r="D505" s="53">
        <v>2.3485608528353774</v>
      </c>
      <c r="E505" s="78">
        <v>508.34650494272239</v>
      </c>
      <c r="F505" s="84">
        <v>2.92</v>
      </c>
      <c r="G505" s="53">
        <v>1.5374150607076635</v>
      </c>
      <c r="H505" s="78">
        <v>526.51200709166562</v>
      </c>
      <c r="I505" s="84">
        <v>2.2799999999999998</v>
      </c>
      <c r="J505" s="53">
        <v>1.0263433752379929</v>
      </c>
      <c r="K505" s="78">
        <v>450.15060317455834</v>
      </c>
      <c r="L505" s="84">
        <v>3.2733333333333334</v>
      </c>
      <c r="M505" s="53">
        <v>1.6374397629270112</v>
      </c>
      <c r="N505" s="78">
        <v>500.23618012026822</v>
      </c>
    </row>
    <row r="506" spans="1:14" ht="19.5" customHeight="1" outlineLevel="1" x14ac:dyDescent="0.2">
      <c r="A506" s="101">
        <v>8</v>
      </c>
      <c r="B506" s="81" t="s">
        <v>15</v>
      </c>
      <c r="C506" s="84">
        <v>10.52</v>
      </c>
      <c r="D506" s="53">
        <v>2.604752</v>
      </c>
      <c r="E506" s="78">
        <v>247.60000000000002</v>
      </c>
      <c r="F506" s="84">
        <v>4.34</v>
      </c>
      <c r="G506" s="53">
        <v>1.8696720000000002</v>
      </c>
      <c r="H506" s="78">
        <v>430.80000000000007</v>
      </c>
      <c r="I506" s="84">
        <v>4.53</v>
      </c>
      <c r="J506" s="53">
        <v>2.0391822323807496</v>
      </c>
      <c r="K506" s="78">
        <v>450.15060317455834</v>
      </c>
      <c r="L506" s="84">
        <v>6.4633333333333338</v>
      </c>
      <c r="M506" s="53">
        <v>2.1712020774602498</v>
      </c>
      <c r="N506" s="78">
        <v>335.92605633732586</v>
      </c>
    </row>
    <row r="507" spans="1:14" ht="19.5" customHeight="1" outlineLevel="1" x14ac:dyDescent="0.2">
      <c r="A507" s="101">
        <v>9</v>
      </c>
      <c r="B507" s="81" t="s">
        <v>16</v>
      </c>
      <c r="C507" s="84">
        <v>85.78</v>
      </c>
      <c r="D507" s="53">
        <v>38.319417518330781</v>
      </c>
      <c r="E507" s="78">
        <v>446.71738771660972</v>
      </c>
      <c r="F507" s="84">
        <v>71.569999999999993</v>
      </c>
      <c r="G507" s="53">
        <v>29.428007999999995</v>
      </c>
      <c r="H507" s="78">
        <v>411.17797960039121</v>
      </c>
      <c r="I507" s="84">
        <v>44.22</v>
      </c>
      <c r="J507" s="53">
        <v>12.975644083900846</v>
      </c>
      <c r="K507" s="78">
        <v>293.4338327431218</v>
      </c>
      <c r="L507" s="84">
        <v>67.19</v>
      </c>
      <c r="M507" s="53">
        <v>26.907689867410539</v>
      </c>
      <c r="N507" s="78">
        <v>400.47164559325108</v>
      </c>
    </row>
    <row r="508" spans="1:14" ht="19.5" customHeight="1" outlineLevel="1" x14ac:dyDescent="0.2">
      <c r="A508" s="101">
        <v>10</v>
      </c>
      <c r="B508" s="81" t="s">
        <v>17</v>
      </c>
      <c r="C508" s="84">
        <v>21.32</v>
      </c>
      <c r="D508" s="53">
        <v>11.632347999999999</v>
      </c>
      <c r="E508" s="78">
        <v>545.60731707317063</v>
      </c>
      <c r="F508" s="84">
        <v>11.75</v>
      </c>
      <c r="G508" s="53">
        <v>7.3215651376146802</v>
      </c>
      <c r="H508" s="78">
        <v>623.11192660550466</v>
      </c>
      <c r="I508" s="84">
        <v>10.89</v>
      </c>
      <c r="J508" s="53">
        <v>1.8865176809815953</v>
      </c>
      <c r="K508" s="78">
        <v>173.23394683026586</v>
      </c>
      <c r="L508" s="84">
        <v>14.653333333333334</v>
      </c>
      <c r="M508" s="53">
        <v>6.9468102728654237</v>
      </c>
      <c r="N508" s="78">
        <v>474.07713418098888</v>
      </c>
    </row>
    <row r="509" spans="1:14" ht="19.5" customHeight="1" outlineLevel="1" x14ac:dyDescent="0.2">
      <c r="A509" s="101">
        <v>11</v>
      </c>
      <c r="B509" s="81" t="s">
        <v>18</v>
      </c>
      <c r="C509" s="84">
        <v>12.95</v>
      </c>
      <c r="D509" s="53">
        <v>6.5830872390082549</v>
      </c>
      <c r="E509" s="78">
        <v>508.34650494272239</v>
      </c>
      <c r="F509" s="84">
        <v>11.52</v>
      </c>
      <c r="G509" s="53">
        <v>6.0654183216959883</v>
      </c>
      <c r="H509" s="78">
        <v>526.51200709166562</v>
      </c>
      <c r="I509" s="84">
        <v>11.65</v>
      </c>
      <c r="J509" s="53">
        <v>5.2442545269836049</v>
      </c>
      <c r="K509" s="78">
        <v>450.15060317455834</v>
      </c>
      <c r="L509" s="84">
        <v>12.04</v>
      </c>
      <c r="M509" s="53">
        <v>5.9642533625626157</v>
      </c>
      <c r="N509" s="78">
        <v>495.36988061151294</v>
      </c>
    </row>
    <row r="510" spans="1:14" ht="19.5" customHeight="1" outlineLevel="1" x14ac:dyDescent="0.2">
      <c r="A510" s="101">
        <v>12</v>
      </c>
      <c r="B510" s="81" t="s">
        <v>19</v>
      </c>
      <c r="C510" s="84">
        <v>18.190000000000001</v>
      </c>
      <c r="D510" s="53">
        <v>14.238979929260449</v>
      </c>
      <c r="E510" s="78">
        <v>782.79163987138259</v>
      </c>
      <c r="F510" s="84">
        <v>10.01</v>
      </c>
      <c r="G510" s="53">
        <v>8.8386315510204092</v>
      </c>
      <c r="H510" s="78">
        <v>882.98017492711381</v>
      </c>
      <c r="I510" s="84">
        <v>9.43</v>
      </c>
      <c r="J510" s="53">
        <v>5.0280760000000004</v>
      </c>
      <c r="K510" s="78">
        <v>533.20000000000005</v>
      </c>
      <c r="L510" s="84">
        <v>12.543333333333335</v>
      </c>
      <c r="M510" s="53">
        <v>9.3685624934269516</v>
      </c>
      <c r="N510" s="78">
        <v>746.89576083658915</v>
      </c>
    </row>
    <row r="511" spans="1:14" ht="19.5" customHeight="1" outlineLevel="1" x14ac:dyDescent="0.2">
      <c r="A511" s="101">
        <v>13</v>
      </c>
      <c r="B511" s="81" t="s">
        <v>20</v>
      </c>
      <c r="C511" s="84">
        <v>38.020000000000003</v>
      </c>
      <c r="D511" s="53">
        <v>7.1747238773006137</v>
      </c>
      <c r="E511" s="78">
        <v>188.70920245398773</v>
      </c>
      <c r="F511" s="84">
        <v>30.49</v>
      </c>
      <c r="G511" s="53">
        <v>10.305619999999999</v>
      </c>
      <c r="H511" s="78">
        <v>338</v>
      </c>
      <c r="I511" s="84">
        <v>4.9400000000000004</v>
      </c>
      <c r="J511" s="53">
        <v>2.2237439796823182</v>
      </c>
      <c r="K511" s="78">
        <v>450.15060317455834</v>
      </c>
      <c r="L511" s="84">
        <v>24.483333333333334</v>
      </c>
      <c r="M511" s="53">
        <v>6.5680292856609768</v>
      </c>
      <c r="N511" s="78">
        <v>268.26532140208207</v>
      </c>
    </row>
    <row r="512" spans="1:14" ht="19.5" customHeight="1" outlineLevel="1" x14ac:dyDescent="0.2">
      <c r="A512" s="101">
        <v>14</v>
      </c>
      <c r="B512" s="81" t="s">
        <v>21</v>
      </c>
      <c r="C512" s="84">
        <v>0</v>
      </c>
      <c r="D512" s="53">
        <v>0</v>
      </c>
      <c r="E512" s="78">
        <v>0</v>
      </c>
      <c r="F512" s="84">
        <v>0</v>
      </c>
      <c r="G512" s="53">
        <v>0</v>
      </c>
      <c r="H512" s="78">
        <v>0</v>
      </c>
      <c r="I512" s="84">
        <v>0</v>
      </c>
      <c r="J512" s="53">
        <v>0</v>
      </c>
      <c r="K512" s="78">
        <v>0</v>
      </c>
      <c r="L512" s="84">
        <v>0</v>
      </c>
      <c r="M512" s="53">
        <v>0</v>
      </c>
      <c r="N512" s="78">
        <v>0</v>
      </c>
    </row>
    <row r="513" spans="1:14" ht="19.5" customHeight="1" outlineLevel="1" x14ac:dyDescent="0.2">
      <c r="A513" s="101">
        <v>15</v>
      </c>
      <c r="B513" s="81" t="s">
        <v>22</v>
      </c>
      <c r="C513" s="84">
        <v>2.62</v>
      </c>
      <c r="D513" s="53">
        <v>1.3318678429499327</v>
      </c>
      <c r="E513" s="78">
        <v>508.34650494272239</v>
      </c>
      <c r="F513" s="84">
        <v>2.02</v>
      </c>
      <c r="G513" s="53">
        <v>1.0635542543251646</v>
      </c>
      <c r="H513" s="78">
        <v>526.51200709166562</v>
      </c>
      <c r="I513" s="84">
        <v>1.1000000000000001</v>
      </c>
      <c r="J513" s="53">
        <v>0.49516566349201424</v>
      </c>
      <c r="K513" s="78">
        <v>450.15060317455834</v>
      </c>
      <c r="L513" s="84">
        <v>1.9133333333333333</v>
      </c>
      <c r="M513" s="53">
        <v>0.96352925358903718</v>
      </c>
      <c r="N513" s="78">
        <v>503.58671790367794</v>
      </c>
    </row>
    <row r="514" spans="1:14" ht="19.5" customHeight="1" outlineLevel="1" x14ac:dyDescent="0.2">
      <c r="A514" s="101">
        <v>16</v>
      </c>
      <c r="B514" s="81" t="s">
        <v>23</v>
      </c>
      <c r="C514" s="84">
        <v>0.05</v>
      </c>
      <c r="D514" s="53">
        <v>2.5417325247136118E-2</v>
      </c>
      <c r="E514" s="78">
        <v>508.34650494272239</v>
      </c>
      <c r="F514" s="84">
        <v>0</v>
      </c>
      <c r="G514" s="53">
        <v>0</v>
      </c>
      <c r="H514" s="78">
        <v>0</v>
      </c>
      <c r="I514" s="84">
        <v>0</v>
      </c>
      <c r="J514" s="53">
        <v>0</v>
      </c>
      <c r="K514" s="78">
        <v>0</v>
      </c>
      <c r="L514" s="84">
        <v>0.05</v>
      </c>
      <c r="M514" s="53">
        <v>2.5417325247136118E-2</v>
      </c>
      <c r="N514" s="78">
        <v>508.34650494272239</v>
      </c>
    </row>
    <row r="515" spans="1:14" ht="19.5" customHeight="1" outlineLevel="1" x14ac:dyDescent="0.2">
      <c r="A515" s="101">
        <v>17</v>
      </c>
      <c r="B515" s="81" t="s">
        <v>24</v>
      </c>
      <c r="C515" s="84">
        <v>42.25</v>
      </c>
      <c r="D515" s="53">
        <v>25.306460753676468</v>
      </c>
      <c r="E515" s="78">
        <v>598.96948529411759</v>
      </c>
      <c r="F515" s="84">
        <v>24.77</v>
      </c>
      <c r="G515" s="53">
        <v>11.875999233838787</v>
      </c>
      <c r="H515" s="78">
        <v>479.45091779728654</v>
      </c>
      <c r="I515" s="84">
        <v>20.57</v>
      </c>
      <c r="J515" s="53">
        <v>11.729759137755103</v>
      </c>
      <c r="K515" s="78">
        <v>570.23622448979597</v>
      </c>
      <c r="L515" s="84">
        <v>29.196666666666669</v>
      </c>
      <c r="M515" s="53">
        <v>16.304073041756787</v>
      </c>
      <c r="N515" s="78">
        <v>558.42241266434928</v>
      </c>
    </row>
    <row r="516" spans="1:14" ht="19.5" customHeight="1" outlineLevel="1" x14ac:dyDescent="0.2">
      <c r="A516" s="101">
        <v>18</v>
      </c>
      <c r="B516" s="81" t="s">
        <v>25</v>
      </c>
      <c r="C516" s="84">
        <v>37.520000000000003</v>
      </c>
      <c r="D516" s="53">
        <v>34.185084705882353</v>
      </c>
      <c r="E516" s="78">
        <v>911.11633011413528</v>
      </c>
      <c r="F516" s="84">
        <v>23.16</v>
      </c>
      <c r="G516" s="53">
        <v>17.229212237837839</v>
      </c>
      <c r="H516" s="78">
        <v>743.92108108108107</v>
      </c>
      <c r="I516" s="84">
        <v>12.15</v>
      </c>
      <c r="J516" s="53">
        <v>10.406124915254239</v>
      </c>
      <c r="K516" s="78">
        <v>856.47118644067803</v>
      </c>
      <c r="L516" s="84">
        <v>24.276666666666671</v>
      </c>
      <c r="M516" s="53">
        <v>20.606807286324809</v>
      </c>
      <c r="N516" s="78">
        <v>848.83182560722798</v>
      </c>
    </row>
    <row r="517" spans="1:14" ht="19.5" customHeight="1" outlineLevel="1" x14ac:dyDescent="0.2">
      <c r="A517" s="101">
        <v>19</v>
      </c>
      <c r="B517" s="81" t="s">
        <v>26</v>
      </c>
      <c r="C517" s="84">
        <v>59.82</v>
      </c>
      <c r="D517" s="53">
        <v>43.899884000000007</v>
      </c>
      <c r="E517" s="78">
        <v>733.86633233032444</v>
      </c>
      <c r="F517" s="84">
        <v>31.87</v>
      </c>
      <c r="G517" s="53">
        <v>22.423728000000004</v>
      </c>
      <c r="H517" s="78">
        <v>703.59987449011612</v>
      </c>
      <c r="I517" s="84">
        <v>14.24</v>
      </c>
      <c r="J517" s="53">
        <v>9.8539410731707324</v>
      </c>
      <c r="K517" s="78">
        <v>691.99024390243903</v>
      </c>
      <c r="L517" s="84">
        <v>35.309999999999995</v>
      </c>
      <c r="M517" s="53">
        <v>25.392517691056913</v>
      </c>
      <c r="N517" s="78">
        <v>719.13105893675777</v>
      </c>
    </row>
    <row r="518" spans="1:14" ht="19.5" customHeight="1" outlineLevel="1" x14ac:dyDescent="0.2">
      <c r="A518" s="101">
        <v>20</v>
      </c>
      <c r="B518" s="81" t="s">
        <v>27</v>
      </c>
      <c r="C518" s="84">
        <v>0.14000000000000001</v>
      </c>
      <c r="D518" s="53">
        <v>7.1168510691981143E-2</v>
      </c>
      <c r="E518" s="78">
        <v>508.34650494272239</v>
      </c>
      <c r="F518" s="84">
        <v>7.0000000000000007E-2</v>
      </c>
      <c r="G518" s="53">
        <v>3.6855840496416596E-2</v>
      </c>
      <c r="H518" s="78">
        <v>526.51200709166562</v>
      </c>
      <c r="I518" s="84">
        <v>0.1</v>
      </c>
      <c r="J518" s="53">
        <v>4.5015060317455835E-2</v>
      </c>
      <c r="K518" s="78">
        <v>450.15060317455834</v>
      </c>
      <c r="L518" s="84">
        <v>0.10333333333333335</v>
      </c>
      <c r="M518" s="53">
        <v>5.1013137168617856E-2</v>
      </c>
      <c r="N518" s="78">
        <v>493.67552098662429</v>
      </c>
    </row>
    <row r="519" spans="1:14" ht="19.5" customHeight="1" outlineLevel="1" x14ac:dyDescent="0.2">
      <c r="A519" s="101">
        <v>21</v>
      </c>
      <c r="B519" s="81" t="s">
        <v>28</v>
      </c>
      <c r="C519" s="84">
        <v>3.77</v>
      </c>
      <c r="D519" s="53">
        <v>1.9164663236340633</v>
      </c>
      <c r="E519" s="78">
        <v>508.34650494272239</v>
      </c>
      <c r="F519" s="84">
        <v>3.04</v>
      </c>
      <c r="G519" s="53">
        <v>1.6005965015586634</v>
      </c>
      <c r="H519" s="78">
        <v>526.51200709166562</v>
      </c>
      <c r="I519" s="84">
        <v>1.2</v>
      </c>
      <c r="J519" s="53">
        <v>0.54018072380947002</v>
      </c>
      <c r="K519" s="78">
        <v>450.15060317455834</v>
      </c>
      <c r="L519" s="84">
        <v>2.67</v>
      </c>
      <c r="M519" s="53">
        <v>1.3524145163340655</v>
      </c>
      <c r="N519" s="78">
        <v>506.52229076182226</v>
      </c>
    </row>
    <row r="520" spans="1:14" ht="19.5" customHeight="1" outlineLevel="1" x14ac:dyDescent="0.2">
      <c r="A520" s="101">
        <v>22</v>
      </c>
      <c r="B520" s="81" t="s">
        <v>29</v>
      </c>
      <c r="C520" s="84">
        <v>0.24</v>
      </c>
      <c r="D520" s="53">
        <v>0.12200316118625336</v>
      </c>
      <c r="E520" s="78">
        <v>508.34650494272239</v>
      </c>
      <c r="F520" s="84">
        <v>7.0000000000000007E-2</v>
      </c>
      <c r="G520" s="53">
        <v>3.6855840496416596E-2</v>
      </c>
      <c r="H520" s="78">
        <v>526.51200709166562</v>
      </c>
      <c r="I520" s="84">
        <v>0.06</v>
      </c>
      <c r="J520" s="53">
        <v>2.7009036190473498E-2</v>
      </c>
      <c r="K520" s="78">
        <v>450.15060317455834</v>
      </c>
      <c r="L520" s="84">
        <v>0.12333333333333334</v>
      </c>
      <c r="M520" s="53">
        <v>6.1956012624381142E-2</v>
      </c>
      <c r="N520" s="78">
        <v>502.34604830579303</v>
      </c>
    </row>
    <row r="521" spans="1:14" ht="19.5" customHeight="1" outlineLevel="1" x14ac:dyDescent="0.2">
      <c r="A521" s="101">
        <v>23</v>
      </c>
      <c r="B521" s="81" t="s">
        <v>30</v>
      </c>
      <c r="C521" s="84">
        <v>0.24</v>
      </c>
      <c r="D521" s="53">
        <v>0.12200316118625336</v>
      </c>
      <c r="E521" s="78">
        <v>508.34650494272239</v>
      </c>
      <c r="F521" s="84">
        <v>0.28000000000000003</v>
      </c>
      <c r="G521" s="53">
        <v>0.14742336198566638</v>
      </c>
      <c r="H521" s="78">
        <v>526.51200709166562</v>
      </c>
      <c r="I521" s="84">
        <v>0.34</v>
      </c>
      <c r="J521" s="53">
        <v>0.15305120507934983</v>
      </c>
      <c r="K521" s="78">
        <v>450.15060317455834</v>
      </c>
      <c r="L521" s="84">
        <v>0.28666666666666668</v>
      </c>
      <c r="M521" s="53">
        <v>0.14082590941708986</v>
      </c>
      <c r="N521" s="78">
        <v>491.25317238519716</v>
      </c>
    </row>
    <row r="522" spans="1:14" ht="19.5" customHeight="1" outlineLevel="1" x14ac:dyDescent="0.2">
      <c r="A522" s="101">
        <v>24</v>
      </c>
      <c r="B522" s="81" t="s">
        <v>31</v>
      </c>
      <c r="C522" s="84">
        <v>0</v>
      </c>
      <c r="D522" s="53">
        <v>0</v>
      </c>
      <c r="E522" s="78">
        <v>0</v>
      </c>
      <c r="F522" s="84">
        <v>0</v>
      </c>
      <c r="G522" s="53">
        <v>0</v>
      </c>
      <c r="H522" s="78">
        <v>0</v>
      </c>
      <c r="I522" s="84">
        <v>0</v>
      </c>
      <c r="J522" s="53">
        <v>0</v>
      </c>
      <c r="K522" s="78">
        <v>0</v>
      </c>
      <c r="L522" s="84">
        <v>0</v>
      </c>
      <c r="M522" s="53">
        <v>0</v>
      </c>
      <c r="N522" s="78">
        <v>0</v>
      </c>
    </row>
    <row r="523" spans="1:14" ht="19.5" customHeight="1" outlineLevel="1" x14ac:dyDescent="0.2">
      <c r="A523" s="101">
        <v>25</v>
      </c>
      <c r="B523" s="81" t="s">
        <v>32</v>
      </c>
      <c r="C523" s="84">
        <v>0</v>
      </c>
      <c r="D523" s="53">
        <v>0</v>
      </c>
      <c r="E523" s="78">
        <v>0</v>
      </c>
      <c r="F523" s="84">
        <v>0</v>
      </c>
      <c r="G523" s="53">
        <v>0</v>
      </c>
      <c r="H523" s="78">
        <v>0</v>
      </c>
      <c r="I523" s="84">
        <v>0</v>
      </c>
      <c r="J523" s="53">
        <v>0</v>
      </c>
      <c r="K523" s="78">
        <v>0</v>
      </c>
      <c r="L523" s="84">
        <v>0</v>
      </c>
      <c r="M523" s="53">
        <v>0</v>
      </c>
      <c r="N523" s="78">
        <v>0</v>
      </c>
    </row>
    <row r="524" spans="1:14" ht="19.5" customHeight="1" outlineLevel="1" x14ac:dyDescent="0.2">
      <c r="A524" s="101">
        <v>26</v>
      </c>
      <c r="B524" s="81" t="s">
        <v>33</v>
      </c>
      <c r="C524" s="84">
        <v>0</v>
      </c>
      <c r="D524" s="53">
        <v>0</v>
      </c>
      <c r="E524" s="78">
        <v>0</v>
      </c>
      <c r="F524" s="84">
        <v>0.02</v>
      </c>
      <c r="G524" s="53">
        <v>1.0530240141833312E-2</v>
      </c>
      <c r="H524" s="78">
        <v>526.51200709166562</v>
      </c>
      <c r="I524" s="84">
        <v>0</v>
      </c>
      <c r="J524" s="53">
        <v>0</v>
      </c>
      <c r="K524" s="78">
        <v>0</v>
      </c>
      <c r="L524" s="84">
        <v>0.02</v>
      </c>
      <c r="M524" s="53">
        <v>1.0530240141833312E-2</v>
      </c>
      <c r="N524" s="78">
        <v>526.51200709166562</v>
      </c>
    </row>
    <row r="525" spans="1:14" ht="19.5" customHeight="1" outlineLevel="1" x14ac:dyDescent="0.2">
      <c r="A525" s="101">
        <v>27</v>
      </c>
      <c r="B525" s="81" t="s">
        <v>34</v>
      </c>
      <c r="C525" s="84">
        <v>0.11</v>
      </c>
      <c r="D525" s="53">
        <v>5.5918115543699465E-2</v>
      </c>
      <c r="E525" s="78">
        <v>508.34650494272239</v>
      </c>
      <c r="F525" s="84">
        <v>0</v>
      </c>
      <c r="G525" s="53">
        <v>0</v>
      </c>
      <c r="H525" s="78">
        <v>0</v>
      </c>
      <c r="I525" s="84">
        <v>0</v>
      </c>
      <c r="J525" s="53">
        <v>0</v>
      </c>
      <c r="K525" s="78">
        <v>0</v>
      </c>
      <c r="L525" s="84">
        <v>0.11</v>
      </c>
      <c r="M525" s="53">
        <v>5.5918115543699465E-2</v>
      </c>
      <c r="N525" s="78">
        <v>508.34650494272239</v>
      </c>
    </row>
    <row r="526" spans="1:14" ht="19.5" customHeight="1" outlineLevel="1" x14ac:dyDescent="0.2">
      <c r="A526" s="101">
        <v>28</v>
      </c>
      <c r="B526" s="81" t="s">
        <v>35</v>
      </c>
      <c r="C526" s="84">
        <v>0</v>
      </c>
      <c r="D526" s="53">
        <v>0</v>
      </c>
      <c r="E526" s="78">
        <v>0</v>
      </c>
      <c r="F526" s="84">
        <v>0</v>
      </c>
      <c r="G526" s="53">
        <v>0</v>
      </c>
      <c r="H526" s="78">
        <v>0</v>
      </c>
      <c r="I526" s="84">
        <v>0</v>
      </c>
      <c r="J526" s="53">
        <v>0</v>
      </c>
      <c r="K526" s="78">
        <v>0</v>
      </c>
      <c r="L526" s="84">
        <v>0</v>
      </c>
      <c r="M526" s="53">
        <v>0</v>
      </c>
      <c r="N526" s="78">
        <v>0</v>
      </c>
    </row>
    <row r="527" spans="1:14" ht="19.5" customHeight="1" outlineLevel="1" x14ac:dyDescent="0.2">
      <c r="A527" s="101">
        <v>29</v>
      </c>
      <c r="B527" s="81" t="s">
        <v>36</v>
      </c>
      <c r="C527" s="84">
        <v>0.47</v>
      </c>
      <c r="D527" s="53">
        <v>0.23892285732307952</v>
      </c>
      <c r="E527" s="78">
        <v>508.34650494272239</v>
      </c>
      <c r="F527" s="84">
        <v>0.26</v>
      </c>
      <c r="G527" s="53">
        <v>0.13689312184383307</v>
      </c>
      <c r="H527" s="78">
        <v>526.51200709166562</v>
      </c>
      <c r="I527" s="84">
        <v>0.15</v>
      </c>
      <c r="J527" s="53">
        <v>6.7522590476183753E-2</v>
      </c>
      <c r="K527" s="78">
        <v>450.15060317455834</v>
      </c>
      <c r="L527" s="84">
        <v>0.29333333333333333</v>
      </c>
      <c r="M527" s="53">
        <v>0.14777952321436544</v>
      </c>
      <c r="N527" s="78">
        <v>503.79382913988218</v>
      </c>
    </row>
    <row r="528" spans="1:14" ht="19.5" customHeight="1" outlineLevel="1" x14ac:dyDescent="0.2">
      <c r="A528" s="101">
        <v>30</v>
      </c>
      <c r="B528" s="81" t="s">
        <v>37</v>
      </c>
      <c r="C528" s="84">
        <v>0</v>
      </c>
      <c r="D528" s="53">
        <v>0</v>
      </c>
      <c r="E528" s="78">
        <v>0</v>
      </c>
      <c r="F528" s="84">
        <v>0</v>
      </c>
      <c r="G528" s="53">
        <v>0</v>
      </c>
      <c r="H528" s="78">
        <v>0</v>
      </c>
      <c r="I528" s="84">
        <v>0</v>
      </c>
      <c r="J528" s="53">
        <v>0</v>
      </c>
      <c r="K528" s="78">
        <v>0</v>
      </c>
      <c r="L528" s="84">
        <v>0</v>
      </c>
      <c r="M528" s="53">
        <v>0</v>
      </c>
      <c r="N528" s="78">
        <v>0</v>
      </c>
    </row>
    <row r="529" spans="1:14" ht="19.5" customHeight="1" outlineLevel="1" x14ac:dyDescent="0.2">
      <c r="A529" s="101">
        <v>31</v>
      </c>
      <c r="B529" s="81" t="s">
        <v>38</v>
      </c>
      <c r="C529" s="84">
        <v>0</v>
      </c>
      <c r="D529" s="53">
        <v>0</v>
      </c>
      <c r="E529" s="78">
        <v>0</v>
      </c>
      <c r="F529" s="84">
        <v>0</v>
      </c>
      <c r="G529" s="53">
        <v>0</v>
      </c>
      <c r="H529" s="78">
        <v>0</v>
      </c>
      <c r="I529" s="84">
        <v>0</v>
      </c>
      <c r="J529" s="53">
        <v>0</v>
      </c>
      <c r="K529" s="78">
        <v>0</v>
      </c>
      <c r="L529" s="84">
        <v>0</v>
      </c>
      <c r="M529" s="53">
        <v>0</v>
      </c>
      <c r="N529" s="78">
        <v>0</v>
      </c>
    </row>
    <row r="530" spans="1:14" ht="19.5" customHeight="1" outlineLevel="1" x14ac:dyDescent="0.2">
      <c r="A530" s="101">
        <v>32</v>
      </c>
      <c r="B530" s="81" t="s">
        <v>39</v>
      </c>
      <c r="C530" s="84">
        <v>0</v>
      </c>
      <c r="D530" s="53">
        <v>0</v>
      </c>
      <c r="E530" s="78">
        <v>0</v>
      </c>
      <c r="F530" s="84">
        <v>0</v>
      </c>
      <c r="G530" s="53">
        <v>0</v>
      </c>
      <c r="H530" s="78">
        <v>0</v>
      </c>
      <c r="I530" s="84">
        <v>0</v>
      </c>
      <c r="J530" s="53">
        <v>0</v>
      </c>
      <c r="K530" s="78">
        <v>0</v>
      </c>
      <c r="L530" s="84">
        <v>0</v>
      </c>
      <c r="M530" s="53">
        <v>0</v>
      </c>
      <c r="N530" s="78">
        <v>0</v>
      </c>
    </row>
    <row r="531" spans="1:14" ht="19.5" customHeight="1" outlineLevel="1" thickBot="1" x14ac:dyDescent="0.25">
      <c r="A531" s="102">
        <v>33</v>
      </c>
      <c r="B531" s="91" t="s">
        <v>40</v>
      </c>
      <c r="C531" s="92">
        <v>0</v>
      </c>
      <c r="D531" s="93">
        <v>0</v>
      </c>
      <c r="E531" s="94">
        <v>0</v>
      </c>
      <c r="F531" s="92">
        <v>0</v>
      </c>
      <c r="G531" s="93">
        <v>0</v>
      </c>
      <c r="H531" s="94">
        <v>0</v>
      </c>
      <c r="I531" s="92">
        <v>0</v>
      </c>
      <c r="J531" s="93">
        <v>0</v>
      </c>
      <c r="K531" s="94">
        <v>0</v>
      </c>
      <c r="L531" s="92">
        <v>0</v>
      </c>
      <c r="M531" s="93">
        <v>0</v>
      </c>
      <c r="N531" s="94">
        <v>0</v>
      </c>
    </row>
    <row r="532" spans="1:14" ht="19.5" customHeight="1" thickBot="1" x14ac:dyDescent="0.25">
      <c r="A532" s="151" t="s">
        <v>41</v>
      </c>
      <c r="B532" s="152"/>
      <c r="C532" s="96">
        <v>719.71</v>
      </c>
      <c r="D532" s="97">
        <v>365.86206307232521</v>
      </c>
      <c r="E532" s="98">
        <v>508.34650494272023</v>
      </c>
      <c r="F532" s="96">
        <v>581.77999999999986</v>
      </c>
      <c r="G532" s="97">
        <v>306.31415548578866</v>
      </c>
      <c r="H532" s="98">
        <v>526.51200709166471</v>
      </c>
      <c r="I532" s="96">
        <v>494.21999999999991</v>
      </c>
      <c r="J532" s="97">
        <v>222.4734311009301</v>
      </c>
      <c r="K532" s="98">
        <v>450.15060317455817</v>
      </c>
      <c r="L532" s="96">
        <v>598.56999999999982</v>
      </c>
      <c r="M532" s="97">
        <v>298.21654988634799</v>
      </c>
      <c r="N532" s="98">
        <v>498.21499554997428</v>
      </c>
    </row>
    <row r="533" spans="1:14" ht="34.5" customHeight="1" x14ac:dyDescent="0.2">
      <c r="A533" s="153" t="s">
        <v>247</v>
      </c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</row>
    <row r="534" spans="1:14" ht="19.5" customHeight="1" thickBot="1" x14ac:dyDescent="0.25">
      <c r="A534" s="50"/>
      <c r="B534" s="138" t="s">
        <v>55</v>
      </c>
      <c r="C534" s="52"/>
      <c r="D534" s="52"/>
      <c r="E534" s="52"/>
      <c r="F534" s="52"/>
      <c r="G534" s="52"/>
      <c r="H534" s="52"/>
      <c r="I534" s="52"/>
      <c r="J534" s="52"/>
      <c r="K534" s="155" t="s">
        <v>1</v>
      </c>
      <c r="L534" s="154"/>
      <c r="M534" s="154"/>
      <c r="N534" s="154"/>
    </row>
    <row r="535" spans="1:14" ht="19.5" customHeight="1" x14ac:dyDescent="0.2">
      <c r="A535" s="156" t="s">
        <v>2</v>
      </c>
      <c r="B535" s="158" t="s">
        <v>3</v>
      </c>
      <c r="C535" s="148" t="s">
        <v>243</v>
      </c>
      <c r="D535" s="149"/>
      <c r="E535" s="150"/>
      <c r="F535" s="148" t="s">
        <v>244</v>
      </c>
      <c r="G535" s="149"/>
      <c r="H535" s="150"/>
      <c r="I535" s="148" t="s">
        <v>246</v>
      </c>
      <c r="J535" s="149"/>
      <c r="K535" s="150"/>
      <c r="L535" s="148" t="s">
        <v>4</v>
      </c>
      <c r="M535" s="149"/>
      <c r="N535" s="150"/>
    </row>
    <row r="536" spans="1:14" ht="19.5" customHeight="1" thickBot="1" x14ac:dyDescent="0.25">
      <c r="A536" s="157"/>
      <c r="B536" s="159"/>
      <c r="C536" s="85" t="s">
        <v>5</v>
      </c>
      <c r="D536" s="79" t="s">
        <v>6</v>
      </c>
      <c r="E536" s="80" t="s">
        <v>7</v>
      </c>
      <c r="F536" s="85" t="s">
        <v>5</v>
      </c>
      <c r="G536" s="79" t="s">
        <v>6</v>
      </c>
      <c r="H536" s="80" t="s">
        <v>7</v>
      </c>
      <c r="I536" s="85" t="s">
        <v>5</v>
      </c>
      <c r="J536" s="79" t="s">
        <v>6</v>
      </c>
      <c r="K536" s="80" t="s">
        <v>7</v>
      </c>
      <c r="L536" s="85" t="s">
        <v>5</v>
      </c>
      <c r="M536" s="79" t="s">
        <v>6</v>
      </c>
      <c r="N536" s="80" t="s">
        <v>7</v>
      </c>
    </row>
    <row r="537" spans="1:14" ht="19.5" customHeight="1" outlineLevel="1" x14ac:dyDescent="0.2">
      <c r="A537" s="100">
        <v>1</v>
      </c>
      <c r="B537" s="86" t="s">
        <v>8</v>
      </c>
      <c r="C537" s="87">
        <v>0</v>
      </c>
      <c r="D537" s="88">
        <v>0</v>
      </c>
      <c r="E537" s="89">
        <v>0</v>
      </c>
      <c r="F537" s="87">
        <v>0</v>
      </c>
      <c r="G537" s="88">
        <v>0</v>
      </c>
      <c r="H537" s="89">
        <v>0</v>
      </c>
      <c r="I537" s="87">
        <v>0</v>
      </c>
      <c r="J537" s="88">
        <v>0</v>
      </c>
      <c r="K537" s="89">
        <v>0</v>
      </c>
      <c r="L537" s="87">
        <v>0</v>
      </c>
      <c r="M537" s="88">
        <v>0</v>
      </c>
      <c r="N537" s="89">
        <v>0</v>
      </c>
    </row>
    <row r="538" spans="1:14" ht="19.5" customHeight="1" outlineLevel="1" x14ac:dyDescent="0.2">
      <c r="A538" s="101">
        <v>2</v>
      </c>
      <c r="B538" s="81" t="s">
        <v>9</v>
      </c>
      <c r="C538" s="84">
        <v>0.38</v>
      </c>
      <c r="D538" s="53">
        <v>0.63911547559130921</v>
      </c>
      <c r="E538" s="78">
        <v>1681.8828305034451</v>
      </c>
      <c r="F538" s="84">
        <v>1.1399999999999999</v>
      </c>
      <c r="G538" s="53">
        <v>2.0947723013505444</v>
      </c>
      <c r="H538" s="78">
        <v>1837.5195625881968</v>
      </c>
      <c r="I538" s="84">
        <v>3.87</v>
      </c>
      <c r="J538" s="53">
        <v>6.567383042818558</v>
      </c>
      <c r="K538" s="78">
        <v>1696.9982022786971</v>
      </c>
      <c r="L538" s="84">
        <v>1.7966666666666669</v>
      </c>
      <c r="M538" s="53">
        <v>3.1004236065868036</v>
      </c>
      <c r="N538" s="78">
        <v>1725.6532133136195</v>
      </c>
    </row>
    <row r="539" spans="1:14" ht="19.5" customHeight="1" outlineLevel="1" x14ac:dyDescent="0.2">
      <c r="A539" s="101">
        <v>3</v>
      </c>
      <c r="B539" s="81" t="s">
        <v>10</v>
      </c>
      <c r="C539" s="84">
        <v>0</v>
      </c>
      <c r="D539" s="53">
        <v>0</v>
      </c>
      <c r="E539" s="78">
        <v>0</v>
      </c>
      <c r="F539" s="84">
        <v>0.05</v>
      </c>
      <c r="G539" s="53">
        <v>9.1875978129409841E-2</v>
      </c>
      <c r="H539" s="78">
        <v>1837.5195625881968</v>
      </c>
      <c r="I539" s="84">
        <v>1.1399999999999999</v>
      </c>
      <c r="J539" s="53">
        <v>1.9345779505977145</v>
      </c>
      <c r="K539" s="78">
        <v>1696.9982022786971</v>
      </c>
      <c r="L539" s="84">
        <v>0.59499999999999997</v>
      </c>
      <c r="M539" s="53">
        <v>1.0132269643635623</v>
      </c>
      <c r="N539" s="78">
        <v>1702.9024611152308</v>
      </c>
    </row>
    <row r="540" spans="1:14" ht="19.5" customHeight="1" outlineLevel="1" x14ac:dyDescent="0.2">
      <c r="A540" s="101">
        <v>4</v>
      </c>
      <c r="B540" s="81" t="s">
        <v>11</v>
      </c>
      <c r="C540" s="84">
        <v>2.13</v>
      </c>
      <c r="D540" s="53">
        <v>3.5824104289723375</v>
      </c>
      <c r="E540" s="78">
        <v>1681.8828305034451</v>
      </c>
      <c r="F540" s="84">
        <v>2.21</v>
      </c>
      <c r="G540" s="53">
        <v>4.0609182333199145</v>
      </c>
      <c r="H540" s="78">
        <v>1837.5195625881968</v>
      </c>
      <c r="I540" s="84">
        <v>1.44</v>
      </c>
      <c r="J540" s="53">
        <v>2.4436774112813238</v>
      </c>
      <c r="K540" s="78">
        <v>1696.9982022786971</v>
      </c>
      <c r="L540" s="84">
        <v>1.9266666666666665</v>
      </c>
      <c r="M540" s="53">
        <v>3.3623353578578588</v>
      </c>
      <c r="N540" s="78">
        <v>1745.156760133837</v>
      </c>
    </row>
    <row r="541" spans="1:14" ht="19.5" customHeight="1" outlineLevel="1" x14ac:dyDescent="0.2">
      <c r="A541" s="101">
        <v>5</v>
      </c>
      <c r="B541" s="81" t="s">
        <v>12</v>
      </c>
      <c r="C541" s="84">
        <v>140.56</v>
      </c>
      <c r="D541" s="53">
        <v>244.83867901165502</v>
      </c>
      <c r="E541" s="78">
        <v>1741.8801864801865</v>
      </c>
      <c r="F541" s="84">
        <v>178.91</v>
      </c>
      <c r="G541" s="53">
        <v>353.17477897370406</v>
      </c>
      <c r="H541" s="78">
        <v>1974.0359900156732</v>
      </c>
      <c r="I541" s="84">
        <v>205.48</v>
      </c>
      <c r="J541" s="53">
        <v>411.87474457186528</v>
      </c>
      <c r="K541" s="78">
        <v>2004.451745045091</v>
      </c>
      <c r="L541" s="84">
        <v>174.98333333333335</v>
      </c>
      <c r="M541" s="53">
        <v>336.62940085240808</v>
      </c>
      <c r="N541" s="78">
        <v>1923.7797934226578</v>
      </c>
    </row>
    <row r="542" spans="1:14" ht="19.5" customHeight="1" outlineLevel="1" x14ac:dyDescent="0.2">
      <c r="A542" s="101">
        <v>6</v>
      </c>
      <c r="B542" s="81" t="s">
        <v>13</v>
      </c>
      <c r="C542" s="84">
        <v>332.66</v>
      </c>
      <c r="D542" s="53">
        <v>590.18369600000017</v>
      </c>
      <c r="E542" s="78">
        <v>1774.1348403775628</v>
      </c>
      <c r="F542" s="84">
        <v>358.34</v>
      </c>
      <c r="G542" s="53">
        <v>620.36959999999999</v>
      </c>
      <c r="H542" s="78">
        <v>1731.2317910364459</v>
      </c>
      <c r="I542" s="84">
        <v>397.34</v>
      </c>
      <c r="J542" s="53">
        <v>679.52025600000002</v>
      </c>
      <c r="K542" s="78">
        <v>1710.173292394423</v>
      </c>
      <c r="L542" s="84">
        <v>362.78</v>
      </c>
      <c r="M542" s="53">
        <v>630.02451733333339</v>
      </c>
      <c r="N542" s="78">
        <v>1736.6572504915746</v>
      </c>
    </row>
    <row r="543" spans="1:14" ht="19.5" customHeight="1" outlineLevel="1" x14ac:dyDescent="0.2">
      <c r="A543" s="101">
        <v>7</v>
      </c>
      <c r="B543" s="81" t="s">
        <v>14</v>
      </c>
      <c r="C543" s="84">
        <v>1.58</v>
      </c>
      <c r="D543" s="53">
        <v>2.6573748721954433</v>
      </c>
      <c r="E543" s="78">
        <v>1681.8828305034451</v>
      </c>
      <c r="F543" s="84">
        <v>0.95</v>
      </c>
      <c r="G543" s="53">
        <v>1.7456435844587868</v>
      </c>
      <c r="H543" s="78">
        <v>1837.5195625881968</v>
      </c>
      <c r="I543" s="84">
        <v>0.51</v>
      </c>
      <c r="J543" s="53">
        <v>0.86546908316213556</v>
      </c>
      <c r="K543" s="78">
        <v>1696.9982022786971</v>
      </c>
      <c r="L543" s="84">
        <v>1.0133333333333334</v>
      </c>
      <c r="M543" s="53">
        <v>1.7561625132721221</v>
      </c>
      <c r="N543" s="78">
        <v>1733.0551117816995</v>
      </c>
    </row>
    <row r="544" spans="1:14" ht="19.5" customHeight="1" outlineLevel="1" x14ac:dyDescent="0.2">
      <c r="A544" s="101">
        <v>8</v>
      </c>
      <c r="B544" s="81" t="s">
        <v>15</v>
      </c>
      <c r="C544" s="84">
        <v>5.24</v>
      </c>
      <c r="D544" s="53">
        <v>8.8130660318380531</v>
      </c>
      <c r="E544" s="78">
        <v>1681.8828305034451</v>
      </c>
      <c r="F544" s="84">
        <v>0.05</v>
      </c>
      <c r="G544" s="53">
        <v>9.1875978129409841E-2</v>
      </c>
      <c r="H544" s="78">
        <v>1837.5195625881968</v>
      </c>
      <c r="I544" s="84">
        <v>0.86</v>
      </c>
      <c r="J544" s="53">
        <v>1.4594184539596795</v>
      </c>
      <c r="K544" s="78">
        <v>1696.9982022786971</v>
      </c>
      <c r="L544" s="84">
        <v>2.0500000000000003</v>
      </c>
      <c r="M544" s="53">
        <v>3.4547868213090478</v>
      </c>
      <c r="N544" s="78">
        <v>1685.2618640531939</v>
      </c>
    </row>
    <row r="545" spans="1:14" ht="19.5" customHeight="1" outlineLevel="1" x14ac:dyDescent="0.2">
      <c r="A545" s="101">
        <v>9</v>
      </c>
      <c r="B545" s="81" t="s">
        <v>16</v>
      </c>
      <c r="C545" s="84">
        <v>9.77</v>
      </c>
      <c r="D545" s="53">
        <v>16.431995254018656</v>
      </c>
      <c r="E545" s="78">
        <v>1681.8828305034451</v>
      </c>
      <c r="F545" s="84">
        <v>2.14</v>
      </c>
      <c r="G545" s="53">
        <v>3.9322918639387412</v>
      </c>
      <c r="H545" s="78">
        <v>1837.5195625881968</v>
      </c>
      <c r="I545" s="84">
        <v>5.39</v>
      </c>
      <c r="J545" s="53">
        <v>9.1468203102821768</v>
      </c>
      <c r="K545" s="78">
        <v>1696.9982022786971</v>
      </c>
      <c r="L545" s="84">
        <v>5.7666666666666666</v>
      </c>
      <c r="M545" s="53">
        <v>9.8370358094131909</v>
      </c>
      <c r="N545" s="78">
        <v>1705.8443600138482</v>
      </c>
    </row>
    <row r="546" spans="1:14" ht="19.5" customHeight="1" outlineLevel="1" x14ac:dyDescent="0.2">
      <c r="A546" s="101">
        <v>10</v>
      </c>
      <c r="B546" s="81" t="s">
        <v>17</v>
      </c>
      <c r="C546" s="84">
        <v>32.5</v>
      </c>
      <c r="D546" s="53">
        <v>54.661191991361967</v>
      </c>
      <c r="E546" s="78">
        <v>1681.8828305034451</v>
      </c>
      <c r="F546" s="84">
        <v>6.35</v>
      </c>
      <c r="G546" s="53">
        <v>6.4007999999999994</v>
      </c>
      <c r="H546" s="78">
        <v>1008</v>
      </c>
      <c r="I546" s="84">
        <v>13.34</v>
      </c>
      <c r="J546" s="53">
        <v>22.637956018397823</v>
      </c>
      <c r="K546" s="78">
        <v>1696.9982022786971</v>
      </c>
      <c r="L546" s="84">
        <v>17.396666666666665</v>
      </c>
      <c r="M546" s="53">
        <v>27.899982669919932</v>
      </c>
      <c r="N546" s="78">
        <v>1603.7545125456948</v>
      </c>
    </row>
    <row r="547" spans="1:14" ht="19.5" customHeight="1" outlineLevel="1" x14ac:dyDescent="0.2">
      <c r="A547" s="101">
        <v>11</v>
      </c>
      <c r="B547" s="81" t="s">
        <v>18</v>
      </c>
      <c r="C547" s="84">
        <v>127.64</v>
      </c>
      <c r="D547" s="53">
        <v>278.97278572448135</v>
      </c>
      <c r="E547" s="78">
        <v>2185.6219502074691</v>
      </c>
      <c r="F547" s="84">
        <v>155.43</v>
      </c>
      <c r="G547" s="53">
        <v>345.36150629570744</v>
      </c>
      <c r="H547" s="78">
        <v>2221.9745627980919</v>
      </c>
      <c r="I547" s="84">
        <v>268.91000000000003</v>
      </c>
      <c r="J547" s="53">
        <v>531.20975713046482</v>
      </c>
      <c r="K547" s="78">
        <v>1975.4183820998278</v>
      </c>
      <c r="L547" s="84">
        <v>183.99333333333334</v>
      </c>
      <c r="M547" s="53">
        <v>385.18134971688454</v>
      </c>
      <c r="N547" s="78">
        <v>2093.4527503725744</v>
      </c>
    </row>
    <row r="548" spans="1:14" ht="19.5" customHeight="1" outlineLevel="1" x14ac:dyDescent="0.2">
      <c r="A548" s="101">
        <v>12</v>
      </c>
      <c r="B548" s="81" t="s">
        <v>19</v>
      </c>
      <c r="C548" s="84">
        <v>24.49</v>
      </c>
      <c r="D548" s="53">
        <v>41.18931051902937</v>
      </c>
      <c r="E548" s="78">
        <v>1681.8828305034451</v>
      </c>
      <c r="F548" s="84">
        <v>37.36</v>
      </c>
      <c r="G548" s="53">
        <v>93.519552000000004</v>
      </c>
      <c r="H548" s="78">
        <v>2503.2000000000003</v>
      </c>
      <c r="I548" s="84">
        <v>59.98</v>
      </c>
      <c r="J548" s="53">
        <v>137.618112</v>
      </c>
      <c r="K548" s="78">
        <v>2294.4</v>
      </c>
      <c r="L548" s="84">
        <v>40.609999999999992</v>
      </c>
      <c r="M548" s="53">
        <v>90.775658173009788</v>
      </c>
      <c r="N548" s="78">
        <v>2235.3030823198669</v>
      </c>
    </row>
    <row r="549" spans="1:14" ht="19.5" customHeight="1" outlineLevel="1" x14ac:dyDescent="0.2">
      <c r="A549" s="101">
        <v>13</v>
      </c>
      <c r="B549" s="81" t="s">
        <v>20</v>
      </c>
      <c r="C549" s="84">
        <v>1.87</v>
      </c>
      <c r="D549" s="53">
        <v>3.1451208930414429</v>
      </c>
      <c r="E549" s="78">
        <v>1681.8828305034451</v>
      </c>
      <c r="F549" s="84">
        <v>2.92</v>
      </c>
      <c r="G549" s="53">
        <v>5.3655571227575347</v>
      </c>
      <c r="H549" s="78">
        <v>1837.5195625881968</v>
      </c>
      <c r="I549" s="84">
        <v>1.17</v>
      </c>
      <c r="J549" s="53">
        <v>1.9854878966660756</v>
      </c>
      <c r="K549" s="78">
        <v>1696.9982022786971</v>
      </c>
      <c r="L549" s="84">
        <v>1.9866666666666666</v>
      </c>
      <c r="M549" s="53">
        <v>3.4987219708216841</v>
      </c>
      <c r="N549" s="78">
        <v>1761.1016631652772</v>
      </c>
    </row>
    <row r="550" spans="1:14" ht="19.5" customHeight="1" outlineLevel="1" x14ac:dyDescent="0.2">
      <c r="A550" s="101">
        <v>14</v>
      </c>
      <c r="B550" s="81" t="s">
        <v>21</v>
      </c>
      <c r="C550" s="84">
        <v>3</v>
      </c>
      <c r="D550" s="53">
        <v>5.0456484915103355</v>
      </c>
      <c r="E550" s="78">
        <v>1681.8828305034451</v>
      </c>
      <c r="F550" s="84">
        <v>43.25</v>
      </c>
      <c r="G550" s="53">
        <v>79.472721081939511</v>
      </c>
      <c r="H550" s="78">
        <v>1837.5195625881968</v>
      </c>
      <c r="I550" s="84">
        <v>69.599999999999994</v>
      </c>
      <c r="J550" s="53">
        <v>117.27599999999998</v>
      </c>
      <c r="K550" s="78">
        <v>1685</v>
      </c>
      <c r="L550" s="84">
        <v>38.616666666666667</v>
      </c>
      <c r="M550" s="53">
        <v>67.264789857816609</v>
      </c>
      <c r="N550" s="78">
        <v>1741.859038182562</v>
      </c>
    </row>
    <row r="551" spans="1:14" ht="19.5" customHeight="1" outlineLevel="1" x14ac:dyDescent="0.2">
      <c r="A551" s="101">
        <v>15</v>
      </c>
      <c r="B551" s="81" t="s">
        <v>22</v>
      </c>
      <c r="C551" s="84">
        <v>484.25</v>
      </c>
      <c r="D551" s="53">
        <v>945.87742276264601</v>
      </c>
      <c r="E551" s="78">
        <v>1953.2832684824905</v>
      </c>
      <c r="F551" s="84">
        <v>656.75</v>
      </c>
      <c r="G551" s="53">
        <v>1361.6113133256968</v>
      </c>
      <c r="H551" s="78">
        <v>2073.2566628484155</v>
      </c>
      <c r="I551" s="84">
        <v>587.83000000000004</v>
      </c>
      <c r="J551" s="53">
        <v>1101.9999036457855</v>
      </c>
      <c r="K551" s="78">
        <v>1874.6914986403983</v>
      </c>
      <c r="L551" s="84">
        <v>576.27666666666664</v>
      </c>
      <c r="M551" s="53">
        <v>1136.4962132447092</v>
      </c>
      <c r="N551" s="78">
        <v>1972.1364389408604</v>
      </c>
    </row>
    <row r="552" spans="1:14" ht="19.5" customHeight="1" outlineLevel="1" x14ac:dyDescent="0.2">
      <c r="A552" s="101">
        <v>16</v>
      </c>
      <c r="B552" s="81" t="s">
        <v>23</v>
      </c>
      <c r="C552" s="84">
        <v>220.3</v>
      </c>
      <c r="D552" s="53">
        <v>420.2375530000001</v>
      </c>
      <c r="E552" s="78">
        <v>1907.569464366773</v>
      </c>
      <c r="F552" s="84">
        <v>337.17</v>
      </c>
      <c r="G552" s="53">
        <v>688.71771200000001</v>
      </c>
      <c r="H552" s="78">
        <v>2042.6423228638373</v>
      </c>
      <c r="I552" s="84">
        <v>307.56</v>
      </c>
      <c r="J552" s="53">
        <v>603.09323999999992</v>
      </c>
      <c r="K552" s="78">
        <v>1960.89621537261</v>
      </c>
      <c r="L552" s="84">
        <v>288.34333333333331</v>
      </c>
      <c r="M552" s="53">
        <v>570.68283499999995</v>
      </c>
      <c r="N552" s="78">
        <v>1979.1781845716334</v>
      </c>
    </row>
    <row r="553" spans="1:14" ht="19.5" customHeight="1" outlineLevel="1" x14ac:dyDescent="0.2">
      <c r="A553" s="101">
        <v>17</v>
      </c>
      <c r="B553" s="81" t="s">
        <v>24</v>
      </c>
      <c r="C553" s="84">
        <v>71.900000000000006</v>
      </c>
      <c r="D553" s="53">
        <v>140.53520501603595</v>
      </c>
      <c r="E553" s="78">
        <v>1954.5925593329057</v>
      </c>
      <c r="F553" s="84">
        <v>81.349999999999994</v>
      </c>
      <c r="G553" s="53">
        <v>183.42591136226031</v>
      </c>
      <c r="H553" s="78">
        <v>2254.7745711402622</v>
      </c>
      <c r="I553" s="84">
        <v>131.28</v>
      </c>
      <c r="J553" s="53">
        <v>236.93015104904634</v>
      </c>
      <c r="K553" s="78">
        <v>1804.769584468665</v>
      </c>
      <c r="L553" s="84">
        <v>94.84333333333332</v>
      </c>
      <c r="M553" s="53">
        <v>186.96375580911422</v>
      </c>
      <c r="N553" s="78">
        <v>1971.2904348481452</v>
      </c>
    </row>
    <row r="554" spans="1:14" ht="19.5" customHeight="1" outlineLevel="1" x14ac:dyDescent="0.2">
      <c r="A554" s="101">
        <v>18</v>
      </c>
      <c r="B554" s="81" t="s">
        <v>25</v>
      </c>
      <c r="C554" s="84">
        <v>6.04</v>
      </c>
      <c r="D554" s="53">
        <v>10.158572296240809</v>
      </c>
      <c r="E554" s="78">
        <v>1681.8828305034451</v>
      </c>
      <c r="F554" s="84">
        <v>4.29</v>
      </c>
      <c r="G554" s="53">
        <v>7.8829589235033648</v>
      </c>
      <c r="H554" s="78">
        <v>1837.5195625881968</v>
      </c>
      <c r="I554" s="84">
        <v>5.75</v>
      </c>
      <c r="J554" s="53">
        <v>9.7577396631025071</v>
      </c>
      <c r="K554" s="78">
        <v>1696.9982022786971</v>
      </c>
      <c r="L554" s="84">
        <v>5.3599999999999994</v>
      </c>
      <c r="M554" s="53">
        <v>9.2664236276155592</v>
      </c>
      <c r="N554" s="78">
        <v>1728.810378286485</v>
      </c>
    </row>
    <row r="555" spans="1:14" ht="19.5" customHeight="1" outlineLevel="1" x14ac:dyDescent="0.2">
      <c r="A555" s="101">
        <v>19</v>
      </c>
      <c r="B555" s="81" t="s">
        <v>26</v>
      </c>
      <c r="C555" s="84">
        <v>3.09</v>
      </c>
      <c r="D555" s="53">
        <v>5.1970179462556452</v>
      </c>
      <c r="E555" s="78">
        <v>1681.8828305034451</v>
      </c>
      <c r="F555" s="84">
        <v>0.56000000000000005</v>
      </c>
      <c r="G555" s="53">
        <v>1.0290109550493902</v>
      </c>
      <c r="H555" s="78">
        <v>1837.5195625881968</v>
      </c>
      <c r="I555" s="84">
        <v>1.53</v>
      </c>
      <c r="J555" s="53">
        <v>2.5964072494864068</v>
      </c>
      <c r="K555" s="78">
        <v>1696.9982022786971</v>
      </c>
      <c r="L555" s="84">
        <v>1.7266666666666666</v>
      </c>
      <c r="M555" s="53">
        <v>2.9408120502638142</v>
      </c>
      <c r="N555" s="78">
        <v>1703.1730020832904</v>
      </c>
    </row>
    <row r="556" spans="1:14" ht="19.5" customHeight="1" outlineLevel="1" x14ac:dyDescent="0.2">
      <c r="A556" s="101">
        <v>20</v>
      </c>
      <c r="B556" s="81" t="s">
        <v>27</v>
      </c>
      <c r="C556" s="84">
        <v>0.17</v>
      </c>
      <c r="D556" s="53">
        <v>0.28592008118558565</v>
      </c>
      <c r="E556" s="78">
        <v>1681.8828305034451</v>
      </c>
      <c r="F556" s="84">
        <v>0</v>
      </c>
      <c r="G556" s="53">
        <v>0</v>
      </c>
      <c r="H556" s="78">
        <v>0</v>
      </c>
      <c r="I556" s="84">
        <v>0.02</v>
      </c>
      <c r="J556" s="53">
        <v>3.3939964045573943E-2</v>
      </c>
      <c r="K556" s="78">
        <v>1696.9982022786971</v>
      </c>
      <c r="L556" s="84">
        <v>9.5000000000000001E-2</v>
      </c>
      <c r="M556" s="53">
        <v>0.15993002261557979</v>
      </c>
      <c r="N556" s="78">
        <v>1683.4739222692608</v>
      </c>
    </row>
    <row r="557" spans="1:14" ht="19.5" customHeight="1" outlineLevel="1" x14ac:dyDescent="0.2">
      <c r="A557" s="101">
        <v>21</v>
      </c>
      <c r="B557" s="81" t="s">
        <v>28</v>
      </c>
      <c r="C557" s="84">
        <v>8.57</v>
      </c>
      <c r="D557" s="53">
        <v>12.32366</v>
      </c>
      <c r="E557" s="78">
        <v>1438</v>
      </c>
      <c r="F557" s="84">
        <v>7.09</v>
      </c>
      <c r="G557" s="53">
        <v>9.5289599999999997</v>
      </c>
      <c r="H557" s="78">
        <v>1344</v>
      </c>
      <c r="I557" s="84">
        <v>8.3000000000000007</v>
      </c>
      <c r="J557" s="53">
        <v>11.580160000000001</v>
      </c>
      <c r="K557" s="78">
        <v>1395.2</v>
      </c>
      <c r="L557" s="84">
        <v>7.9866666666666672</v>
      </c>
      <c r="M557" s="53">
        <v>11.144260000000001</v>
      </c>
      <c r="N557" s="78">
        <v>1395.3580968280467</v>
      </c>
    </row>
    <row r="558" spans="1:14" ht="19.5" customHeight="1" outlineLevel="1" x14ac:dyDescent="0.2">
      <c r="A558" s="101">
        <v>22</v>
      </c>
      <c r="B558" s="81" t="s">
        <v>29</v>
      </c>
      <c r="C558" s="84">
        <v>16.670000000000002</v>
      </c>
      <c r="D558" s="53">
        <v>18.453690000000002</v>
      </c>
      <c r="E558" s="78">
        <v>1107</v>
      </c>
      <c r="F558" s="84">
        <v>19.02</v>
      </c>
      <c r="G558" s="53">
        <v>25.737864000000002</v>
      </c>
      <c r="H558" s="78">
        <v>1353.2</v>
      </c>
      <c r="I558" s="84">
        <v>28.3</v>
      </c>
      <c r="J558" s="53">
        <v>48.030760000000001</v>
      </c>
      <c r="K558" s="78">
        <v>1697.2</v>
      </c>
      <c r="L558" s="84">
        <v>21.33</v>
      </c>
      <c r="M558" s="53">
        <v>30.740771333333338</v>
      </c>
      <c r="N558" s="78">
        <v>1441.1988435693081</v>
      </c>
    </row>
    <row r="559" spans="1:14" ht="19.5" customHeight="1" outlineLevel="1" x14ac:dyDescent="0.2">
      <c r="A559" s="101">
        <v>23</v>
      </c>
      <c r="B559" s="81" t="s">
        <v>30</v>
      </c>
      <c r="C559" s="84">
        <v>14.5</v>
      </c>
      <c r="D559" s="53">
        <v>16.298380327868848</v>
      </c>
      <c r="E559" s="78">
        <v>1124.0262295081966</v>
      </c>
      <c r="F559" s="84">
        <v>25.62</v>
      </c>
      <c r="G559" s="53">
        <v>32.670624000000004</v>
      </c>
      <c r="H559" s="78">
        <v>1275.2</v>
      </c>
      <c r="I559" s="84">
        <v>59.21</v>
      </c>
      <c r="J559" s="53">
        <v>100.47926355692167</v>
      </c>
      <c r="K559" s="78">
        <v>1696.9982022786971</v>
      </c>
      <c r="L559" s="84">
        <v>33.110000000000007</v>
      </c>
      <c r="M559" s="53">
        <v>49.816089294930173</v>
      </c>
      <c r="N559" s="78">
        <v>1504.5632526405968</v>
      </c>
    </row>
    <row r="560" spans="1:14" ht="19.5" customHeight="1" outlineLevel="1" x14ac:dyDescent="0.2">
      <c r="A560" s="101">
        <v>24</v>
      </c>
      <c r="B560" s="81" t="s">
        <v>31</v>
      </c>
      <c r="C560" s="84">
        <v>227.21</v>
      </c>
      <c r="D560" s="53">
        <v>249.64342172807491</v>
      </c>
      <c r="E560" s="78">
        <v>1098.7343062720606</v>
      </c>
      <c r="F560" s="84">
        <v>286.88</v>
      </c>
      <c r="G560" s="53">
        <v>393.63971471903272</v>
      </c>
      <c r="H560" s="78">
        <v>1372.1406675928358</v>
      </c>
      <c r="I560" s="84">
        <v>334.72</v>
      </c>
      <c r="J560" s="53">
        <v>411.97328554886906</v>
      </c>
      <c r="K560" s="78">
        <v>1230.7997297707607</v>
      </c>
      <c r="L560" s="84">
        <v>282.93666666666667</v>
      </c>
      <c r="M560" s="53">
        <v>351.75214066532561</v>
      </c>
      <c r="N560" s="78">
        <v>1243.2186496341665</v>
      </c>
    </row>
    <row r="561" spans="1:14" ht="19.5" customHeight="1" outlineLevel="1" x14ac:dyDescent="0.2">
      <c r="A561" s="101">
        <v>25</v>
      </c>
      <c r="B561" s="81" t="s">
        <v>32</v>
      </c>
      <c r="C561" s="84">
        <v>80.94</v>
      </c>
      <c r="D561" s="53">
        <v>112.00633684689055</v>
      </c>
      <c r="E561" s="78">
        <v>1383.819333418465</v>
      </c>
      <c r="F561" s="84">
        <v>74.27</v>
      </c>
      <c r="G561" s="53">
        <v>113.00416966854627</v>
      </c>
      <c r="H561" s="78">
        <v>1521.5318388117178</v>
      </c>
      <c r="I561" s="84">
        <v>80.510000000000005</v>
      </c>
      <c r="J561" s="53">
        <v>118.99041573953228</v>
      </c>
      <c r="K561" s="78">
        <v>1477.9582131354152</v>
      </c>
      <c r="L561" s="84">
        <v>78.573333333333323</v>
      </c>
      <c r="M561" s="53">
        <v>114.6669740849897</v>
      </c>
      <c r="N561" s="78">
        <v>1459.3624735065721</v>
      </c>
    </row>
    <row r="562" spans="1:14" ht="19.5" customHeight="1" outlineLevel="1" x14ac:dyDescent="0.2">
      <c r="A562" s="101">
        <v>26</v>
      </c>
      <c r="B562" s="81" t="s">
        <v>33</v>
      </c>
      <c r="C562" s="84">
        <v>156.93</v>
      </c>
      <c r="D562" s="53">
        <v>219.33893599999996</v>
      </c>
      <c r="E562" s="78">
        <v>1397.6864589307331</v>
      </c>
      <c r="F562" s="84">
        <v>138.15</v>
      </c>
      <c r="G562" s="53">
        <v>208.91898800000001</v>
      </c>
      <c r="H562" s="78">
        <v>1512.2619471588853</v>
      </c>
      <c r="I562" s="84">
        <v>209.82</v>
      </c>
      <c r="J562" s="53">
        <v>241.899764</v>
      </c>
      <c r="K562" s="78">
        <v>1152.8918310933182</v>
      </c>
      <c r="L562" s="84">
        <v>168.3</v>
      </c>
      <c r="M562" s="53">
        <v>223.385896</v>
      </c>
      <c r="N562" s="78">
        <v>1327.3077599524659</v>
      </c>
    </row>
    <row r="563" spans="1:14" ht="19.5" customHeight="1" outlineLevel="1" x14ac:dyDescent="0.2">
      <c r="A563" s="101">
        <v>27</v>
      </c>
      <c r="B563" s="81" t="s">
        <v>34</v>
      </c>
      <c r="C563" s="84">
        <v>13.72</v>
      </c>
      <c r="D563" s="53">
        <v>20.559299999999997</v>
      </c>
      <c r="E563" s="78">
        <v>1498.4912536443146</v>
      </c>
      <c r="F563" s="84">
        <v>17.62</v>
      </c>
      <c r="G563" s="53">
        <v>27.085320000000003</v>
      </c>
      <c r="H563" s="78">
        <v>1537.1918274687855</v>
      </c>
      <c r="I563" s="84">
        <v>20.7</v>
      </c>
      <c r="J563" s="53">
        <v>32.407194867617108</v>
      </c>
      <c r="K563" s="78">
        <v>1565.5649694501017</v>
      </c>
      <c r="L563" s="84">
        <v>17.346666666666668</v>
      </c>
      <c r="M563" s="53">
        <v>26.683938289205702</v>
      </c>
      <c r="N563" s="78">
        <v>1538.2746900003287</v>
      </c>
    </row>
    <row r="564" spans="1:14" ht="19.5" customHeight="1" outlineLevel="1" x14ac:dyDescent="0.2">
      <c r="A564" s="101">
        <v>28</v>
      </c>
      <c r="B564" s="81" t="s">
        <v>35</v>
      </c>
      <c r="C564" s="84">
        <v>48.8</v>
      </c>
      <c r="D564" s="53">
        <v>60.53735406741572</v>
      </c>
      <c r="E564" s="78">
        <v>1240.5195505617976</v>
      </c>
      <c r="F564" s="84">
        <v>58.3</v>
      </c>
      <c r="G564" s="53">
        <v>68.055833959484346</v>
      </c>
      <c r="H564" s="78">
        <v>1167.3384898710865</v>
      </c>
      <c r="I564" s="84">
        <v>58.97</v>
      </c>
      <c r="J564" s="53">
        <v>60.390114672794134</v>
      </c>
      <c r="K564" s="78">
        <v>1024.0819852941179</v>
      </c>
      <c r="L564" s="84">
        <v>55.356666666666662</v>
      </c>
      <c r="M564" s="53">
        <v>62.994434233231402</v>
      </c>
      <c r="N564" s="78">
        <v>1137.9737622670816</v>
      </c>
    </row>
    <row r="565" spans="1:14" ht="19.5" customHeight="1" outlineLevel="1" x14ac:dyDescent="0.2">
      <c r="A565" s="101">
        <v>29</v>
      </c>
      <c r="B565" s="81" t="s">
        <v>36</v>
      </c>
      <c r="C565" s="84">
        <v>89.01</v>
      </c>
      <c r="D565" s="53">
        <v>116.76023738245274</v>
      </c>
      <c r="E565" s="78">
        <v>1311.7653902084344</v>
      </c>
      <c r="F565" s="84">
        <v>91.83</v>
      </c>
      <c r="G565" s="53">
        <v>141.56001341772154</v>
      </c>
      <c r="H565" s="78">
        <v>1541.5443037974685</v>
      </c>
      <c r="I565" s="84">
        <v>79.97</v>
      </c>
      <c r="J565" s="53">
        <v>114.90974374468085</v>
      </c>
      <c r="K565" s="78">
        <v>1436.9106382978723</v>
      </c>
      <c r="L565" s="84">
        <v>86.936666666666667</v>
      </c>
      <c r="M565" s="53">
        <v>124.40999818161838</v>
      </c>
      <c r="N565" s="78">
        <v>1431.0417336177873</v>
      </c>
    </row>
    <row r="566" spans="1:14" ht="19.5" customHeight="1" outlineLevel="1" x14ac:dyDescent="0.2">
      <c r="A566" s="101">
        <v>30</v>
      </c>
      <c r="B566" s="81" t="s">
        <v>37</v>
      </c>
      <c r="C566" s="84">
        <v>10.16</v>
      </c>
      <c r="D566" s="53">
        <v>10.93216</v>
      </c>
      <c r="E566" s="78">
        <v>1076</v>
      </c>
      <c r="F566" s="84">
        <v>8.82</v>
      </c>
      <c r="G566" s="53">
        <v>9.8078399999999988</v>
      </c>
      <c r="H566" s="78">
        <v>1111.9999999999998</v>
      </c>
      <c r="I566" s="84">
        <v>10.19</v>
      </c>
      <c r="J566" s="53">
        <v>8.9875799999999995</v>
      </c>
      <c r="K566" s="78">
        <v>882</v>
      </c>
      <c r="L566" s="84">
        <v>9.7233333333333345</v>
      </c>
      <c r="M566" s="53">
        <v>9.9091933333333326</v>
      </c>
      <c r="N566" s="78">
        <v>1019.1148440178264</v>
      </c>
    </row>
    <row r="567" spans="1:14" ht="19.5" customHeight="1" outlineLevel="1" x14ac:dyDescent="0.2">
      <c r="A567" s="101">
        <v>31</v>
      </c>
      <c r="B567" s="81" t="s">
        <v>38</v>
      </c>
      <c r="C567" s="84">
        <v>0</v>
      </c>
      <c r="D567" s="53">
        <v>0</v>
      </c>
      <c r="E567" s="78">
        <v>0</v>
      </c>
      <c r="F567" s="84">
        <v>0.26</v>
      </c>
      <c r="G567" s="53">
        <v>0.47775508627293117</v>
      </c>
      <c r="H567" s="78">
        <v>1837.5195625881968</v>
      </c>
      <c r="I567" s="84">
        <v>0.1</v>
      </c>
      <c r="J567" s="53">
        <v>0.16969982022786972</v>
      </c>
      <c r="K567" s="78">
        <v>1696.9982022786971</v>
      </c>
      <c r="L567" s="84">
        <v>0.18</v>
      </c>
      <c r="M567" s="53">
        <v>0.32372745325040042</v>
      </c>
      <c r="N567" s="78">
        <v>1798.4858513911133</v>
      </c>
    </row>
    <row r="568" spans="1:14" ht="19.5" customHeight="1" outlineLevel="1" x14ac:dyDescent="0.2">
      <c r="A568" s="101">
        <v>32</v>
      </c>
      <c r="B568" s="81" t="s">
        <v>39</v>
      </c>
      <c r="C568" s="84">
        <v>0</v>
      </c>
      <c r="D568" s="53">
        <v>0</v>
      </c>
      <c r="E568" s="78">
        <v>0</v>
      </c>
      <c r="F568" s="84">
        <v>0</v>
      </c>
      <c r="G568" s="53">
        <v>0</v>
      </c>
      <c r="H568" s="78">
        <v>0</v>
      </c>
      <c r="I568" s="84">
        <v>0</v>
      </c>
      <c r="J568" s="53">
        <v>0</v>
      </c>
      <c r="K568" s="78">
        <v>0</v>
      </c>
      <c r="L568" s="84">
        <v>0</v>
      </c>
      <c r="M568" s="53">
        <v>0</v>
      </c>
      <c r="N568" s="78">
        <v>0</v>
      </c>
    </row>
    <row r="569" spans="1:14" ht="19.5" customHeight="1" outlineLevel="1" thickBot="1" x14ac:dyDescent="0.25">
      <c r="A569" s="102">
        <v>33</v>
      </c>
      <c r="B569" s="91" t="s">
        <v>40</v>
      </c>
      <c r="C569" s="92">
        <v>80.900000000000006</v>
      </c>
      <c r="D569" s="93">
        <v>116.03126975975593</v>
      </c>
      <c r="E569" s="94">
        <v>1434.2554976484046</v>
      </c>
      <c r="F569" s="92">
        <v>60.29</v>
      </c>
      <c r="G569" s="93">
        <v>94.133477203975062</v>
      </c>
      <c r="H569" s="94">
        <v>1561.3447869294257</v>
      </c>
      <c r="I569" s="92">
        <v>53.14</v>
      </c>
      <c r="J569" s="93">
        <v>73.985780986269589</v>
      </c>
      <c r="K569" s="94">
        <v>1392.2804099787277</v>
      </c>
      <c r="L569" s="92">
        <v>64.776666666666657</v>
      </c>
      <c r="M569" s="93">
        <v>94.716842650000174</v>
      </c>
      <c r="N569" s="94">
        <v>1462.2061850975176</v>
      </c>
    </row>
    <row r="570" spans="1:14" ht="19.5" customHeight="1" thickBot="1" x14ac:dyDescent="0.25">
      <c r="A570" s="151" t="s">
        <v>41</v>
      </c>
      <c r="B570" s="152"/>
      <c r="C570" s="96">
        <v>2214.98</v>
      </c>
      <c r="D570" s="97">
        <v>3725.3368319085175</v>
      </c>
      <c r="E570" s="98">
        <v>1681.8828305034435</v>
      </c>
      <c r="F570" s="96">
        <v>2657.37</v>
      </c>
      <c r="G570" s="97">
        <v>4882.9693600349792</v>
      </c>
      <c r="H570" s="98">
        <v>1837.5195625881902</v>
      </c>
      <c r="I570" s="96">
        <v>3006.9300000000003</v>
      </c>
      <c r="J570" s="97">
        <v>5102.7548043778743</v>
      </c>
      <c r="K570" s="98">
        <v>1696.9982022786942</v>
      </c>
      <c r="L570" s="96">
        <v>2626.4266666666667</v>
      </c>
      <c r="M570" s="97">
        <v>4570.353665440457</v>
      </c>
      <c r="N570" s="98">
        <v>1740.1413576267591</v>
      </c>
    </row>
    <row r="571" spans="1:14" ht="34.5" customHeight="1" x14ac:dyDescent="0.2">
      <c r="A571" s="153" t="s">
        <v>247</v>
      </c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</row>
    <row r="572" spans="1:14" ht="37.5" customHeight="1" thickBot="1" x14ac:dyDescent="0.25">
      <c r="A572" s="50"/>
      <c r="B572" s="138" t="s">
        <v>56</v>
      </c>
      <c r="C572" s="52"/>
      <c r="D572" s="52"/>
      <c r="E572" s="52"/>
      <c r="F572" s="52"/>
      <c r="G572" s="52"/>
      <c r="H572" s="52"/>
      <c r="I572" s="52"/>
      <c r="J572" s="52"/>
      <c r="K572" s="161" t="s">
        <v>57</v>
      </c>
      <c r="L572" s="162"/>
      <c r="M572" s="162"/>
      <c r="N572" s="162"/>
    </row>
    <row r="573" spans="1:14" ht="19.5" customHeight="1" x14ac:dyDescent="0.2">
      <c r="A573" s="156" t="s">
        <v>2</v>
      </c>
      <c r="B573" s="158" t="s">
        <v>3</v>
      </c>
      <c r="C573" s="148" t="s">
        <v>243</v>
      </c>
      <c r="D573" s="149"/>
      <c r="E573" s="150"/>
      <c r="F573" s="148" t="s">
        <v>244</v>
      </c>
      <c r="G573" s="149"/>
      <c r="H573" s="150"/>
      <c r="I573" s="148" t="s">
        <v>246</v>
      </c>
      <c r="J573" s="149"/>
      <c r="K573" s="150"/>
      <c r="L573" s="148" t="s">
        <v>4</v>
      </c>
      <c r="M573" s="149"/>
      <c r="N573" s="150"/>
    </row>
    <row r="574" spans="1:14" ht="19.5" customHeight="1" thickBot="1" x14ac:dyDescent="0.25">
      <c r="A574" s="157"/>
      <c r="B574" s="159"/>
      <c r="C574" s="85" t="s">
        <v>5</v>
      </c>
      <c r="D574" s="79" t="s">
        <v>6</v>
      </c>
      <c r="E574" s="80" t="s">
        <v>7</v>
      </c>
      <c r="F574" s="85" t="s">
        <v>5</v>
      </c>
      <c r="G574" s="79" t="s">
        <v>6</v>
      </c>
      <c r="H574" s="80" t="s">
        <v>7</v>
      </c>
      <c r="I574" s="85" t="s">
        <v>5</v>
      </c>
      <c r="J574" s="79" t="s">
        <v>6</v>
      </c>
      <c r="K574" s="80" t="s">
        <v>7</v>
      </c>
      <c r="L574" s="85" t="s">
        <v>5</v>
      </c>
      <c r="M574" s="79" t="s">
        <v>6</v>
      </c>
      <c r="N574" s="80" t="s">
        <v>7</v>
      </c>
    </row>
    <row r="575" spans="1:14" ht="19.5" customHeight="1" outlineLevel="1" x14ac:dyDescent="0.2">
      <c r="A575" s="100">
        <v>1</v>
      </c>
      <c r="B575" s="86" t="s">
        <v>8</v>
      </c>
      <c r="C575" s="87">
        <v>646.82000000000005</v>
      </c>
      <c r="D575" s="88">
        <v>3158.5336967157564</v>
      </c>
      <c r="E575" s="89">
        <v>830.13934083930394</v>
      </c>
      <c r="F575" s="87">
        <v>697.1</v>
      </c>
      <c r="G575" s="88">
        <v>3205.5440713652633</v>
      </c>
      <c r="H575" s="89">
        <v>781.72786132849637</v>
      </c>
      <c r="I575" s="87">
        <v>737.86</v>
      </c>
      <c r="J575" s="88">
        <v>2473.2261054356081</v>
      </c>
      <c r="K575" s="89">
        <v>569.82142672600946</v>
      </c>
      <c r="L575" s="87">
        <v>693.92666666666673</v>
      </c>
      <c r="M575" s="88">
        <v>2945.7679578388761</v>
      </c>
      <c r="N575" s="89">
        <v>721.66206731634782</v>
      </c>
    </row>
    <row r="576" spans="1:14" ht="19.5" customHeight="1" outlineLevel="1" x14ac:dyDescent="0.2">
      <c r="A576" s="101">
        <v>2</v>
      </c>
      <c r="B576" s="81" t="s">
        <v>9</v>
      </c>
      <c r="C576" s="84">
        <v>344.3</v>
      </c>
      <c r="D576" s="53">
        <v>1224.5580617369064</v>
      </c>
      <c r="E576" s="78">
        <v>604.63221172022679</v>
      </c>
      <c r="F576" s="84">
        <v>338.09</v>
      </c>
      <c r="G576" s="53">
        <v>1178.0027952145385</v>
      </c>
      <c r="H576" s="78">
        <v>592.32889226676798</v>
      </c>
      <c r="I576" s="84">
        <v>225.67</v>
      </c>
      <c r="J576" s="53">
        <v>781.67019025168747</v>
      </c>
      <c r="K576" s="78">
        <v>588.84181478613402</v>
      </c>
      <c r="L576" s="84">
        <v>302.68666666666667</v>
      </c>
      <c r="M576" s="53">
        <v>1061.410349067711</v>
      </c>
      <c r="N576" s="78">
        <v>596.12721408776133</v>
      </c>
    </row>
    <row r="577" spans="1:14" ht="19.5" customHeight="1" outlineLevel="1" x14ac:dyDescent="0.2">
      <c r="A577" s="101">
        <v>3</v>
      </c>
      <c r="B577" s="81" t="s">
        <v>10</v>
      </c>
      <c r="C577" s="84">
        <v>233.01</v>
      </c>
      <c r="D577" s="53">
        <v>984.71407068144902</v>
      </c>
      <c r="E577" s="78">
        <v>718.43007603041212</v>
      </c>
      <c r="F577" s="84">
        <v>246.61</v>
      </c>
      <c r="G577" s="53">
        <v>1043.8644068024737</v>
      </c>
      <c r="H577" s="78">
        <v>719.58537430120634</v>
      </c>
      <c r="I577" s="84">
        <v>260.8</v>
      </c>
      <c r="J577" s="53">
        <v>880.71810297937384</v>
      </c>
      <c r="K577" s="78">
        <v>574.08772050035861</v>
      </c>
      <c r="L577" s="84">
        <v>246.8066666666667</v>
      </c>
      <c r="M577" s="53">
        <v>969.76552682109877</v>
      </c>
      <c r="N577" s="78">
        <v>667.97279743761692</v>
      </c>
    </row>
    <row r="578" spans="1:14" ht="19.5" customHeight="1" outlineLevel="1" x14ac:dyDescent="0.2">
      <c r="A578" s="101">
        <v>4</v>
      </c>
      <c r="B578" s="81" t="s">
        <v>11</v>
      </c>
      <c r="C578" s="84">
        <v>381.31</v>
      </c>
      <c r="D578" s="53">
        <v>1560.441036487663</v>
      </c>
      <c r="E578" s="78">
        <v>695.69373004354134</v>
      </c>
      <c r="F578" s="84">
        <v>373.25</v>
      </c>
      <c r="G578" s="53">
        <v>1389.557092235294</v>
      </c>
      <c r="H578" s="78">
        <v>632.88601655726723</v>
      </c>
      <c r="I578" s="84">
        <v>330.42</v>
      </c>
      <c r="J578" s="53">
        <v>1319.7166602352941</v>
      </c>
      <c r="K578" s="78">
        <v>678.98986816778643</v>
      </c>
      <c r="L578" s="84">
        <v>361.66</v>
      </c>
      <c r="M578" s="53">
        <v>1423.2382629860838</v>
      </c>
      <c r="N578" s="78">
        <v>668.99990241562307</v>
      </c>
    </row>
    <row r="579" spans="1:14" ht="19.5" customHeight="1" outlineLevel="1" x14ac:dyDescent="0.2">
      <c r="A579" s="101">
        <v>5</v>
      </c>
      <c r="B579" s="81" t="s">
        <v>12</v>
      </c>
      <c r="C579" s="84">
        <v>488.62</v>
      </c>
      <c r="D579" s="53">
        <v>1826.1705134162166</v>
      </c>
      <c r="E579" s="78">
        <v>635.35873947189395</v>
      </c>
      <c r="F579" s="84">
        <v>589.63</v>
      </c>
      <c r="G579" s="53">
        <v>1846.5770060991556</v>
      </c>
      <c r="H579" s="78">
        <v>532.39843806600152</v>
      </c>
      <c r="I579" s="84">
        <v>512.51</v>
      </c>
      <c r="J579" s="53">
        <v>1873.4360697139489</v>
      </c>
      <c r="K579" s="78">
        <v>621.42032711824413</v>
      </c>
      <c r="L579" s="84">
        <v>530.25333333333333</v>
      </c>
      <c r="M579" s="53">
        <v>1848.7278630764404</v>
      </c>
      <c r="N579" s="78">
        <v>592.70487702040828</v>
      </c>
    </row>
    <row r="580" spans="1:14" ht="19.5" customHeight="1" outlineLevel="1" x14ac:dyDescent="0.2">
      <c r="A580" s="101">
        <v>6</v>
      </c>
      <c r="B580" s="81" t="s">
        <v>13</v>
      </c>
      <c r="C580" s="84">
        <v>282.75</v>
      </c>
      <c r="D580" s="53">
        <v>896.92458907329114</v>
      </c>
      <c r="E580" s="78">
        <v>539.265004924702</v>
      </c>
      <c r="F580" s="84">
        <v>344.81</v>
      </c>
      <c r="G580" s="53">
        <v>1161.1092883810802</v>
      </c>
      <c r="H580" s="78">
        <v>572.45607443166853</v>
      </c>
      <c r="I580" s="84">
        <v>218.84</v>
      </c>
      <c r="J580" s="53">
        <v>728.44946177488362</v>
      </c>
      <c r="K580" s="78">
        <v>565.87647825685531</v>
      </c>
      <c r="L580" s="84">
        <v>282.13333333333333</v>
      </c>
      <c r="M580" s="53">
        <v>928.8277797430851</v>
      </c>
      <c r="N580" s="78">
        <v>559.66702229321061</v>
      </c>
    </row>
    <row r="581" spans="1:14" ht="19.5" customHeight="1" outlineLevel="1" x14ac:dyDescent="0.2">
      <c r="A581" s="101">
        <v>7</v>
      </c>
      <c r="B581" s="81" t="s">
        <v>14</v>
      </c>
      <c r="C581" s="84">
        <v>205.68</v>
      </c>
      <c r="D581" s="53">
        <v>761.55753176470603</v>
      </c>
      <c r="E581" s="78">
        <v>629.44759043173872</v>
      </c>
      <c r="F581" s="84">
        <v>222.64</v>
      </c>
      <c r="G581" s="53">
        <v>800.31173505882361</v>
      </c>
      <c r="H581" s="78">
        <v>611.08962881782259</v>
      </c>
      <c r="I581" s="84">
        <v>192.25</v>
      </c>
      <c r="J581" s="53">
        <v>694.42247858823521</v>
      </c>
      <c r="K581" s="78">
        <v>614.05368717815338</v>
      </c>
      <c r="L581" s="84">
        <v>206.85666666666665</v>
      </c>
      <c r="M581" s="53">
        <v>752.0972484705884</v>
      </c>
      <c r="N581" s="78">
        <v>618.09239363810707</v>
      </c>
    </row>
    <row r="582" spans="1:14" ht="19.5" customHeight="1" outlineLevel="1" x14ac:dyDescent="0.2">
      <c r="A582" s="101">
        <v>8</v>
      </c>
      <c r="B582" s="81" t="s">
        <v>15</v>
      </c>
      <c r="C582" s="84">
        <v>164.31</v>
      </c>
      <c r="D582" s="53">
        <v>732.35018896794406</v>
      </c>
      <c r="E582" s="78">
        <v>757.71122953289807</v>
      </c>
      <c r="F582" s="84">
        <v>200.29</v>
      </c>
      <c r="G582" s="53">
        <v>712.59870876432433</v>
      </c>
      <c r="H582" s="78">
        <v>604.83189620018538</v>
      </c>
      <c r="I582" s="84">
        <v>160.97999999999999</v>
      </c>
      <c r="J582" s="53">
        <v>643.34641071008775</v>
      </c>
      <c r="K582" s="78">
        <v>679.39427146673449</v>
      </c>
      <c r="L582" s="84">
        <v>175.19333333333336</v>
      </c>
      <c r="M582" s="53">
        <v>696.09843614745205</v>
      </c>
      <c r="N582" s="78">
        <v>675.46368285551296</v>
      </c>
    </row>
    <row r="583" spans="1:14" ht="19.5" customHeight="1" outlineLevel="1" x14ac:dyDescent="0.2">
      <c r="A583" s="101">
        <v>9</v>
      </c>
      <c r="B583" s="81" t="s">
        <v>16</v>
      </c>
      <c r="C583" s="84">
        <v>3316.63</v>
      </c>
      <c r="D583" s="53">
        <v>12628.383242823531</v>
      </c>
      <c r="E583" s="78">
        <v>647.29112119229467</v>
      </c>
      <c r="F583" s="84">
        <v>3225.33</v>
      </c>
      <c r="G583" s="53">
        <v>10868.10121270588</v>
      </c>
      <c r="H583" s="78">
        <v>572.83354142366818</v>
      </c>
      <c r="I583" s="84">
        <v>3269.94</v>
      </c>
      <c r="J583" s="53">
        <v>6664.1080404705872</v>
      </c>
      <c r="K583" s="78">
        <v>346.45845699921097</v>
      </c>
      <c r="L583" s="84">
        <v>3270.6333333333332</v>
      </c>
      <c r="M583" s="53">
        <v>10053.530831999999</v>
      </c>
      <c r="N583" s="78">
        <v>522.55941502868961</v>
      </c>
    </row>
    <row r="584" spans="1:14" ht="19.5" customHeight="1" outlineLevel="1" x14ac:dyDescent="0.2">
      <c r="A584" s="101">
        <v>10</v>
      </c>
      <c r="B584" s="81" t="s">
        <v>17</v>
      </c>
      <c r="C584" s="84">
        <v>1345.51</v>
      </c>
      <c r="D584" s="53">
        <v>5869.9306037647048</v>
      </c>
      <c r="E584" s="78">
        <v>741.64309640210763</v>
      </c>
      <c r="F584" s="84">
        <v>1486.4</v>
      </c>
      <c r="G584" s="53">
        <v>5722.3515600000001</v>
      </c>
      <c r="H584" s="78">
        <v>654.4670110333692</v>
      </c>
      <c r="I584" s="84">
        <v>1746.56</v>
      </c>
      <c r="J584" s="53">
        <v>4183.1325063529412</v>
      </c>
      <c r="K584" s="78">
        <v>407.16180725540488</v>
      </c>
      <c r="L584" s="84">
        <v>1526.1566666666665</v>
      </c>
      <c r="M584" s="53">
        <v>5258.471556705882</v>
      </c>
      <c r="N584" s="78">
        <v>585.74600115759199</v>
      </c>
    </row>
    <row r="585" spans="1:14" ht="19.5" customHeight="1" outlineLevel="1" x14ac:dyDescent="0.2">
      <c r="A585" s="101">
        <v>11</v>
      </c>
      <c r="B585" s="81" t="s">
        <v>18</v>
      </c>
      <c r="C585" s="84">
        <v>2336.06</v>
      </c>
      <c r="D585" s="53">
        <v>10906.890611294115</v>
      </c>
      <c r="E585" s="78">
        <v>793.71737195106266</v>
      </c>
      <c r="F585" s="84">
        <v>2448.0300000000002</v>
      </c>
      <c r="G585" s="53">
        <v>8303.7210014117645</v>
      </c>
      <c r="H585" s="78">
        <v>576.6402250952807</v>
      </c>
      <c r="I585" s="84">
        <v>1839.93</v>
      </c>
      <c r="J585" s="53">
        <v>6794.3646211764717</v>
      </c>
      <c r="K585" s="78">
        <v>627.76409189480046</v>
      </c>
      <c r="L585" s="84">
        <v>2208.0066666666667</v>
      </c>
      <c r="M585" s="53">
        <v>8668.3254112941158</v>
      </c>
      <c r="N585" s="78">
        <v>667.39622763216278</v>
      </c>
    </row>
    <row r="586" spans="1:14" ht="19.5" customHeight="1" outlineLevel="1" x14ac:dyDescent="0.2">
      <c r="A586" s="101">
        <v>12</v>
      </c>
      <c r="B586" s="81" t="s">
        <v>19</v>
      </c>
      <c r="C586" s="84">
        <v>1591.83</v>
      </c>
      <c r="D586" s="53">
        <v>8941.2095774117643</v>
      </c>
      <c r="E586" s="78">
        <v>954.87937038502855</v>
      </c>
      <c r="F586" s="84">
        <v>1781.54</v>
      </c>
      <c r="G586" s="53">
        <v>8982.9036847058815</v>
      </c>
      <c r="H586" s="78">
        <v>857.17616578914863</v>
      </c>
      <c r="I586" s="84">
        <v>1315.41</v>
      </c>
      <c r="J586" s="53">
        <v>4035.3078240000004</v>
      </c>
      <c r="K586" s="78">
        <v>521.51217497206198</v>
      </c>
      <c r="L586" s="84">
        <v>1562.9266666666665</v>
      </c>
      <c r="M586" s="53">
        <v>7319.8070287058808</v>
      </c>
      <c r="N586" s="78">
        <v>796.17759516121464</v>
      </c>
    </row>
    <row r="587" spans="1:14" ht="19.5" customHeight="1" outlineLevel="1" x14ac:dyDescent="0.2">
      <c r="A587" s="101">
        <v>13</v>
      </c>
      <c r="B587" s="81" t="s">
        <v>20</v>
      </c>
      <c r="C587" s="84">
        <v>102.19</v>
      </c>
      <c r="D587" s="53">
        <v>389.86193443585245</v>
      </c>
      <c r="E587" s="78">
        <v>648.56178543981707</v>
      </c>
      <c r="F587" s="84">
        <v>93.01</v>
      </c>
      <c r="G587" s="53">
        <v>351.38211055604307</v>
      </c>
      <c r="H587" s="78">
        <v>642.24232657270534</v>
      </c>
      <c r="I587" s="84">
        <v>21.83</v>
      </c>
      <c r="J587" s="53">
        <v>50.797056338689394</v>
      </c>
      <c r="K587" s="78">
        <v>395.57945843230402</v>
      </c>
      <c r="L587" s="84">
        <v>72.34333333333332</v>
      </c>
      <c r="M587" s="53">
        <v>264.01370044352831</v>
      </c>
      <c r="N587" s="78">
        <v>620.40725810348556</v>
      </c>
    </row>
    <row r="588" spans="1:14" ht="19.5" customHeight="1" outlineLevel="1" x14ac:dyDescent="0.2">
      <c r="A588" s="101">
        <v>14</v>
      </c>
      <c r="B588" s="81" t="s">
        <v>21</v>
      </c>
      <c r="C588" s="84">
        <v>10.35</v>
      </c>
      <c r="D588" s="53">
        <v>17.390337882352942</v>
      </c>
      <c r="E588" s="78">
        <v>285.63839999999999</v>
      </c>
      <c r="F588" s="84">
        <v>111</v>
      </c>
      <c r="G588" s="53">
        <v>561.79058823529408</v>
      </c>
      <c r="H588" s="78">
        <v>860.4</v>
      </c>
      <c r="I588" s="84">
        <v>55.21</v>
      </c>
      <c r="J588" s="53">
        <v>98.793423529411768</v>
      </c>
      <c r="K588" s="78">
        <v>304.2</v>
      </c>
      <c r="L588" s="84">
        <v>58.853333333333332</v>
      </c>
      <c r="M588" s="53">
        <v>225.9914498823529</v>
      </c>
      <c r="N588" s="78">
        <v>652.78454599003157</v>
      </c>
    </row>
    <row r="589" spans="1:14" ht="19.5" customHeight="1" outlineLevel="1" x14ac:dyDescent="0.2">
      <c r="A589" s="101">
        <v>15</v>
      </c>
      <c r="B589" s="81" t="s">
        <v>22</v>
      </c>
      <c r="C589" s="84">
        <v>504.05</v>
      </c>
      <c r="D589" s="53">
        <v>2011.2712590555886</v>
      </c>
      <c r="E589" s="78">
        <v>678.33769276748353</v>
      </c>
      <c r="F589" s="84">
        <v>527.72</v>
      </c>
      <c r="G589" s="53">
        <v>1852.0081258979133</v>
      </c>
      <c r="H589" s="78">
        <v>596.60687751581372</v>
      </c>
      <c r="I589" s="84">
        <v>359.69</v>
      </c>
      <c r="J589" s="53">
        <v>1210.5818594426544</v>
      </c>
      <c r="K589" s="78">
        <v>572.15634603478338</v>
      </c>
      <c r="L589" s="84">
        <v>463.82</v>
      </c>
      <c r="M589" s="53">
        <v>1691.2870814653854</v>
      </c>
      <c r="N589" s="78">
        <v>619.89307026241966</v>
      </c>
    </row>
    <row r="590" spans="1:14" ht="19.5" customHeight="1" outlineLevel="1" x14ac:dyDescent="0.2">
      <c r="A590" s="101">
        <v>16</v>
      </c>
      <c r="B590" s="81" t="s">
        <v>23</v>
      </c>
      <c r="C590" s="84">
        <v>189.4</v>
      </c>
      <c r="D590" s="53">
        <v>987.25984866094677</v>
      </c>
      <c r="E590" s="78">
        <v>886.13608380338405</v>
      </c>
      <c r="F590" s="84">
        <v>169.47</v>
      </c>
      <c r="G590" s="53">
        <v>937.51515752561659</v>
      </c>
      <c r="H590" s="78">
        <v>940.4471397849461</v>
      </c>
      <c r="I590" s="84">
        <v>132.29</v>
      </c>
      <c r="J590" s="53">
        <v>737.30419495823958</v>
      </c>
      <c r="K590" s="78">
        <v>947.4768549618318</v>
      </c>
      <c r="L590" s="84">
        <v>163.72</v>
      </c>
      <c r="M590" s="53">
        <v>887.35973371493435</v>
      </c>
      <c r="N590" s="78">
        <v>921.3972314411119</v>
      </c>
    </row>
    <row r="591" spans="1:14" ht="19.5" customHeight="1" outlineLevel="1" x14ac:dyDescent="0.2">
      <c r="A591" s="101">
        <v>17</v>
      </c>
      <c r="B591" s="81" t="s">
        <v>24</v>
      </c>
      <c r="C591" s="84">
        <v>2422.17</v>
      </c>
      <c r="D591" s="53">
        <v>9953.8145576470597</v>
      </c>
      <c r="E591" s="78">
        <v>698.6084687697396</v>
      </c>
      <c r="F591" s="84">
        <v>2854.3</v>
      </c>
      <c r="G591" s="53">
        <v>7291.847659764705</v>
      </c>
      <c r="H591" s="78">
        <v>434.29706133202524</v>
      </c>
      <c r="I591" s="84">
        <v>2393.9899999999998</v>
      </c>
      <c r="J591" s="53">
        <v>7537.382974588234</v>
      </c>
      <c r="K591" s="78">
        <v>535.23828657596732</v>
      </c>
      <c r="L591" s="84">
        <v>2556.8200000000002</v>
      </c>
      <c r="M591" s="53">
        <v>8261.0150639999993</v>
      </c>
      <c r="N591" s="78">
        <v>549.26532211105973</v>
      </c>
    </row>
    <row r="592" spans="1:14" ht="19.5" customHeight="1" outlineLevel="1" x14ac:dyDescent="0.2">
      <c r="A592" s="101">
        <v>18</v>
      </c>
      <c r="B592" s="81" t="s">
        <v>25</v>
      </c>
      <c r="C592" s="84">
        <v>1481.99</v>
      </c>
      <c r="D592" s="53">
        <v>5334.8552724705878</v>
      </c>
      <c r="E592" s="78">
        <v>611.96458567196805</v>
      </c>
      <c r="F592" s="84">
        <v>1396.1</v>
      </c>
      <c r="G592" s="53">
        <v>4859.3674842352948</v>
      </c>
      <c r="H592" s="78">
        <v>591.71439891125283</v>
      </c>
      <c r="I592" s="84">
        <v>1431.6</v>
      </c>
      <c r="J592" s="53">
        <v>3975.8765082352934</v>
      </c>
      <c r="K592" s="78">
        <v>472.12839228834861</v>
      </c>
      <c r="L592" s="84">
        <v>1436.5633333333335</v>
      </c>
      <c r="M592" s="53">
        <v>4723.3664216470588</v>
      </c>
      <c r="N592" s="78">
        <v>558.95363124493872</v>
      </c>
    </row>
    <row r="593" spans="1:14" ht="19.5" customHeight="1" outlineLevel="1" x14ac:dyDescent="0.2">
      <c r="A593" s="101">
        <v>19</v>
      </c>
      <c r="B593" s="81" t="s">
        <v>26</v>
      </c>
      <c r="C593" s="84">
        <v>1457.29</v>
      </c>
      <c r="D593" s="53">
        <v>7824.0743195294117</v>
      </c>
      <c r="E593" s="78">
        <v>912.71650414124849</v>
      </c>
      <c r="F593" s="84">
        <v>1573.26</v>
      </c>
      <c r="G593" s="53">
        <v>7022.3099124705886</v>
      </c>
      <c r="H593" s="78">
        <v>758.80190503794665</v>
      </c>
      <c r="I593" s="84">
        <v>1629.63</v>
      </c>
      <c r="J593" s="53">
        <v>6864.2876329411756</v>
      </c>
      <c r="K593" s="78">
        <v>716.06984260230831</v>
      </c>
      <c r="L593" s="84">
        <v>1553.3933333333334</v>
      </c>
      <c r="M593" s="53">
        <v>7236.8906216470596</v>
      </c>
      <c r="N593" s="78">
        <v>791.98962637494685</v>
      </c>
    </row>
    <row r="594" spans="1:14" ht="19.5" customHeight="1" outlineLevel="1" x14ac:dyDescent="0.2">
      <c r="A594" s="101">
        <v>20</v>
      </c>
      <c r="B594" s="81" t="s">
        <v>27</v>
      </c>
      <c r="C594" s="84">
        <v>11.22</v>
      </c>
      <c r="D594" s="53">
        <v>36.415326315789471</v>
      </c>
      <c r="E594" s="78">
        <v>551.74736842105256</v>
      </c>
      <c r="F594" s="84">
        <v>14.95</v>
      </c>
      <c r="G594" s="53">
        <v>35.825124705882345</v>
      </c>
      <c r="H594" s="78">
        <v>407.37599999999998</v>
      </c>
      <c r="I594" s="84">
        <v>10.77</v>
      </c>
      <c r="J594" s="53">
        <v>25.224607058823523</v>
      </c>
      <c r="K594" s="78">
        <v>398.15999999999991</v>
      </c>
      <c r="L594" s="84">
        <v>12.313333333333333</v>
      </c>
      <c r="M594" s="53">
        <v>32.488352693498449</v>
      </c>
      <c r="N594" s="78">
        <v>448.53979084147829</v>
      </c>
    </row>
    <row r="595" spans="1:14" ht="19.5" customHeight="1" outlineLevel="1" x14ac:dyDescent="0.2">
      <c r="A595" s="101">
        <v>21</v>
      </c>
      <c r="B595" s="81" t="s">
        <v>28</v>
      </c>
      <c r="C595" s="84">
        <v>156.16999999999999</v>
      </c>
      <c r="D595" s="53">
        <v>540.62131344074419</v>
      </c>
      <c r="E595" s="78">
        <v>588.49729964094581</v>
      </c>
      <c r="F595" s="84">
        <v>177.62</v>
      </c>
      <c r="G595" s="53">
        <v>606.50222632941177</v>
      </c>
      <c r="H595" s="78">
        <v>580.48293253012048</v>
      </c>
      <c r="I595" s="84">
        <v>168.35</v>
      </c>
      <c r="J595" s="53">
        <v>553.36593261721418</v>
      </c>
      <c r="K595" s="78">
        <v>558.78947754634044</v>
      </c>
      <c r="L595" s="84">
        <v>167.38</v>
      </c>
      <c r="M595" s="53">
        <v>566.82982412912338</v>
      </c>
      <c r="N595" s="78">
        <v>575.70241427859344</v>
      </c>
    </row>
    <row r="596" spans="1:14" ht="19.5" customHeight="1" outlineLevel="1" x14ac:dyDescent="0.2">
      <c r="A596" s="101">
        <v>22</v>
      </c>
      <c r="B596" s="81" t="s">
        <v>29</v>
      </c>
      <c r="C596" s="84">
        <v>110.28</v>
      </c>
      <c r="D596" s="53">
        <v>437.71633351635904</v>
      </c>
      <c r="E596" s="78">
        <v>674.75314379562053</v>
      </c>
      <c r="F596" s="84">
        <v>110.92</v>
      </c>
      <c r="G596" s="53">
        <v>452.77982408809049</v>
      </c>
      <c r="H596" s="78">
        <v>693.94671921182271</v>
      </c>
      <c r="I596" s="84">
        <v>102.43</v>
      </c>
      <c r="J596" s="53">
        <v>384.56924268899547</v>
      </c>
      <c r="K596" s="78">
        <v>638.25804214711729</v>
      </c>
      <c r="L596" s="84">
        <v>107.87666666666667</v>
      </c>
      <c r="M596" s="53">
        <v>425.021800097815</v>
      </c>
      <c r="N596" s="78">
        <v>669.78066943696706</v>
      </c>
    </row>
    <row r="597" spans="1:14" ht="19.5" customHeight="1" outlineLevel="1" x14ac:dyDescent="0.2">
      <c r="A597" s="101">
        <v>23</v>
      </c>
      <c r="B597" s="81" t="s">
        <v>30</v>
      </c>
      <c r="C597" s="84">
        <v>97.13</v>
      </c>
      <c r="D597" s="53">
        <v>381.33930843542271</v>
      </c>
      <c r="E597" s="78">
        <v>667.43212636695011</v>
      </c>
      <c r="F597" s="84">
        <v>92.84</v>
      </c>
      <c r="G597" s="53">
        <v>398.08700331120036</v>
      </c>
      <c r="H597" s="78">
        <v>728.94001037165083</v>
      </c>
      <c r="I597" s="84">
        <v>84.67</v>
      </c>
      <c r="J597" s="53">
        <v>411.73782056520844</v>
      </c>
      <c r="K597" s="78">
        <v>826.68512455516031</v>
      </c>
      <c r="L597" s="84">
        <v>91.546666666666667</v>
      </c>
      <c r="M597" s="53">
        <v>397.05471077061048</v>
      </c>
      <c r="N597" s="78">
        <v>737.32122958422428</v>
      </c>
    </row>
    <row r="598" spans="1:14" ht="19.5" customHeight="1" outlineLevel="1" x14ac:dyDescent="0.2">
      <c r="A598" s="101">
        <v>24</v>
      </c>
      <c r="B598" s="81" t="s">
        <v>31</v>
      </c>
      <c r="C598" s="84">
        <v>0</v>
      </c>
      <c r="D598" s="53">
        <v>0</v>
      </c>
      <c r="E598" s="78">
        <v>0</v>
      </c>
      <c r="F598" s="84">
        <v>10.08</v>
      </c>
      <c r="G598" s="53">
        <v>37.696571942196385</v>
      </c>
      <c r="H598" s="78">
        <v>635.7556775965661</v>
      </c>
      <c r="I598" s="84">
        <v>0</v>
      </c>
      <c r="J598" s="53">
        <v>0</v>
      </c>
      <c r="K598" s="78">
        <v>0</v>
      </c>
      <c r="L598" s="84">
        <v>10.08</v>
      </c>
      <c r="M598" s="53">
        <v>37.696571942196385</v>
      </c>
      <c r="N598" s="78">
        <v>635.75567759656599</v>
      </c>
    </row>
    <row r="599" spans="1:14" ht="19.5" customHeight="1" outlineLevel="1" x14ac:dyDescent="0.2">
      <c r="A599" s="101">
        <v>25</v>
      </c>
      <c r="B599" s="81" t="s">
        <v>32</v>
      </c>
      <c r="C599" s="84">
        <v>816.86</v>
      </c>
      <c r="D599" s="53">
        <v>4381.1700988235298</v>
      </c>
      <c r="E599" s="78">
        <v>911.78282300516628</v>
      </c>
      <c r="F599" s="84">
        <v>886.79</v>
      </c>
      <c r="G599" s="53">
        <v>4434.2456315294112</v>
      </c>
      <c r="H599" s="78">
        <v>850.05667334994757</v>
      </c>
      <c r="I599" s="84">
        <v>836.39</v>
      </c>
      <c r="J599" s="53">
        <v>4138.0783072941167</v>
      </c>
      <c r="K599" s="78">
        <v>841.08288267435023</v>
      </c>
      <c r="L599" s="84">
        <v>846.68</v>
      </c>
      <c r="M599" s="53">
        <v>4317.8313458823532</v>
      </c>
      <c r="N599" s="78">
        <v>866.95248358293577</v>
      </c>
    </row>
    <row r="600" spans="1:14" ht="19.5" customHeight="1" outlineLevel="1" x14ac:dyDescent="0.2">
      <c r="A600" s="101">
        <v>26</v>
      </c>
      <c r="B600" s="81" t="s">
        <v>33</v>
      </c>
      <c r="C600" s="84">
        <v>611.28</v>
      </c>
      <c r="D600" s="53">
        <v>2615.8089896470588</v>
      </c>
      <c r="E600" s="78">
        <v>727.46945465253236</v>
      </c>
      <c r="F600" s="84">
        <v>620.48</v>
      </c>
      <c r="G600" s="53">
        <v>2726.5982738823527</v>
      </c>
      <c r="H600" s="78">
        <v>747.0373042805569</v>
      </c>
      <c r="I600" s="84">
        <v>662.76</v>
      </c>
      <c r="J600" s="53">
        <v>2689.7598592941176</v>
      </c>
      <c r="K600" s="78">
        <v>689.93176425855518</v>
      </c>
      <c r="L600" s="84">
        <v>631.50666666666666</v>
      </c>
      <c r="M600" s="53">
        <v>2677.3890409411765</v>
      </c>
      <c r="N600" s="78">
        <v>720.74636893777847</v>
      </c>
    </row>
    <row r="601" spans="1:14" ht="19.5" customHeight="1" outlineLevel="1" x14ac:dyDescent="0.2">
      <c r="A601" s="101">
        <v>27</v>
      </c>
      <c r="B601" s="81" t="s">
        <v>34</v>
      </c>
      <c r="C601" s="84">
        <v>171.34</v>
      </c>
      <c r="D601" s="53">
        <v>692.2312517647058</v>
      </c>
      <c r="E601" s="78">
        <v>686.81751371541952</v>
      </c>
      <c r="F601" s="84">
        <v>185.31</v>
      </c>
      <c r="G601" s="53">
        <v>747.61306729411763</v>
      </c>
      <c r="H601" s="78">
        <v>685.84653521126756</v>
      </c>
      <c r="I601" s="84">
        <v>166.68</v>
      </c>
      <c r="J601" s="53">
        <v>672.34046400000011</v>
      </c>
      <c r="K601" s="78">
        <v>685.73241468682511</v>
      </c>
      <c r="L601" s="84">
        <v>174.4433333333333</v>
      </c>
      <c r="M601" s="53">
        <v>704.06159435294114</v>
      </c>
      <c r="N601" s="78">
        <v>686.12808958018843</v>
      </c>
    </row>
    <row r="602" spans="1:14" ht="19.5" customHeight="1" outlineLevel="1" x14ac:dyDescent="0.2">
      <c r="A602" s="101">
        <v>28</v>
      </c>
      <c r="B602" s="81" t="s">
        <v>35</v>
      </c>
      <c r="C602" s="84">
        <v>599.64</v>
      </c>
      <c r="D602" s="53">
        <v>2205.0428696470585</v>
      </c>
      <c r="E602" s="78">
        <v>625.13722873724225</v>
      </c>
      <c r="F602" s="84">
        <v>646.20000000000005</v>
      </c>
      <c r="G602" s="53">
        <v>2529.1158776470588</v>
      </c>
      <c r="H602" s="78">
        <v>665.35081894150414</v>
      </c>
      <c r="I602" s="84">
        <v>613.87</v>
      </c>
      <c r="J602" s="53">
        <v>2155.659217411765</v>
      </c>
      <c r="K602" s="78">
        <v>596.97015159561477</v>
      </c>
      <c r="L602" s="84">
        <v>619.90333333333331</v>
      </c>
      <c r="M602" s="53">
        <v>2296.6059882352943</v>
      </c>
      <c r="N602" s="78">
        <v>629.81274177156661</v>
      </c>
    </row>
    <row r="603" spans="1:14" ht="19.5" customHeight="1" outlineLevel="1" x14ac:dyDescent="0.2">
      <c r="A603" s="101">
        <v>29</v>
      </c>
      <c r="B603" s="81" t="s">
        <v>36</v>
      </c>
      <c r="C603" s="84">
        <v>18.55</v>
      </c>
      <c r="D603" s="53">
        <v>67.50316801057501</v>
      </c>
      <c r="E603" s="78">
        <v>618.62741573033702</v>
      </c>
      <c r="F603" s="84">
        <v>27.65</v>
      </c>
      <c r="G603" s="53">
        <v>119.50301221038062</v>
      </c>
      <c r="H603" s="78">
        <v>734.7382305882353</v>
      </c>
      <c r="I603" s="84">
        <v>27.4</v>
      </c>
      <c r="J603" s="53">
        <v>113.5676245027686</v>
      </c>
      <c r="K603" s="78">
        <v>704.6166483748417</v>
      </c>
      <c r="L603" s="84">
        <v>24.533333333333331</v>
      </c>
      <c r="M603" s="53">
        <v>100.1912682412414</v>
      </c>
      <c r="N603" s="78">
        <v>694.26014678034119</v>
      </c>
    </row>
    <row r="604" spans="1:14" ht="19.5" customHeight="1" outlineLevel="1" x14ac:dyDescent="0.2">
      <c r="A604" s="101">
        <v>30</v>
      </c>
      <c r="B604" s="81" t="s">
        <v>37</v>
      </c>
      <c r="C604" s="84">
        <v>0</v>
      </c>
      <c r="D604" s="53">
        <v>0</v>
      </c>
      <c r="E604" s="78">
        <v>0</v>
      </c>
      <c r="F604" s="84">
        <v>0</v>
      </c>
      <c r="G604" s="53">
        <v>0</v>
      </c>
      <c r="H604" s="78">
        <v>0</v>
      </c>
      <c r="I604" s="84">
        <v>0</v>
      </c>
      <c r="J604" s="53">
        <v>0</v>
      </c>
      <c r="K604" s="78">
        <v>0</v>
      </c>
      <c r="L604" s="84">
        <v>0</v>
      </c>
      <c r="M604" s="53">
        <v>0</v>
      </c>
      <c r="N604" s="78">
        <v>0</v>
      </c>
    </row>
    <row r="605" spans="1:14" ht="19.5" customHeight="1" outlineLevel="1" x14ac:dyDescent="0.2">
      <c r="A605" s="101">
        <v>31</v>
      </c>
      <c r="B605" s="81" t="s">
        <v>38</v>
      </c>
      <c r="C605" s="84">
        <v>0</v>
      </c>
      <c r="D605" s="53">
        <v>0</v>
      </c>
      <c r="E605" s="78">
        <v>0</v>
      </c>
      <c r="F605" s="84">
        <v>0</v>
      </c>
      <c r="G605" s="53">
        <v>0</v>
      </c>
      <c r="H605" s="78">
        <v>0</v>
      </c>
      <c r="I605" s="84">
        <v>0</v>
      </c>
      <c r="J605" s="53">
        <v>0</v>
      </c>
      <c r="K605" s="78">
        <v>0</v>
      </c>
      <c r="L605" s="84">
        <v>0</v>
      </c>
      <c r="M605" s="53">
        <v>0</v>
      </c>
      <c r="N605" s="78">
        <v>0</v>
      </c>
    </row>
    <row r="606" spans="1:14" ht="19.5" customHeight="1" outlineLevel="1" x14ac:dyDescent="0.2">
      <c r="A606" s="101">
        <v>32</v>
      </c>
      <c r="B606" s="81" t="s">
        <v>39</v>
      </c>
      <c r="C606" s="84">
        <v>0</v>
      </c>
      <c r="D606" s="53">
        <v>0</v>
      </c>
      <c r="E606" s="78">
        <v>0</v>
      </c>
      <c r="F606" s="84">
        <v>0</v>
      </c>
      <c r="G606" s="53">
        <v>0</v>
      </c>
      <c r="H606" s="78">
        <v>0</v>
      </c>
      <c r="I606" s="84">
        <v>0</v>
      </c>
      <c r="J606" s="53">
        <v>0</v>
      </c>
      <c r="K606" s="78">
        <v>0</v>
      </c>
      <c r="L606" s="84">
        <v>0</v>
      </c>
      <c r="M606" s="53">
        <v>0</v>
      </c>
      <c r="N606" s="78">
        <v>0</v>
      </c>
    </row>
    <row r="607" spans="1:14" ht="19.5" customHeight="1" outlineLevel="1" thickBot="1" x14ac:dyDescent="0.25">
      <c r="A607" s="102">
        <v>33</v>
      </c>
      <c r="B607" s="91" t="s">
        <v>40</v>
      </c>
      <c r="C607" s="92">
        <v>34.770000000000003</v>
      </c>
      <c r="D607" s="93">
        <v>160.0132841323223</v>
      </c>
      <c r="E607" s="94">
        <v>782.34852753795769</v>
      </c>
      <c r="F607" s="92">
        <v>38.590000000000003</v>
      </c>
      <c r="G607" s="93">
        <v>188.20430980728051</v>
      </c>
      <c r="H607" s="94">
        <v>829.09387580299779</v>
      </c>
      <c r="I607" s="92">
        <v>32.56</v>
      </c>
      <c r="J607" s="93">
        <v>128.52194848976367</v>
      </c>
      <c r="K607" s="94">
        <v>671.02982933844669</v>
      </c>
      <c r="L607" s="92">
        <v>35.306666666666672</v>
      </c>
      <c r="M607" s="93">
        <v>158.91318080978883</v>
      </c>
      <c r="N607" s="94">
        <v>765.15976409547102</v>
      </c>
    </row>
    <row r="608" spans="1:14" ht="19.5" customHeight="1" thickBot="1" x14ac:dyDescent="0.25">
      <c r="A608" s="151" t="s">
        <v>41</v>
      </c>
      <c r="B608" s="152"/>
      <c r="C608" s="96">
        <v>20131.509999999998</v>
      </c>
      <c r="D608" s="97">
        <v>87528.053197553425</v>
      </c>
      <c r="E608" s="98">
        <v>739.1283139508206</v>
      </c>
      <c r="F608" s="96">
        <v>21490.010000000002</v>
      </c>
      <c r="G608" s="97">
        <v>80367.034524177303</v>
      </c>
      <c r="H608" s="98">
        <v>635.7556775967131</v>
      </c>
      <c r="I608" s="96">
        <v>19541.289999999997</v>
      </c>
      <c r="J608" s="97">
        <v>62819.747145645575</v>
      </c>
      <c r="K608" s="98">
        <v>546.50215081807539</v>
      </c>
      <c r="L608" s="96">
        <v>20387.603333333333</v>
      </c>
      <c r="M608" s="97">
        <v>76904.944955792103</v>
      </c>
      <c r="N608" s="98">
        <v>641.26422457460626</v>
      </c>
    </row>
    <row r="609" spans="1:14" ht="34.5" customHeight="1" x14ac:dyDescent="0.2">
      <c r="A609" s="153" t="s">
        <v>247</v>
      </c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</row>
    <row r="610" spans="1:14" ht="37.5" customHeight="1" thickBot="1" x14ac:dyDescent="0.25">
      <c r="A610" s="50"/>
      <c r="B610" s="138" t="s">
        <v>58</v>
      </c>
      <c r="C610" s="52"/>
      <c r="D610" s="52"/>
      <c r="E610" s="52"/>
      <c r="F610" s="52"/>
      <c r="G610" s="52"/>
      <c r="H610" s="52"/>
      <c r="I610" s="52"/>
      <c r="J610" s="52"/>
      <c r="K610" s="161" t="s">
        <v>57</v>
      </c>
      <c r="L610" s="162"/>
      <c r="M610" s="162"/>
      <c r="N610" s="162"/>
    </row>
    <row r="611" spans="1:14" ht="19.5" customHeight="1" x14ac:dyDescent="0.2">
      <c r="A611" s="156" t="s">
        <v>2</v>
      </c>
      <c r="B611" s="158" t="s">
        <v>3</v>
      </c>
      <c r="C611" s="148" t="s">
        <v>243</v>
      </c>
      <c r="D611" s="149"/>
      <c r="E611" s="150"/>
      <c r="F611" s="148" t="s">
        <v>244</v>
      </c>
      <c r="G611" s="149"/>
      <c r="H611" s="150"/>
      <c r="I611" s="148" t="s">
        <v>246</v>
      </c>
      <c r="J611" s="149"/>
      <c r="K611" s="150"/>
      <c r="L611" s="148" t="s">
        <v>4</v>
      </c>
      <c r="M611" s="149"/>
      <c r="N611" s="150"/>
    </row>
    <row r="612" spans="1:14" ht="19.5" customHeight="1" thickBot="1" x14ac:dyDescent="0.25">
      <c r="A612" s="157"/>
      <c r="B612" s="159"/>
      <c r="C612" s="85" t="s">
        <v>5</v>
      </c>
      <c r="D612" s="79" t="s">
        <v>6</v>
      </c>
      <c r="E612" s="80" t="s">
        <v>7</v>
      </c>
      <c r="F612" s="85" t="s">
        <v>5</v>
      </c>
      <c r="G612" s="79" t="s">
        <v>6</v>
      </c>
      <c r="H612" s="80" t="s">
        <v>7</v>
      </c>
      <c r="I612" s="85" t="s">
        <v>5</v>
      </c>
      <c r="J612" s="79" t="s">
        <v>6</v>
      </c>
      <c r="K612" s="80" t="s">
        <v>7</v>
      </c>
      <c r="L612" s="85" t="s">
        <v>5</v>
      </c>
      <c r="M612" s="79" t="s">
        <v>6</v>
      </c>
      <c r="N612" s="80" t="s">
        <v>7</v>
      </c>
    </row>
    <row r="613" spans="1:14" ht="19.5" customHeight="1" outlineLevel="1" x14ac:dyDescent="0.2">
      <c r="A613" s="100">
        <v>1</v>
      </c>
      <c r="B613" s="86" t="s">
        <v>8</v>
      </c>
      <c r="C613" s="87">
        <v>28.65</v>
      </c>
      <c r="D613" s="88">
        <v>43.301054117647048</v>
      </c>
      <c r="E613" s="89">
        <v>256.9347015706806</v>
      </c>
      <c r="F613" s="87">
        <v>22.1</v>
      </c>
      <c r="G613" s="88">
        <v>26.854627722772275</v>
      </c>
      <c r="H613" s="89">
        <v>206.57405940594057</v>
      </c>
      <c r="I613" s="87">
        <v>37.9</v>
      </c>
      <c r="J613" s="88">
        <v>59.377217712308457</v>
      </c>
      <c r="K613" s="89">
        <v>266.33580504201683</v>
      </c>
      <c r="L613" s="87">
        <v>29.55</v>
      </c>
      <c r="M613" s="88">
        <v>43.177633184242588</v>
      </c>
      <c r="N613" s="89">
        <v>248.39924336112486</v>
      </c>
    </row>
    <row r="614" spans="1:14" ht="19.5" customHeight="1" outlineLevel="1" x14ac:dyDescent="0.2">
      <c r="A614" s="101">
        <v>2</v>
      </c>
      <c r="B614" s="81" t="s">
        <v>9</v>
      </c>
      <c r="C614" s="84">
        <v>0</v>
      </c>
      <c r="D614" s="53">
        <v>0</v>
      </c>
      <c r="E614" s="78">
        <v>0</v>
      </c>
      <c r="F614" s="84">
        <v>0</v>
      </c>
      <c r="G614" s="53">
        <v>0</v>
      </c>
      <c r="H614" s="78">
        <v>0</v>
      </c>
      <c r="I614" s="84">
        <v>0</v>
      </c>
      <c r="J614" s="53">
        <v>0</v>
      </c>
      <c r="K614" s="78">
        <v>0</v>
      </c>
      <c r="L614" s="84">
        <v>0</v>
      </c>
      <c r="M614" s="53">
        <v>0</v>
      </c>
      <c r="N614" s="78">
        <v>0</v>
      </c>
    </row>
    <row r="615" spans="1:14" ht="19.5" customHeight="1" outlineLevel="1" x14ac:dyDescent="0.2">
      <c r="A615" s="101">
        <v>3</v>
      </c>
      <c r="B615" s="81" t="s">
        <v>10</v>
      </c>
      <c r="C615" s="84">
        <v>236.8</v>
      </c>
      <c r="D615" s="53">
        <v>725.23932380090514</v>
      </c>
      <c r="E615" s="78">
        <v>520.65323076923084</v>
      </c>
      <c r="F615" s="84">
        <v>229.15</v>
      </c>
      <c r="G615" s="53">
        <v>692.99212925710162</v>
      </c>
      <c r="H615" s="78">
        <v>514.11155127081508</v>
      </c>
      <c r="I615" s="84">
        <v>192.23</v>
      </c>
      <c r="J615" s="53">
        <v>171.28567682800582</v>
      </c>
      <c r="K615" s="78">
        <v>151.47773532102684</v>
      </c>
      <c r="L615" s="84">
        <v>219.39333333333335</v>
      </c>
      <c r="M615" s="53">
        <v>529.83904329533755</v>
      </c>
      <c r="N615" s="78">
        <v>410.553210490477</v>
      </c>
    </row>
    <row r="616" spans="1:14" ht="19.5" customHeight="1" outlineLevel="1" x14ac:dyDescent="0.2">
      <c r="A616" s="101">
        <v>4</v>
      </c>
      <c r="B616" s="81" t="s">
        <v>11</v>
      </c>
      <c r="C616" s="84">
        <v>0</v>
      </c>
      <c r="D616" s="53">
        <v>0</v>
      </c>
      <c r="E616" s="78">
        <v>0</v>
      </c>
      <c r="F616" s="84">
        <v>0</v>
      </c>
      <c r="G616" s="53">
        <v>0</v>
      </c>
      <c r="H616" s="78">
        <v>0</v>
      </c>
      <c r="I616" s="84">
        <v>0</v>
      </c>
      <c r="J616" s="53">
        <v>0</v>
      </c>
      <c r="K616" s="78">
        <v>0</v>
      </c>
      <c r="L616" s="84">
        <v>0</v>
      </c>
      <c r="M616" s="53">
        <v>0</v>
      </c>
      <c r="N616" s="78">
        <v>0</v>
      </c>
    </row>
    <row r="617" spans="1:14" ht="19.5" customHeight="1" outlineLevel="1" x14ac:dyDescent="0.2">
      <c r="A617" s="101">
        <v>5</v>
      </c>
      <c r="B617" s="81" t="s">
        <v>12</v>
      </c>
      <c r="C617" s="84">
        <v>0</v>
      </c>
      <c r="D617" s="53">
        <v>0</v>
      </c>
      <c r="E617" s="78">
        <v>0</v>
      </c>
      <c r="F617" s="84">
        <v>0</v>
      </c>
      <c r="G617" s="53">
        <v>0</v>
      </c>
      <c r="H617" s="78">
        <v>0</v>
      </c>
      <c r="I617" s="84">
        <v>0</v>
      </c>
      <c r="J617" s="53">
        <v>0</v>
      </c>
      <c r="K617" s="78">
        <v>0</v>
      </c>
      <c r="L617" s="84">
        <v>0</v>
      </c>
      <c r="M617" s="53">
        <v>0</v>
      </c>
      <c r="N617" s="78">
        <v>0</v>
      </c>
    </row>
    <row r="618" spans="1:14" ht="19.5" customHeight="1" outlineLevel="1" x14ac:dyDescent="0.2">
      <c r="A618" s="101">
        <v>6</v>
      </c>
      <c r="B618" s="81" t="s">
        <v>13</v>
      </c>
      <c r="C618" s="84">
        <v>0</v>
      </c>
      <c r="D618" s="53">
        <v>0</v>
      </c>
      <c r="E618" s="78">
        <v>0</v>
      </c>
      <c r="F618" s="84">
        <v>0</v>
      </c>
      <c r="G618" s="53">
        <v>0</v>
      </c>
      <c r="H618" s="78">
        <v>0</v>
      </c>
      <c r="I618" s="84">
        <v>0</v>
      </c>
      <c r="J618" s="53">
        <v>0</v>
      </c>
      <c r="K618" s="78">
        <v>0</v>
      </c>
      <c r="L618" s="84">
        <v>0</v>
      </c>
      <c r="M618" s="53">
        <v>0</v>
      </c>
      <c r="N618" s="78">
        <v>0</v>
      </c>
    </row>
    <row r="619" spans="1:14" ht="19.5" customHeight="1" outlineLevel="1" x14ac:dyDescent="0.2">
      <c r="A619" s="101">
        <v>7</v>
      </c>
      <c r="B619" s="81" t="s">
        <v>14</v>
      </c>
      <c r="C619" s="84">
        <v>0</v>
      </c>
      <c r="D619" s="53">
        <v>0</v>
      </c>
      <c r="E619" s="78">
        <v>0</v>
      </c>
      <c r="F619" s="84">
        <v>0</v>
      </c>
      <c r="G619" s="53">
        <v>0</v>
      </c>
      <c r="H619" s="78">
        <v>0</v>
      </c>
      <c r="I619" s="84">
        <v>0</v>
      </c>
      <c r="J619" s="53">
        <v>0</v>
      </c>
      <c r="K619" s="78">
        <v>0</v>
      </c>
      <c r="L619" s="84">
        <v>0</v>
      </c>
      <c r="M619" s="53">
        <v>0</v>
      </c>
      <c r="N619" s="78">
        <v>0</v>
      </c>
    </row>
    <row r="620" spans="1:14" ht="19.5" customHeight="1" outlineLevel="1" x14ac:dyDescent="0.2">
      <c r="A620" s="101">
        <v>8</v>
      </c>
      <c r="B620" s="81" t="s">
        <v>15</v>
      </c>
      <c r="C620" s="84">
        <v>375.26</v>
      </c>
      <c r="D620" s="53">
        <v>646.60089853545685</v>
      </c>
      <c r="E620" s="78">
        <v>292.9226476337144</v>
      </c>
      <c r="F620" s="84">
        <v>313.43</v>
      </c>
      <c r="G620" s="53">
        <v>527.54815491465979</v>
      </c>
      <c r="H620" s="78">
        <v>286.1346595268231</v>
      </c>
      <c r="I620" s="84">
        <v>432.89</v>
      </c>
      <c r="J620" s="53">
        <v>577.01753086219333</v>
      </c>
      <c r="K620" s="78">
        <v>226.60024543549832</v>
      </c>
      <c r="L620" s="84">
        <v>373.85999999999996</v>
      </c>
      <c r="M620" s="53">
        <v>583.72219477076999</v>
      </c>
      <c r="N620" s="78">
        <v>265.42762828607209</v>
      </c>
    </row>
    <row r="621" spans="1:14" ht="19.5" customHeight="1" outlineLevel="1" x14ac:dyDescent="0.2">
      <c r="A621" s="101">
        <v>9</v>
      </c>
      <c r="B621" s="81" t="s">
        <v>16</v>
      </c>
      <c r="C621" s="84">
        <v>739.49</v>
      </c>
      <c r="D621" s="53">
        <v>1291.064149757975</v>
      </c>
      <c r="E621" s="78">
        <v>296.80036979385216</v>
      </c>
      <c r="F621" s="84">
        <v>747.49</v>
      </c>
      <c r="G621" s="53">
        <v>1490.3571271042208</v>
      </c>
      <c r="H621" s="78">
        <v>338.94863022611344</v>
      </c>
      <c r="I621" s="84">
        <v>746.65</v>
      </c>
      <c r="J621" s="53">
        <v>1483.8860584083175</v>
      </c>
      <c r="K621" s="78">
        <v>337.85659938312995</v>
      </c>
      <c r="L621" s="84">
        <v>744.54333333333341</v>
      </c>
      <c r="M621" s="53">
        <v>1421.7691117568377</v>
      </c>
      <c r="N621" s="78">
        <v>324.62952547914699</v>
      </c>
    </row>
    <row r="622" spans="1:14" ht="19.5" customHeight="1" outlineLevel="1" x14ac:dyDescent="0.2">
      <c r="A622" s="101">
        <v>10</v>
      </c>
      <c r="B622" s="81" t="s">
        <v>17</v>
      </c>
      <c r="C622" s="84">
        <v>616.79999999999995</v>
      </c>
      <c r="D622" s="53">
        <v>1738.6349505882347</v>
      </c>
      <c r="E622" s="78">
        <v>479.19575486381314</v>
      </c>
      <c r="F622" s="84">
        <v>706.65</v>
      </c>
      <c r="G622" s="53">
        <v>2038.6433011764702</v>
      </c>
      <c r="H622" s="78">
        <v>490.43990829972398</v>
      </c>
      <c r="I622" s="84">
        <v>253.45</v>
      </c>
      <c r="J622" s="53">
        <v>403.80155999999988</v>
      </c>
      <c r="K622" s="78">
        <v>270.84736713355687</v>
      </c>
      <c r="L622" s="84">
        <v>525.63333333333333</v>
      </c>
      <c r="M622" s="53">
        <v>1393.6932705882348</v>
      </c>
      <c r="N622" s="78">
        <v>450.74739552286115</v>
      </c>
    </row>
    <row r="623" spans="1:14" ht="19.5" customHeight="1" outlineLevel="1" x14ac:dyDescent="0.2">
      <c r="A623" s="101">
        <v>11</v>
      </c>
      <c r="B623" s="81" t="s">
        <v>18</v>
      </c>
      <c r="C623" s="84">
        <v>0</v>
      </c>
      <c r="D623" s="53">
        <v>0</v>
      </c>
      <c r="E623" s="78">
        <v>0</v>
      </c>
      <c r="F623" s="84">
        <v>0</v>
      </c>
      <c r="G623" s="53">
        <v>0</v>
      </c>
      <c r="H623" s="78">
        <v>0</v>
      </c>
      <c r="I623" s="84">
        <v>0</v>
      </c>
      <c r="J623" s="53">
        <v>0</v>
      </c>
      <c r="K623" s="78">
        <v>0</v>
      </c>
      <c r="L623" s="84">
        <v>0</v>
      </c>
      <c r="M623" s="53">
        <v>0</v>
      </c>
      <c r="N623" s="78">
        <v>0</v>
      </c>
    </row>
    <row r="624" spans="1:14" ht="19.5" customHeight="1" outlineLevel="1" x14ac:dyDescent="0.2">
      <c r="A624" s="101">
        <v>12</v>
      </c>
      <c r="B624" s="81" t="s">
        <v>19</v>
      </c>
      <c r="C624" s="84">
        <v>0</v>
      </c>
      <c r="D624" s="53">
        <v>0</v>
      </c>
      <c r="E624" s="78">
        <v>0</v>
      </c>
      <c r="F624" s="84">
        <v>0</v>
      </c>
      <c r="G624" s="53">
        <v>0</v>
      </c>
      <c r="H624" s="78">
        <v>0</v>
      </c>
      <c r="I624" s="84">
        <v>0</v>
      </c>
      <c r="J624" s="53">
        <v>0</v>
      </c>
      <c r="K624" s="78">
        <v>0</v>
      </c>
      <c r="L624" s="84">
        <v>0</v>
      </c>
      <c r="M624" s="53">
        <v>0</v>
      </c>
      <c r="N624" s="78">
        <v>0</v>
      </c>
    </row>
    <row r="625" spans="1:14" ht="19.5" customHeight="1" outlineLevel="1" x14ac:dyDescent="0.2">
      <c r="A625" s="101">
        <v>13</v>
      </c>
      <c r="B625" s="81" t="s">
        <v>20</v>
      </c>
      <c r="C625" s="84">
        <v>0</v>
      </c>
      <c r="D625" s="53">
        <v>0</v>
      </c>
      <c r="E625" s="78">
        <v>0</v>
      </c>
      <c r="F625" s="84">
        <v>0</v>
      </c>
      <c r="G625" s="53">
        <v>0</v>
      </c>
      <c r="H625" s="78">
        <v>0</v>
      </c>
      <c r="I625" s="84">
        <v>0</v>
      </c>
      <c r="J625" s="53">
        <v>0</v>
      </c>
      <c r="K625" s="78">
        <v>0</v>
      </c>
      <c r="L625" s="84">
        <v>0</v>
      </c>
      <c r="M625" s="53">
        <v>0</v>
      </c>
      <c r="N625" s="78">
        <v>0</v>
      </c>
    </row>
    <row r="626" spans="1:14" ht="19.5" customHeight="1" outlineLevel="1" x14ac:dyDescent="0.2">
      <c r="A626" s="101">
        <v>14</v>
      </c>
      <c r="B626" s="81" t="s">
        <v>21</v>
      </c>
      <c r="C626" s="84">
        <v>88</v>
      </c>
      <c r="D626" s="53">
        <v>204.85545017677219</v>
      </c>
      <c r="E626" s="78">
        <v>395.7434832960372</v>
      </c>
      <c r="F626" s="84">
        <v>2.95</v>
      </c>
      <c r="G626" s="53">
        <v>6.6860824644463897</v>
      </c>
      <c r="H626" s="78">
        <v>385.29966744267324</v>
      </c>
      <c r="I626" s="84">
        <v>2.14</v>
      </c>
      <c r="J626" s="53">
        <v>4.4520916298821929</v>
      </c>
      <c r="K626" s="78">
        <v>353.67083041120225</v>
      </c>
      <c r="L626" s="84">
        <v>31.03</v>
      </c>
      <c r="M626" s="53">
        <v>71.9978747570336</v>
      </c>
      <c r="N626" s="78">
        <v>394.44533382841479</v>
      </c>
    </row>
    <row r="627" spans="1:14" ht="19.5" customHeight="1" outlineLevel="1" x14ac:dyDescent="0.2">
      <c r="A627" s="101">
        <v>15</v>
      </c>
      <c r="B627" s="81" t="s">
        <v>22</v>
      </c>
      <c r="C627" s="84">
        <v>4.3499999999999996</v>
      </c>
      <c r="D627" s="53">
        <v>10.126377366692717</v>
      </c>
      <c r="E627" s="78">
        <v>395.7434832960372</v>
      </c>
      <c r="F627" s="84">
        <v>0</v>
      </c>
      <c r="G627" s="53">
        <v>0</v>
      </c>
      <c r="H627" s="78">
        <v>0</v>
      </c>
      <c r="I627" s="84">
        <v>0</v>
      </c>
      <c r="J627" s="53">
        <v>0</v>
      </c>
      <c r="K627" s="78">
        <v>0</v>
      </c>
      <c r="L627" s="84">
        <v>4.3499999999999996</v>
      </c>
      <c r="M627" s="53">
        <v>10.126377366692717</v>
      </c>
      <c r="N627" s="78">
        <v>395.7434832960372</v>
      </c>
    </row>
    <row r="628" spans="1:14" ht="19.5" customHeight="1" outlineLevel="1" x14ac:dyDescent="0.2">
      <c r="A628" s="101">
        <v>16</v>
      </c>
      <c r="B628" s="81" t="s">
        <v>23</v>
      </c>
      <c r="C628" s="84">
        <v>0</v>
      </c>
      <c r="D628" s="53">
        <v>0</v>
      </c>
      <c r="E628" s="78">
        <v>0</v>
      </c>
      <c r="F628" s="84">
        <v>0</v>
      </c>
      <c r="G628" s="53">
        <v>0</v>
      </c>
      <c r="H628" s="78">
        <v>0</v>
      </c>
      <c r="I628" s="84">
        <v>0</v>
      </c>
      <c r="J628" s="53">
        <v>0</v>
      </c>
      <c r="K628" s="78">
        <v>0</v>
      </c>
      <c r="L628" s="84">
        <v>0</v>
      </c>
      <c r="M628" s="53">
        <v>0</v>
      </c>
      <c r="N628" s="78">
        <v>0</v>
      </c>
    </row>
    <row r="629" spans="1:14" ht="19.5" customHeight="1" outlineLevel="1" x14ac:dyDescent="0.2">
      <c r="A629" s="101">
        <v>17</v>
      </c>
      <c r="B629" s="81" t="s">
        <v>24</v>
      </c>
      <c r="C629" s="84">
        <v>1095.47</v>
      </c>
      <c r="D629" s="53">
        <v>2205.710975557744</v>
      </c>
      <c r="E629" s="78">
        <v>342.29222693895446</v>
      </c>
      <c r="F629" s="84">
        <v>795.34</v>
      </c>
      <c r="G629" s="53">
        <v>1006.8821851935952</v>
      </c>
      <c r="H629" s="78">
        <v>215.21609812521837</v>
      </c>
      <c r="I629" s="84">
        <v>594.66</v>
      </c>
      <c r="J629" s="53">
        <v>1333.7149075796217</v>
      </c>
      <c r="K629" s="78">
        <v>381.27927603762771</v>
      </c>
      <c r="L629" s="84">
        <v>828.4899999999999</v>
      </c>
      <c r="M629" s="53">
        <v>1515.4360227769869</v>
      </c>
      <c r="N629" s="78">
        <v>310.95622623337374</v>
      </c>
    </row>
    <row r="630" spans="1:14" ht="19.5" customHeight="1" outlineLevel="1" x14ac:dyDescent="0.2">
      <c r="A630" s="101">
        <v>18</v>
      </c>
      <c r="B630" s="81" t="s">
        <v>25</v>
      </c>
      <c r="C630" s="84">
        <v>907.09</v>
      </c>
      <c r="D630" s="53">
        <v>2102.034638912814</v>
      </c>
      <c r="E630" s="78">
        <v>393.94755604755687</v>
      </c>
      <c r="F630" s="84">
        <v>1202.18</v>
      </c>
      <c r="G630" s="53">
        <v>2660.2634501158877</v>
      </c>
      <c r="H630" s="78">
        <v>376.18724859813079</v>
      </c>
      <c r="I630" s="84">
        <v>863.67</v>
      </c>
      <c r="J630" s="53">
        <v>1805.5317292010288</v>
      </c>
      <c r="K630" s="78">
        <v>355.39082515795957</v>
      </c>
      <c r="L630" s="84">
        <v>990.98</v>
      </c>
      <c r="M630" s="53">
        <v>2189.2766060765766</v>
      </c>
      <c r="N630" s="78">
        <v>375.56461586814873</v>
      </c>
    </row>
    <row r="631" spans="1:14" ht="19.5" customHeight="1" outlineLevel="1" x14ac:dyDescent="0.2">
      <c r="A631" s="101">
        <v>19</v>
      </c>
      <c r="B631" s="81" t="s">
        <v>26</v>
      </c>
      <c r="C631" s="84">
        <v>47.22</v>
      </c>
      <c r="D631" s="53">
        <v>69.047857942647411</v>
      </c>
      <c r="E631" s="78">
        <v>248.58398666349129</v>
      </c>
      <c r="F631" s="84">
        <v>22.67</v>
      </c>
      <c r="G631" s="53">
        <v>30.455678117647061</v>
      </c>
      <c r="H631" s="78">
        <v>228.38399999999999</v>
      </c>
      <c r="I631" s="84">
        <v>0.3</v>
      </c>
      <c r="J631" s="53">
        <v>0.59031529411764705</v>
      </c>
      <c r="K631" s="78">
        <v>334.512</v>
      </c>
      <c r="L631" s="84">
        <v>23.396666666666665</v>
      </c>
      <c r="M631" s="53">
        <v>33.364617118137367</v>
      </c>
      <c r="N631" s="78">
        <v>242.42705129292005</v>
      </c>
    </row>
    <row r="632" spans="1:14" ht="19.5" customHeight="1" outlineLevel="1" x14ac:dyDescent="0.2">
      <c r="A632" s="101">
        <v>20</v>
      </c>
      <c r="B632" s="81" t="s">
        <v>27</v>
      </c>
      <c r="C632" s="84">
        <v>0</v>
      </c>
      <c r="D632" s="53">
        <v>0</v>
      </c>
      <c r="E632" s="78">
        <v>0</v>
      </c>
      <c r="F632" s="84">
        <v>0</v>
      </c>
      <c r="G632" s="53">
        <v>0</v>
      </c>
      <c r="H632" s="78">
        <v>0</v>
      </c>
      <c r="I632" s="84">
        <v>0</v>
      </c>
      <c r="J632" s="53">
        <v>0</v>
      </c>
      <c r="K632" s="78">
        <v>0</v>
      </c>
      <c r="L632" s="84">
        <v>0</v>
      </c>
      <c r="M632" s="53">
        <v>0</v>
      </c>
      <c r="N632" s="78">
        <v>0</v>
      </c>
    </row>
    <row r="633" spans="1:14" ht="19.5" customHeight="1" outlineLevel="1" x14ac:dyDescent="0.2">
      <c r="A633" s="101">
        <v>21</v>
      </c>
      <c r="B633" s="81" t="s">
        <v>28</v>
      </c>
      <c r="C633" s="84">
        <v>0</v>
      </c>
      <c r="D633" s="53">
        <v>0</v>
      </c>
      <c r="E633" s="78">
        <v>0</v>
      </c>
      <c r="F633" s="84">
        <v>0</v>
      </c>
      <c r="G633" s="53">
        <v>0</v>
      </c>
      <c r="H633" s="78">
        <v>0</v>
      </c>
      <c r="I633" s="84">
        <v>0</v>
      </c>
      <c r="J633" s="53">
        <v>0</v>
      </c>
      <c r="K633" s="78">
        <v>0</v>
      </c>
      <c r="L633" s="84">
        <v>0</v>
      </c>
      <c r="M633" s="53">
        <v>0</v>
      </c>
      <c r="N633" s="78">
        <v>0</v>
      </c>
    </row>
    <row r="634" spans="1:14" ht="19.5" customHeight="1" outlineLevel="1" x14ac:dyDescent="0.2">
      <c r="A634" s="101">
        <v>22</v>
      </c>
      <c r="B634" s="81" t="s">
        <v>29</v>
      </c>
      <c r="C634" s="84">
        <v>11.86</v>
      </c>
      <c r="D634" s="53">
        <v>38.426399999999994</v>
      </c>
      <c r="E634" s="78">
        <v>550.79999999999995</v>
      </c>
      <c r="F634" s="84">
        <v>12.39</v>
      </c>
      <c r="G634" s="53">
        <v>43.848355764705886</v>
      </c>
      <c r="H634" s="78">
        <v>601.63200000000006</v>
      </c>
      <c r="I634" s="84">
        <v>10.86</v>
      </c>
      <c r="J634" s="53">
        <v>31.138814117647048</v>
      </c>
      <c r="K634" s="78">
        <v>487.43999999999988</v>
      </c>
      <c r="L634" s="84">
        <v>11.703333333333333</v>
      </c>
      <c r="M634" s="53">
        <v>37.804523294117637</v>
      </c>
      <c r="N634" s="78">
        <v>549.14004215323257</v>
      </c>
    </row>
    <row r="635" spans="1:14" ht="19.5" customHeight="1" outlineLevel="1" x14ac:dyDescent="0.2">
      <c r="A635" s="101">
        <v>23</v>
      </c>
      <c r="B635" s="81" t="s">
        <v>30</v>
      </c>
      <c r="C635" s="84">
        <v>3.92</v>
      </c>
      <c r="D635" s="53">
        <v>9.1253791442380336</v>
      </c>
      <c r="E635" s="78">
        <v>395.7434832960372</v>
      </c>
      <c r="F635" s="84">
        <v>2.2200000000000002</v>
      </c>
      <c r="G635" s="53">
        <v>5.0315603630749095</v>
      </c>
      <c r="H635" s="78">
        <v>385.29966744267324</v>
      </c>
      <c r="I635" s="84">
        <v>1</v>
      </c>
      <c r="J635" s="53">
        <v>2.0804166494776601</v>
      </c>
      <c r="K635" s="78">
        <v>353.67083041120225</v>
      </c>
      <c r="L635" s="84">
        <v>2.3800000000000003</v>
      </c>
      <c r="M635" s="53">
        <v>5.4124520522635349</v>
      </c>
      <c r="N635" s="78">
        <v>386.60371801882383</v>
      </c>
    </row>
    <row r="636" spans="1:14" ht="19.5" customHeight="1" outlineLevel="1" x14ac:dyDescent="0.2">
      <c r="A636" s="101">
        <v>24</v>
      </c>
      <c r="B636" s="81" t="s">
        <v>31</v>
      </c>
      <c r="C636" s="84">
        <v>3.49</v>
      </c>
      <c r="D636" s="53">
        <v>8.1243809217833522</v>
      </c>
      <c r="E636" s="78">
        <v>395.7434832960372</v>
      </c>
      <c r="F636" s="84">
        <v>0</v>
      </c>
      <c r="G636" s="53">
        <v>0</v>
      </c>
      <c r="H636" s="78">
        <v>0</v>
      </c>
      <c r="I636" s="84">
        <v>9.18</v>
      </c>
      <c r="J636" s="53">
        <v>19.098224842204921</v>
      </c>
      <c r="K636" s="78">
        <v>353.67083041120225</v>
      </c>
      <c r="L636" s="84">
        <v>6.335</v>
      </c>
      <c r="M636" s="53">
        <v>13.611302881994137</v>
      </c>
      <c r="N636" s="78">
        <v>365.25990369992155</v>
      </c>
    </row>
    <row r="637" spans="1:14" ht="19.5" customHeight="1" outlineLevel="1" x14ac:dyDescent="0.2">
      <c r="A637" s="101">
        <v>25</v>
      </c>
      <c r="B637" s="81" t="s">
        <v>32</v>
      </c>
      <c r="C637" s="84">
        <v>0</v>
      </c>
      <c r="D637" s="53">
        <v>0</v>
      </c>
      <c r="E637" s="78">
        <v>0</v>
      </c>
      <c r="F637" s="84">
        <v>0</v>
      </c>
      <c r="G637" s="53">
        <v>0</v>
      </c>
      <c r="H637" s="78">
        <v>0</v>
      </c>
      <c r="I637" s="84">
        <v>0</v>
      </c>
      <c r="J637" s="53">
        <v>0</v>
      </c>
      <c r="K637" s="78">
        <v>0</v>
      </c>
      <c r="L637" s="84">
        <v>0</v>
      </c>
      <c r="M637" s="53">
        <v>0</v>
      </c>
      <c r="N637" s="78">
        <v>0</v>
      </c>
    </row>
    <row r="638" spans="1:14" ht="19.5" customHeight="1" outlineLevel="1" x14ac:dyDescent="0.2">
      <c r="A638" s="101">
        <v>26</v>
      </c>
      <c r="B638" s="81" t="s">
        <v>33</v>
      </c>
      <c r="C638" s="84">
        <v>426.65</v>
      </c>
      <c r="D638" s="53">
        <v>1297.0713769411766</v>
      </c>
      <c r="E638" s="78">
        <v>516.8220651119185</v>
      </c>
      <c r="F638" s="84">
        <v>497.6</v>
      </c>
      <c r="G638" s="53">
        <v>1473.7688894117646</v>
      </c>
      <c r="H638" s="78">
        <v>503.49821382636651</v>
      </c>
      <c r="I638" s="84">
        <v>323.58999999999997</v>
      </c>
      <c r="J638" s="53">
        <v>921.14575200000002</v>
      </c>
      <c r="K638" s="78">
        <v>483.92959559936963</v>
      </c>
      <c r="L638" s="84">
        <v>415.94666666666666</v>
      </c>
      <c r="M638" s="53">
        <v>1230.662006117647</v>
      </c>
      <c r="N638" s="78">
        <v>502.97924663418382</v>
      </c>
    </row>
    <row r="639" spans="1:14" ht="19.5" customHeight="1" outlineLevel="1" x14ac:dyDescent="0.2">
      <c r="A639" s="101">
        <v>27</v>
      </c>
      <c r="B639" s="81" t="s">
        <v>34</v>
      </c>
      <c r="C639" s="84">
        <v>353.43</v>
      </c>
      <c r="D639" s="53">
        <v>1088.0343444705884</v>
      </c>
      <c r="E639" s="78">
        <v>523.34504303539609</v>
      </c>
      <c r="F639" s="84">
        <v>362.86</v>
      </c>
      <c r="G639" s="53">
        <v>1098.4729129411767</v>
      </c>
      <c r="H639" s="78">
        <v>514.63483216667589</v>
      </c>
      <c r="I639" s="84">
        <v>340.46</v>
      </c>
      <c r="J639" s="53">
        <v>1039.399233882353</v>
      </c>
      <c r="K639" s="78">
        <v>518.99744392880223</v>
      </c>
      <c r="L639" s="84">
        <v>352.25</v>
      </c>
      <c r="M639" s="53">
        <v>1075.3021637647059</v>
      </c>
      <c r="N639" s="78">
        <v>518.95349280340668</v>
      </c>
    </row>
    <row r="640" spans="1:14" ht="19.5" customHeight="1" outlineLevel="1" x14ac:dyDescent="0.2">
      <c r="A640" s="101">
        <v>28</v>
      </c>
      <c r="B640" s="81" t="s">
        <v>35</v>
      </c>
      <c r="C640" s="84">
        <v>317.3</v>
      </c>
      <c r="D640" s="53">
        <v>678.15109270588232</v>
      </c>
      <c r="E640" s="78">
        <v>363.33339350772138</v>
      </c>
      <c r="F640" s="84">
        <v>317.7</v>
      </c>
      <c r="G640" s="53">
        <v>634.50076235294125</v>
      </c>
      <c r="H640" s="78">
        <v>339.51882152974508</v>
      </c>
      <c r="I640" s="84">
        <v>282.01</v>
      </c>
      <c r="J640" s="53">
        <v>564.74479905882345</v>
      </c>
      <c r="K640" s="78">
        <v>340.43692010921592</v>
      </c>
      <c r="L640" s="84">
        <v>305.67</v>
      </c>
      <c r="M640" s="53">
        <v>625.7988847058823</v>
      </c>
      <c r="N640" s="78">
        <v>348.0413858082245</v>
      </c>
    </row>
    <row r="641" spans="1:14" ht="19.5" customHeight="1" outlineLevel="1" x14ac:dyDescent="0.2">
      <c r="A641" s="101">
        <v>29</v>
      </c>
      <c r="B641" s="81" t="s">
        <v>36</v>
      </c>
      <c r="C641" s="84">
        <v>24.46</v>
      </c>
      <c r="D641" s="53">
        <v>56.940503537771001</v>
      </c>
      <c r="E641" s="78">
        <v>395.7434832960372</v>
      </c>
      <c r="F641" s="84">
        <v>28.55</v>
      </c>
      <c r="G641" s="53">
        <v>109.38210352941178</v>
      </c>
      <c r="H641" s="78">
        <v>651.31200000000001</v>
      </c>
      <c r="I641" s="84">
        <v>3.9</v>
      </c>
      <c r="J641" s="53">
        <v>6.2618399999999994</v>
      </c>
      <c r="K641" s="78">
        <v>272.952</v>
      </c>
      <c r="L641" s="84">
        <v>18.970000000000002</v>
      </c>
      <c r="M641" s="53">
        <v>57.528149022394267</v>
      </c>
      <c r="N641" s="78">
        <v>515.53955370622157</v>
      </c>
    </row>
    <row r="642" spans="1:14" ht="19.5" customHeight="1" outlineLevel="1" x14ac:dyDescent="0.2">
      <c r="A642" s="101">
        <v>30</v>
      </c>
      <c r="B642" s="81" t="s">
        <v>37</v>
      </c>
      <c r="C642" s="84">
        <v>0</v>
      </c>
      <c r="D642" s="53">
        <v>0</v>
      </c>
      <c r="E642" s="78">
        <v>0</v>
      </c>
      <c r="F642" s="84">
        <v>0</v>
      </c>
      <c r="G642" s="53">
        <v>0</v>
      </c>
      <c r="H642" s="78">
        <v>0</v>
      </c>
      <c r="I642" s="84">
        <v>0</v>
      </c>
      <c r="J642" s="53">
        <v>0</v>
      </c>
      <c r="K642" s="78">
        <v>0</v>
      </c>
      <c r="L642" s="84">
        <v>0</v>
      </c>
      <c r="M642" s="53">
        <v>0</v>
      </c>
      <c r="N642" s="78">
        <v>0</v>
      </c>
    </row>
    <row r="643" spans="1:14" ht="19.5" customHeight="1" outlineLevel="1" x14ac:dyDescent="0.2">
      <c r="A643" s="101">
        <v>31</v>
      </c>
      <c r="B643" s="81" t="s">
        <v>38</v>
      </c>
      <c r="C643" s="84">
        <v>0</v>
      </c>
      <c r="D643" s="53">
        <v>0</v>
      </c>
      <c r="E643" s="78">
        <v>0</v>
      </c>
      <c r="F643" s="84">
        <v>0</v>
      </c>
      <c r="G643" s="53">
        <v>0</v>
      </c>
      <c r="H643" s="78">
        <v>0</v>
      </c>
      <c r="I643" s="84">
        <v>0</v>
      </c>
      <c r="J643" s="53">
        <v>0</v>
      </c>
      <c r="K643" s="78">
        <v>0</v>
      </c>
      <c r="L643" s="84">
        <v>0</v>
      </c>
      <c r="M643" s="53">
        <v>0</v>
      </c>
      <c r="N643" s="78">
        <v>0</v>
      </c>
    </row>
    <row r="644" spans="1:14" ht="19.5" customHeight="1" outlineLevel="1" x14ac:dyDescent="0.2">
      <c r="A644" s="101">
        <v>32</v>
      </c>
      <c r="B644" s="81" t="s">
        <v>39</v>
      </c>
      <c r="C644" s="84">
        <v>0</v>
      </c>
      <c r="D644" s="53">
        <v>0</v>
      </c>
      <c r="E644" s="78">
        <v>0</v>
      </c>
      <c r="F644" s="84">
        <v>0</v>
      </c>
      <c r="G644" s="53">
        <v>0</v>
      </c>
      <c r="H644" s="78">
        <v>0</v>
      </c>
      <c r="I644" s="84">
        <v>0</v>
      </c>
      <c r="J644" s="53">
        <v>0</v>
      </c>
      <c r="K644" s="78">
        <v>0</v>
      </c>
      <c r="L644" s="84">
        <v>0</v>
      </c>
      <c r="M644" s="53">
        <v>0</v>
      </c>
      <c r="N644" s="78">
        <v>0</v>
      </c>
    </row>
    <row r="645" spans="1:14" ht="19.5" customHeight="1" outlineLevel="1" thickBot="1" x14ac:dyDescent="0.25">
      <c r="A645" s="102">
        <v>33</v>
      </c>
      <c r="B645" s="91" t="s">
        <v>40</v>
      </c>
      <c r="C645" s="92">
        <v>80.66</v>
      </c>
      <c r="D645" s="93">
        <v>267.16519612004805</v>
      </c>
      <c r="E645" s="94">
        <v>563.08062658576944</v>
      </c>
      <c r="F645" s="92">
        <v>79.95</v>
      </c>
      <c r="G645" s="93">
        <v>264.57586821423445</v>
      </c>
      <c r="H645" s="94">
        <v>562.5753295362083</v>
      </c>
      <c r="I645" s="92">
        <v>80.36</v>
      </c>
      <c r="J645" s="93">
        <v>262.73344766563974</v>
      </c>
      <c r="K645" s="94">
        <v>555.80744279689839</v>
      </c>
      <c r="L645" s="92">
        <v>80.323333333333338</v>
      </c>
      <c r="M645" s="93">
        <v>264.82483733330741</v>
      </c>
      <c r="N645" s="94">
        <v>560.48747578531254</v>
      </c>
    </row>
    <row r="646" spans="1:14" ht="19.5" customHeight="1" thickBot="1" x14ac:dyDescent="0.25">
      <c r="A646" s="151" t="s">
        <v>41</v>
      </c>
      <c r="B646" s="152"/>
      <c r="C646" s="96">
        <v>5360.9</v>
      </c>
      <c r="D646" s="97">
        <v>12479.654350598375</v>
      </c>
      <c r="E646" s="98">
        <v>395.74348329603686</v>
      </c>
      <c r="F646" s="96">
        <v>5343.23</v>
      </c>
      <c r="G646" s="97">
        <v>12110.26318864411</v>
      </c>
      <c r="H646" s="98">
        <v>385.29966744263282</v>
      </c>
      <c r="I646" s="96">
        <v>4175.2500000000009</v>
      </c>
      <c r="J646" s="97">
        <v>8686.2596157316184</v>
      </c>
      <c r="K646" s="98">
        <v>353.67083041120287</v>
      </c>
      <c r="L646" s="96">
        <v>4959.793333333334</v>
      </c>
      <c r="M646" s="97">
        <v>11092.059051658036</v>
      </c>
      <c r="N646" s="98">
        <v>380.18721992082988</v>
      </c>
    </row>
    <row r="647" spans="1:14" ht="34.5" customHeight="1" x14ac:dyDescent="0.2">
      <c r="A647" s="153" t="s">
        <v>247</v>
      </c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</row>
    <row r="648" spans="1:14" ht="36.75" customHeight="1" thickBot="1" x14ac:dyDescent="0.25">
      <c r="A648" s="50"/>
      <c r="B648" s="51" t="s">
        <v>59</v>
      </c>
      <c r="C648" s="52"/>
      <c r="D648" s="52"/>
      <c r="E648" s="52"/>
      <c r="F648" s="52"/>
      <c r="G648" s="52"/>
      <c r="H648" s="52"/>
      <c r="I648" s="52"/>
      <c r="J648" s="52"/>
      <c r="K648" s="161" t="s">
        <v>57</v>
      </c>
      <c r="L648" s="162"/>
      <c r="M648" s="162"/>
      <c r="N648" s="162"/>
    </row>
    <row r="649" spans="1:14" ht="19.5" customHeight="1" x14ac:dyDescent="0.2">
      <c r="A649" s="156" t="s">
        <v>2</v>
      </c>
      <c r="B649" s="158" t="s">
        <v>3</v>
      </c>
      <c r="C649" s="148" t="s">
        <v>243</v>
      </c>
      <c r="D649" s="149"/>
      <c r="E649" s="150"/>
      <c r="F649" s="148" t="s">
        <v>244</v>
      </c>
      <c r="G649" s="149"/>
      <c r="H649" s="150"/>
      <c r="I649" s="148" t="s">
        <v>246</v>
      </c>
      <c r="J649" s="149"/>
      <c r="K649" s="150"/>
      <c r="L649" s="148" t="s">
        <v>4</v>
      </c>
      <c r="M649" s="149"/>
      <c r="N649" s="150"/>
    </row>
    <row r="650" spans="1:14" ht="19.5" customHeight="1" thickBot="1" x14ac:dyDescent="0.25">
      <c r="A650" s="157"/>
      <c r="B650" s="159"/>
      <c r="C650" s="85" t="s">
        <v>5</v>
      </c>
      <c r="D650" s="79" t="s">
        <v>6</v>
      </c>
      <c r="E650" s="80" t="s">
        <v>7</v>
      </c>
      <c r="F650" s="85" t="s">
        <v>5</v>
      </c>
      <c r="G650" s="79" t="s">
        <v>6</v>
      </c>
      <c r="H650" s="80" t="s">
        <v>7</v>
      </c>
      <c r="I650" s="85" t="s">
        <v>5</v>
      </c>
      <c r="J650" s="79" t="s">
        <v>6</v>
      </c>
      <c r="K650" s="80" t="s">
        <v>7</v>
      </c>
      <c r="L650" s="85" t="s">
        <v>5</v>
      </c>
      <c r="M650" s="79" t="s">
        <v>6</v>
      </c>
      <c r="N650" s="80" t="s">
        <v>7</v>
      </c>
    </row>
    <row r="651" spans="1:14" ht="19.5" customHeight="1" outlineLevel="1" x14ac:dyDescent="0.2">
      <c r="A651" s="100">
        <v>1</v>
      </c>
      <c r="B651" s="86" t="s">
        <v>8</v>
      </c>
      <c r="C651" s="87">
        <v>675.47</v>
      </c>
      <c r="D651" s="88">
        <v>3201.8347508334036</v>
      </c>
      <c r="E651" s="89">
        <v>805.82691702322609</v>
      </c>
      <c r="F651" s="87">
        <v>719.2</v>
      </c>
      <c r="G651" s="88">
        <v>3232.3986990880358</v>
      </c>
      <c r="H651" s="89">
        <v>764.05419750412409</v>
      </c>
      <c r="I651" s="87">
        <v>775.76</v>
      </c>
      <c r="J651" s="88">
        <v>2532.6033231479164</v>
      </c>
      <c r="K651" s="89">
        <v>554.9945407537715</v>
      </c>
      <c r="L651" s="87">
        <v>723.4766666666668</v>
      </c>
      <c r="M651" s="88">
        <v>2988.9455910231186</v>
      </c>
      <c r="N651" s="89">
        <v>702.33191184317866</v>
      </c>
    </row>
    <row r="652" spans="1:14" ht="19.5" customHeight="1" outlineLevel="1" x14ac:dyDescent="0.2">
      <c r="A652" s="101">
        <v>2</v>
      </c>
      <c r="B652" s="81" t="s">
        <v>9</v>
      </c>
      <c r="C652" s="84">
        <v>344.3</v>
      </c>
      <c r="D652" s="53">
        <v>1224.5580617369064</v>
      </c>
      <c r="E652" s="78">
        <v>604.63221172022679</v>
      </c>
      <c r="F652" s="84">
        <v>338.09</v>
      </c>
      <c r="G652" s="53">
        <v>1178.0027952145385</v>
      </c>
      <c r="H652" s="78">
        <v>592.32889226676798</v>
      </c>
      <c r="I652" s="84">
        <v>225.67</v>
      </c>
      <c r="J652" s="53">
        <v>781.67019025168747</v>
      </c>
      <c r="K652" s="78">
        <v>588.84181478613402</v>
      </c>
      <c r="L652" s="84">
        <v>302.68666666666667</v>
      </c>
      <c r="M652" s="53">
        <v>1061.410349067711</v>
      </c>
      <c r="N652" s="78">
        <v>596.12721408776133</v>
      </c>
    </row>
    <row r="653" spans="1:14" ht="19.5" customHeight="1" outlineLevel="1" x14ac:dyDescent="0.2">
      <c r="A653" s="101">
        <v>3</v>
      </c>
      <c r="B653" s="81" t="s">
        <v>10</v>
      </c>
      <c r="C653" s="84">
        <v>469.81</v>
      </c>
      <c r="D653" s="53">
        <v>1709.9533944823543</v>
      </c>
      <c r="E653" s="78">
        <v>618.74391150039423</v>
      </c>
      <c r="F653" s="84">
        <v>475.76</v>
      </c>
      <c r="G653" s="53">
        <v>1736.8565360595753</v>
      </c>
      <c r="H653" s="78">
        <v>620.61882278906967</v>
      </c>
      <c r="I653" s="84">
        <v>453.03</v>
      </c>
      <c r="J653" s="53">
        <v>1052.0037798073797</v>
      </c>
      <c r="K653" s="78">
        <v>394.76556203177398</v>
      </c>
      <c r="L653" s="84">
        <v>466.2</v>
      </c>
      <c r="M653" s="53">
        <v>1499.6045701164364</v>
      </c>
      <c r="N653" s="78">
        <v>546.83135332431186</v>
      </c>
    </row>
    <row r="654" spans="1:14" ht="19.5" customHeight="1" outlineLevel="1" x14ac:dyDescent="0.2">
      <c r="A654" s="101">
        <v>4</v>
      </c>
      <c r="B654" s="81" t="s">
        <v>11</v>
      </c>
      <c r="C654" s="84">
        <v>381.31</v>
      </c>
      <c r="D654" s="53">
        <v>1560.441036487663</v>
      </c>
      <c r="E654" s="78">
        <v>695.69373004354134</v>
      </c>
      <c r="F654" s="84">
        <v>373.25</v>
      </c>
      <c r="G654" s="53">
        <v>1389.557092235294</v>
      </c>
      <c r="H654" s="78">
        <v>632.88601655726723</v>
      </c>
      <c r="I654" s="84">
        <v>330.42</v>
      </c>
      <c r="J654" s="53">
        <v>1319.7166602352941</v>
      </c>
      <c r="K654" s="78">
        <v>678.98986816778643</v>
      </c>
      <c r="L654" s="84">
        <v>361.66</v>
      </c>
      <c r="M654" s="53">
        <v>1423.2382629860838</v>
      </c>
      <c r="N654" s="78">
        <v>668.99990241562307</v>
      </c>
    </row>
    <row r="655" spans="1:14" ht="19.5" customHeight="1" outlineLevel="1" x14ac:dyDescent="0.2">
      <c r="A655" s="101">
        <v>5</v>
      </c>
      <c r="B655" s="81" t="s">
        <v>12</v>
      </c>
      <c r="C655" s="84">
        <v>488.62</v>
      </c>
      <c r="D655" s="53">
        <v>1826.1705134162166</v>
      </c>
      <c r="E655" s="78">
        <v>635.35873947189395</v>
      </c>
      <c r="F655" s="84">
        <v>589.63</v>
      </c>
      <c r="G655" s="53">
        <v>1846.5770060991556</v>
      </c>
      <c r="H655" s="78">
        <v>532.39843806600152</v>
      </c>
      <c r="I655" s="84">
        <v>512.51</v>
      </c>
      <c r="J655" s="53">
        <v>1873.4360697139489</v>
      </c>
      <c r="K655" s="78">
        <v>621.42032711824413</v>
      </c>
      <c r="L655" s="84">
        <v>530.25333333333333</v>
      </c>
      <c r="M655" s="53">
        <v>1848.7278630764404</v>
      </c>
      <c r="N655" s="78">
        <v>592.70487702040828</v>
      </c>
    </row>
    <row r="656" spans="1:14" ht="19.5" customHeight="1" outlineLevel="1" x14ac:dyDescent="0.2">
      <c r="A656" s="101">
        <v>6</v>
      </c>
      <c r="B656" s="81" t="s">
        <v>13</v>
      </c>
      <c r="C656" s="84">
        <v>282.75</v>
      </c>
      <c r="D656" s="53">
        <v>896.92458907329114</v>
      </c>
      <c r="E656" s="78">
        <v>539.265004924702</v>
      </c>
      <c r="F656" s="84">
        <v>344.81</v>
      </c>
      <c r="G656" s="53">
        <v>1161.1092883810802</v>
      </c>
      <c r="H656" s="78">
        <v>572.45607443166853</v>
      </c>
      <c r="I656" s="84">
        <v>218.84</v>
      </c>
      <c r="J656" s="53">
        <v>728.44946177488362</v>
      </c>
      <c r="K656" s="78">
        <v>565.87647825685531</v>
      </c>
      <c r="L656" s="84">
        <v>282.13333333333333</v>
      </c>
      <c r="M656" s="53">
        <v>928.8277797430851</v>
      </c>
      <c r="N656" s="78">
        <v>559.66702229321061</v>
      </c>
    </row>
    <row r="657" spans="1:14" ht="19.5" customHeight="1" outlineLevel="1" x14ac:dyDescent="0.2">
      <c r="A657" s="101">
        <v>7</v>
      </c>
      <c r="B657" s="81" t="s">
        <v>14</v>
      </c>
      <c r="C657" s="84">
        <v>205.68</v>
      </c>
      <c r="D657" s="53">
        <v>761.55753176470603</v>
      </c>
      <c r="E657" s="78">
        <v>629.44759043173872</v>
      </c>
      <c r="F657" s="84">
        <v>222.64</v>
      </c>
      <c r="G657" s="53">
        <v>800.31173505882361</v>
      </c>
      <c r="H657" s="78">
        <v>611.08962881782259</v>
      </c>
      <c r="I657" s="84">
        <v>192.25</v>
      </c>
      <c r="J657" s="53">
        <v>694.42247858823521</v>
      </c>
      <c r="K657" s="78">
        <v>614.05368717815338</v>
      </c>
      <c r="L657" s="84">
        <v>206.85666666666665</v>
      </c>
      <c r="M657" s="53">
        <v>752.0972484705884</v>
      </c>
      <c r="N657" s="78">
        <v>618.09239363810707</v>
      </c>
    </row>
    <row r="658" spans="1:14" ht="19.5" customHeight="1" outlineLevel="1" x14ac:dyDescent="0.2">
      <c r="A658" s="101">
        <v>8</v>
      </c>
      <c r="B658" s="81" t="s">
        <v>15</v>
      </c>
      <c r="C658" s="84">
        <v>539.56999999999994</v>
      </c>
      <c r="D658" s="53">
        <v>1378.9510875034009</v>
      </c>
      <c r="E658" s="78">
        <v>434.460190291488</v>
      </c>
      <c r="F658" s="84">
        <v>513.72</v>
      </c>
      <c r="G658" s="53">
        <v>1240.1468636789841</v>
      </c>
      <c r="H658" s="78">
        <v>410.38886324345424</v>
      </c>
      <c r="I658" s="84">
        <v>593.87</v>
      </c>
      <c r="J658" s="53">
        <v>1220.363941572281</v>
      </c>
      <c r="K658" s="78">
        <v>349.33886215381779</v>
      </c>
      <c r="L658" s="84">
        <v>549.05333333333328</v>
      </c>
      <c r="M658" s="53">
        <v>1279.8206309182222</v>
      </c>
      <c r="N658" s="78">
        <v>396.26297491943308</v>
      </c>
    </row>
    <row r="659" spans="1:14" ht="19.5" customHeight="1" outlineLevel="1" x14ac:dyDescent="0.2">
      <c r="A659" s="101">
        <v>9</v>
      </c>
      <c r="B659" s="81" t="s">
        <v>16</v>
      </c>
      <c r="C659" s="84">
        <v>4056.12</v>
      </c>
      <c r="D659" s="53">
        <v>13919.447392581505</v>
      </c>
      <c r="E659" s="78">
        <v>583.39153100471776</v>
      </c>
      <c r="F659" s="84">
        <v>3972.8199999999997</v>
      </c>
      <c r="G659" s="53">
        <v>12358.4583398101</v>
      </c>
      <c r="H659" s="78">
        <v>528.82786478313062</v>
      </c>
      <c r="I659" s="84">
        <v>4016.59</v>
      </c>
      <c r="J659" s="53">
        <v>8147.9940988789049</v>
      </c>
      <c r="K659" s="78">
        <v>344.85944465564415</v>
      </c>
      <c r="L659" s="84">
        <v>4015.1766666666663</v>
      </c>
      <c r="M659" s="53">
        <v>11475.299943756836</v>
      </c>
      <c r="N659" s="78">
        <v>485.85682583630495</v>
      </c>
    </row>
    <row r="660" spans="1:14" ht="19.5" customHeight="1" outlineLevel="1" x14ac:dyDescent="0.2">
      <c r="A660" s="101">
        <v>10</v>
      </c>
      <c r="B660" s="81" t="s">
        <v>17</v>
      </c>
      <c r="C660" s="84">
        <v>1962.31</v>
      </c>
      <c r="D660" s="53">
        <v>7608.5655543529392</v>
      </c>
      <c r="E660" s="78">
        <v>659.14974914259199</v>
      </c>
      <c r="F660" s="84">
        <v>2193.0500000000002</v>
      </c>
      <c r="G660" s="53">
        <v>7760.9948611764703</v>
      </c>
      <c r="H660" s="78">
        <v>601.61379193360835</v>
      </c>
      <c r="I660" s="84">
        <v>2000.01</v>
      </c>
      <c r="J660" s="53">
        <v>4586.934066352941</v>
      </c>
      <c r="K660" s="78">
        <v>389.88744620276901</v>
      </c>
      <c r="L660" s="84">
        <v>2051.7900000000004</v>
      </c>
      <c r="M660" s="53">
        <v>6652.1648272941165</v>
      </c>
      <c r="N660" s="78">
        <v>551.16167865132377</v>
      </c>
    </row>
    <row r="661" spans="1:14" ht="19.5" customHeight="1" outlineLevel="1" x14ac:dyDescent="0.2">
      <c r="A661" s="101">
        <v>11</v>
      </c>
      <c r="B661" s="81" t="s">
        <v>18</v>
      </c>
      <c r="C661" s="84">
        <v>2336.06</v>
      </c>
      <c r="D661" s="53">
        <v>10906.890611294115</v>
      </c>
      <c r="E661" s="78">
        <v>793.71737195106266</v>
      </c>
      <c r="F661" s="84">
        <v>2448.0300000000002</v>
      </c>
      <c r="G661" s="53">
        <v>8303.7210014117645</v>
      </c>
      <c r="H661" s="78">
        <v>576.6402250952807</v>
      </c>
      <c r="I661" s="84">
        <v>1839.93</v>
      </c>
      <c r="J661" s="53">
        <v>6794.3646211764717</v>
      </c>
      <c r="K661" s="78">
        <v>627.76409189480046</v>
      </c>
      <c r="L661" s="84">
        <v>2208.0066666666667</v>
      </c>
      <c r="M661" s="53">
        <v>8668.3254112941158</v>
      </c>
      <c r="N661" s="78">
        <v>667.39622763216278</v>
      </c>
    </row>
    <row r="662" spans="1:14" ht="19.5" customHeight="1" outlineLevel="1" x14ac:dyDescent="0.2">
      <c r="A662" s="101">
        <v>12</v>
      </c>
      <c r="B662" s="81" t="s">
        <v>19</v>
      </c>
      <c r="C662" s="84">
        <v>1591.83</v>
      </c>
      <c r="D662" s="53">
        <v>8941.2095774117643</v>
      </c>
      <c r="E662" s="78">
        <v>954.87937038502855</v>
      </c>
      <c r="F662" s="84">
        <v>1781.54</v>
      </c>
      <c r="G662" s="53">
        <v>8982.9036847058815</v>
      </c>
      <c r="H662" s="78">
        <v>857.17616578914874</v>
      </c>
      <c r="I662" s="84">
        <v>1315.41</v>
      </c>
      <c r="J662" s="53">
        <v>4035.3078240000004</v>
      </c>
      <c r="K662" s="78">
        <v>521.51217497206198</v>
      </c>
      <c r="L662" s="84">
        <v>1562.9266666666665</v>
      </c>
      <c r="M662" s="53">
        <v>7319.8070287058808</v>
      </c>
      <c r="N662" s="78">
        <v>796.17759516121464</v>
      </c>
    </row>
    <row r="663" spans="1:14" ht="19.5" customHeight="1" outlineLevel="1" x14ac:dyDescent="0.2">
      <c r="A663" s="101">
        <v>13</v>
      </c>
      <c r="B663" s="81" t="s">
        <v>20</v>
      </c>
      <c r="C663" s="84">
        <v>102.19</v>
      </c>
      <c r="D663" s="53">
        <v>389.86193443585245</v>
      </c>
      <c r="E663" s="78">
        <v>648.56178543981719</v>
      </c>
      <c r="F663" s="84">
        <v>93.01</v>
      </c>
      <c r="G663" s="53">
        <v>351.38211055604307</v>
      </c>
      <c r="H663" s="78">
        <v>642.24232657270534</v>
      </c>
      <c r="I663" s="84">
        <v>21.83</v>
      </c>
      <c r="J663" s="53">
        <v>50.797056338689394</v>
      </c>
      <c r="K663" s="78">
        <v>395.57945843230408</v>
      </c>
      <c r="L663" s="84">
        <v>72.34333333333332</v>
      </c>
      <c r="M663" s="53">
        <v>264.01370044352831</v>
      </c>
      <c r="N663" s="78">
        <v>620.40725810348556</v>
      </c>
    </row>
    <row r="664" spans="1:14" ht="19.5" customHeight="1" outlineLevel="1" x14ac:dyDescent="0.2">
      <c r="A664" s="101">
        <v>14</v>
      </c>
      <c r="B664" s="81" t="s">
        <v>21</v>
      </c>
      <c r="C664" s="84">
        <v>98.35</v>
      </c>
      <c r="D664" s="53">
        <v>222.24578805912515</v>
      </c>
      <c r="E664" s="78">
        <v>384.15642064109079</v>
      </c>
      <c r="F664" s="84">
        <v>113.95</v>
      </c>
      <c r="G664" s="53">
        <v>568.47667069974045</v>
      </c>
      <c r="H664" s="78">
        <v>848.10034242172776</v>
      </c>
      <c r="I664" s="84">
        <v>57.35</v>
      </c>
      <c r="J664" s="53">
        <v>103.24551515929396</v>
      </c>
      <c r="K664" s="78">
        <v>306.04599088195243</v>
      </c>
      <c r="L664" s="84">
        <v>89.88333333333334</v>
      </c>
      <c r="M664" s="53">
        <v>297.98932463938655</v>
      </c>
      <c r="N664" s="78">
        <v>563.59931602479935</v>
      </c>
    </row>
    <row r="665" spans="1:14" ht="19.5" customHeight="1" outlineLevel="1" x14ac:dyDescent="0.2">
      <c r="A665" s="101">
        <v>15</v>
      </c>
      <c r="B665" s="81" t="s">
        <v>22</v>
      </c>
      <c r="C665" s="84">
        <v>508.40000000000003</v>
      </c>
      <c r="D665" s="53">
        <v>2021.3976364222813</v>
      </c>
      <c r="E665" s="78">
        <v>675.91974467306807</v>
      </c>
      <c r="F665" s="84">
        <v>527.72</v>
      </c>
      <c r="G665" s="53">
        <v>1852.0081258979133</v>
      </c>
      <c r="H665" s="78">
        <v>596.60687751581372</v>
      </c>
      <c r="I665" s="84">
        <v>359.69</v>
      </c>
      <c r="J665" s="53">
        <v>1210.5818594426544</v>
      </c>
      <c r="K665" s="78">
        <v>572.15634603478338</v>
      </c>
      <c r="L665" s="84">
        <v>465.27000000000004</v>
      </c>
      <c r="M665" s="53">
        <v>1694.6625405876164</v>
      </c>
      <c r="N665" s="78">
        <v>619.19451479763313</v>
      </c>
    </row>
    <row r="666" spans="1:14" ht="19.5" customHeight="1" outlineLevel="1" x14ac:dyDescent="0.2">
      <c r="A666" s="101">
        <v>16</v>
      </c>
      <c r="B666" s="81" t="s">
        <v>23</v>
      </c>
      <c r="C666" s="84">
        <v>189.4</v>
      </c>
      <c r="D666" s="53">
        <v>987.25984866094677</v>
      </c>
      <c r="E666" s="78">
        <v>886.13608380338405</v>
      </c>
      <c r="F666" s="84">
        <v>169.47</v>
      </c>
      <c r="G666" s="53">
        <v>937.51515752561659</v>
      </c>
      <c r="H666" s="78">
        <v>940.44713978494622</v>
      </c>
      <c r="I666" s="84">
        <v>132.29</v>
      </c>
      <c r="J666" s="53">
        <v>737.30419495823958</v>
      </c>
      <c r="K666" s="78">
        <v>947.4768549618318</v>
      </c>
      <c r="L666" s="84">
        <v>163.72</v>
      </c>
      <c r="M666" s="53">
        <v>887.35973371493435</v>
      </c>
      <c r="N666" s="78">
        <v>921.3972314411119</v>
      </c>
    </row>
    <row r="667" spans="1:14" ht="19.5" customHeight="1" outlineLevel="1" x14ac:dyDescent="0.2">
      <c r="A667" s="101">
        <v>17</v>
      </c>
      <c r="B667" s="81" t="s">
        <v>24</v>
      </c>
      <c r="C667" s="84">
        <v>3517.6400000000003</v>
      </c>
      <c r="D667" s="53">
        <v>12159.525533204804</v>
      </c>
      <c r="E667" s="78">
        <v>587.64380114076948</v>
      </c>
      <c r="F667" s="84">
        <v>3649.6400000000003</v>
      </c>
      <c r="G667" s="53">
        <v>8298.7298449582995</v>
      </c>
      <c r="H667" s="78">
        <v>386.55431046429533</v>
      </c>
      <c r="I667" s="84">
        <v>2988.6499999999996</v>
      </c>
      <c r="J667" s="53">
        <v>8871.0978821678564</v>
      </c>
      <c r="K667" s="78">
        <v>504.60463418885979</v>
      </c>
      <c r="L667" s="84">
        <v>3385.31</v>
      </c>
      <c r="M667" s="53">
        <v>9776.4510867769859</v>
      </c>
      <c r="N667" s="78">
        <v>490.94371999967143</v>
      </c>
    </row>
    <row r="668" spans="1:14" ht="19.5" customHeight="1" outlineLevel="1" x14ac:dyDescent="0.2">
      <c r="A668" s="101">
        <v>18</v>
      </c>
      <c r="B668" s="81" t="s">
        <v>25</v>
      </c>
      <c r="C668" s="84">
        <v>2389.08</v>
      </c>
      <c r="D668" s="53">
        <v>7436.8899113834013</v>
      </c>
      <c r="E668" s="78">
        <v>529.18750520500703</v>
      </c>
      <c r="F668" s="84">
        <v>2598.2799999999997</v>
      </c>
      <c r="G668" s="53">
        <v>7519.6309343511821</v>
      </c>
      <c r="H668" s="78">
        <v>491.99364919858562</v>
      </c>
      <c r="I668" s="84">
        <v>2295.27</v>
      </c>
      <c r="J668" s="53">
        <v>5781.4082374363225</v>
      </c>
      <c r="K668" s="78">
        <v>428.2020853164006</v>
      </c>
      <c r="L668" s="84">
        <v>2427.5433333333331</v>
      </c>
      <c r="M668" s="53">
        <v>6912.6430277236359</v>
      </c>
      <c r="N668" s="78">
        <v>484.08994335000602</v>
      </c>
    </row>
    <row r="669" spans="1:14" ht="19.5" customHeight="1" outlineLevel="1" x14ac:dyDescent="0.2">
      <c r="A669" s="101">
        <v>19</v>
      </c>
      <c r="B669" s="81" t="s">
        <v>26</v>
      </c>
      <c r="C669" s="84">
        <v>1504.51</v>
      </c>
      <c r="D669" s="53">
        <v>7893.1221774720589</v>
      </c>
      <c r="E669" s="78">
        <v>891.87228411260139</v>
      </c>
      <c r="F669" s="84">
        <v>1595.93</v>
      </c>
      <c r="G669" s="53">
        <v>7052.7655905882357</v>
      </c>
      <c r="H669" s="78">
        <v>751.26738039888971</v>
      </c>
      <c r="I669" s="84">
        <v>1629.93</v>
      </c>
      <c r="J669" s="53">
        <v>6864.8779482352929</v>
      </c>
      <c r="K669" s="78">
        <v>715.99961421656133</v>
      </c>
      <c r="L669" s="84">
        <v>1576.79</v>
      </c>
      <c r="M669" s="53">
        <v>7270.2552387651958</v>
      </c>
      <c r="N669" s="78">
        <v>783.83512743617302</v>
      </c>
    </row>
    <row r="670" spans="1:14" ht="19.5" customHeight="1" outlineLevel="1" x14ac:dyDescent="0.2">
      <c r="A670" s="101">
        <v>20</v>
      </c>
      <c r="B670" s="81" t="s">
        <v>27</v>
      </c>
      <c r="C670" s="84">
        <v>11.22</v>
      </c>
      <c r="D670" s="53">
        <v>36.415326315789471</v>
      </c>
      <c r="E670" s="78">
        <v>551.74736842105256</v>
      </c>
      <c r="F670" s="84">
        <v>14.95</v>
      </c>
      <c r="G670" s="53">
        <v>35.825124705882345</v>
      </c>
      <c r="H670" s="78">
        <v>407.37599999999992</v>
      </c>
      <c r="I670" s="84">
        <v>10.77</v>
      </c>
      <c r="J670" s="53">
        <v>25.224607058823523</v>
      </c>
      <c r="K670" s="78">
        <v>398.15999999999991</v>
      </c>
      <c r="L670" s="84">
        <v>12.313333333333333</v>
      </c>
      <c r="M670" s="53">
        <v>32.488352693498449</v>
      </c>
      <c r="N670" s="78">
        <v>448.53979084147829</v>
      </c>
    </row>
    <row r="671" spans="1:14" ht="19.5" customHeight="1" outlineLevel="1" x14ac:dyDescent="0.2">
      <c r="A671" s="101">
        <v>21</v>
      </c>
      <c r="B671" s="81" t="s">
        <v>28</v>
      </c>
      <c r="C671" s="84">
        <v>156.16999999999999</v>
      </c>
      <c r="D671" s="53">
        <v>540.62131344074419</v>
      </c>
      <c r="E671" s="78">
        <v>588.49729964094581</v>
      </c>
      <c r="F671" s="84">
        <v>177.62</v>
      </c>
      <c r="G671" s="53">
        <v>606.50222632941177</v>
      </c>
      <c r="H671" s="78">
        <v>580.48293253012048</v>
      </c>
      <c r="I671" s="84">
        <v>168.35</v>
      </c>
      <c r="J671" s="53">
        <v>553.36593261721418</v>
      </c>
      <c r="K671" s="78">
        <v>558.78947754634044</v>
      </c>
      <c r="L671" s="84">
        <v>167.38</v>
      </c>
      <c r="M671" s="53">
        <v>566.82982412912338</v>
      </c>
      <c r="N671" s="78">
        <v>575.70241427859344</v>
      </c>
    </row>
    <row r="672" spans="1:14" ht="19.5" customHeight="1" outlineLevel="1" x14ac:dyDescent="0.2">
      <c r="A672" s="101">
        <v>22</v>
      </c>
      <c r="B672" s="81" t="s">
        <v>29</v>
      </c>
      <c r="C672" s="84">
        <v>122.14</v>
      </c>
      <c r="D672" s="53">
        <v>476.14273351635904</v>
      </c>
      <c r="E672" s="78">
        <v>662.71708447503715</v>
      </c>
      <c r="F672" s="84">
        <v>123.31</v>
      </c>
      <c r="G672" s="53">
        <v>496.62817985279639</v>
      </c>
      <c r="H672" s="78">
        <v>684.67107756852954</v>
      </c>
      <c r="I672" s="84">
        <v>113.29</v>
      </c>
      <c r="J672" s="53">
        <v>415.7080568066425</v>
      </c>
      <c r="K672" s="78">
        <v>623.80059720301188</v>
      </c>
      <c r="L672" s="84">
        <v>119.58</v>
      </c>
      <c r="M672" s="53">
        <v>462.82632339193265</v>
      </c>
      <c r="N672" s="78">
        <v>657.9735321678254</v>
      </c>
    </row>
    <row r="673" spans="1:14" ht="19.5" customHeight="1" outlineLevel="1" x14ac:dyDescent="0.2">
      <c r="A673" s="101">
        <v>23</v>
      </c>
      <c r="B673" s="81" t="s">
        <v>30</v>
      </c>
      <c r="C673" s="84">
        <v>101.05</v>
      </c>
      <c r="D673" s="53">
        <v>390.46468757966073</v>
      </c>
      <c r="E673" s="78">
        <v>656.89259662090387</v>
      </c>
      <c r="F673" s="84">
        <v>95.06</v>
      </c>
      <c r="G673" s="53">
        <v>403.11856367427526</v>
      </c>
      <c r="H673" s="78">
        <v>720.91474673497578</v>
      </c>
      <c r="I673" s="84">
        <v>85.67</v>
      </c>
      <c r="J673" s="53">
        <v>413.81823721468612</v>
      </c>
      <c r="K673" s="78">
        <v>821.16377175786909</v>
      </c>
      <c r="L673" s="84">
        <v>93.926666666666677</v>
      </c>
      <c r="M673" s="53">
        <v>402.46716282287406</v>
      </c>
      <c r="N673" s="78">
        <v>728.43442770837441</v>
      </c>
    </row>
    <row r="674" spans="1:14" ht="19.5" customHeight="1" outlineLevel="1" x14ac:dyDescent="0.2">
      <c r="A674" s="101">
        <v>24</v>
      </c>
      <c r="B674" s="81" t="s">
        <v>31</v>
      </c>
      <c r="C674" s="84">
        <v>3.49</v>
      </c>
      <c r="D674" s="53">
        <v>8.1243809217833522</v>
      </c>
      <c r="E674" s="78">
        <v>395.7434832960372</v>
      </c>
      <c r="F674" s="84">
        <v>10.08</v>
      </c>
      <c r="G674" s="53">
        <v>37.696571942196385</v>
      </c>
      <c r="H674" s="78">
        <v>635.75567759656599</v>
      </c>
      <c r="I674" s="84">
        <v>9.18</v>
      </c>
      <c r="J674" s="53">
        <v>19.098224842204921</v>
      </c>
      <c r="K674" s="78">
        <v>353.67083041120225</v>
      </c>
      <c r="L674" s="84">
        <v>7.583333333333333</v>
      </c>
      <c r="M674" s="53">
        <v>21.639725902061553</v>
      </c>
      <c r="N674" s="78">
        <v>485.1103389033579</v>
      </c>
    </row>
    <row r="675" spans="1:14" ht="19.5" customHeight="1" outlineLevel="1" x14ac:dyDescent="0.2">
      <c r="A675" s="101">
        <v>25</v>
      </c>
      <c r="B675" s="81" t="s">
        <v>32</v>
      </c>
      <c r="C675" s="84">
        <v>816.86</v>
      </c>
      <c r="D675" s="53">
        <v>4381.1700988235298</v>
      </c>
      <c r="E675" s="78">
        <v>911.78282300516616</v>
      </c>
      <c r="F675" s="84">
        <v>886.79</v>
      </c>
      <c r="G675" s="53">
        <v>4434.2456315294112</v>
      </c>
      <c r="H675" s="78">
        <v>850.05667334994757</v>
      </c>
      <c r="I675" s="84">
        <v>836.39</v>
      </c>
      <c r="J675" s="53">
        <v>4138.0783072941167</v>
      </c>
      <c r="K675" s="78">
        <v>841.08288267435034</v>
      </c>
      <c r="L675" s="84">
        <v>846.68</v>
      </c>
      <c r="M675" s="53">
        <v>4317.8313458823532</v>
      </c>
      <c r="N675" s="78">
        <v>866.95248358293577</v>
      </c>
    </row>
    <row r="676" spans="1:14" ht="19.5" customHeight="1" outlineLevel="1" x14ac:dyDescent="0.2">
      <c r="A676" s="101">
        <v>26</v>
      </c>
      <c r="B676" s="81" t="s">
        <v>33</v>
      </c>
      <c r="C676" s="84">
        <v>1037.9299999999998</v>
      </c>
      <c r="D676" s="53">
        <v>3912.8803665882351</v>
      </c>
      <c r="E676" s="78">
        <v>640.88104430934663</v>
      </c>
      <c r="F676" s="84">
        <v>1118.08</v>
      </c>
      <c r="G676" s="53">
        <v>4200.3671632941168</v>
      </c>
      <c r="H676" s="78">
        <v>638.65055967372632</v>
      </c>
      <c r="I676" s="84">
        <v>986.34999999999991</v>
      </c>
      <c r="J676" s="53">
        <v>3610.9056112941175</v>
      </c>
      <c r="K676" s="78">
        <v>622.3490180159173</v>
      </c>
      <c r="L676" s="84">
        <v>1047.4533333333331</v>
      </c>
      <c r="M676" s="53">
        <v>3908.0510470588233</v>
      </c>
      <c r="N676" s="78">
        <v>634.27043177739029</v>
      </c>
    </row>
    <row r="677" spans="1:14" ht="19.5" customHeight="1" outlineLevel="1" x14ac:dyDescent="0.2">
      <c r="A677" s="101">
        <v>27</v>
      </c>
      <c r="B677" s="81" t="s">
        <v>34</v>
      </c>
      <c r="C677" s="84">
        <v>524.77</v>
      </c>
      <c r="D677" s="53">
        <v>1780.2655962352942</v>
      </c>
      <c r="E677" s="78">
        <v>576.71961308763844</v>
      </c>
      <c r="F677" s="84">
        <v>548.17000000000007</v>
      </c>
      <c r="G677" s="53">
        <v>1846.0859802352943</v>
      </c>
      <c r="H677" s="78">
        <v>572.5133017859423</v>
      </c>
      <c r="I677" s="84">
        <v>507.14</v>
      </c>
      <c r="J677" s="53">
        <v>1711.7396978823531</v>
      </c>
      <c r="K677" s="78">
        <v>573.79766660093867</v>
      </c>
      <c r="L677" s="84">
        <v>526.69333333333327</v>
      </c>
      <c r="M677" s="53">
        <v>1779.3637581176472</v>
      </c>
      <c r="N677" s="78">
        <v>574.32251318920567</v>
      </c>
    </row>
    <row r="678" spans="1:14" ht="19.5" customHeight="1" outlineLevel="1" x14ac:dyDescent="0.2">
      <c r="A678" s="101">
        <v>28</v>
      </c>
      <c r="B678" s="81" t="s">
        <v>35</v>
      </c>
      <c r="C678" s="84">
        <v>916.94</v>
      </c>
      <c r="D678" s="53">
        <v>2883.1939623529406</v>
      </c>
      <c r="E678" s="78">
        <v>534.54203502955465</v>
      </c>
      <c r="F678" s="84">
        <v>963.90000000000009</v>
      </c>
      <c r="G678" s="53">
        <v>3163.6166400000002</v>
      </c>
      <c r="H678" s="78">
        <v>557.95707936507938</v>
      </c>
      <c r="I678" s="84">
        <v>895.88</v>
      </c>
      <c r="J678" s="53">
        <v>2720.4040164705884</v>
      </c>
      <c r="K678" s="78">
        <v>516.21721971692637</v>
      </c>
      <c r="L678" s="84">
        <v>925.57333333333338</v>
      </c>
      <c r="M678" s="53">
        <v>2922.4048729411766</v>
      </c>
      <c r="N678" s="78">
        <v>536.75793209254084</v>
      </c>
    </row>
    <row r="679" spans="1:14" ht="19.5" customHeight="1" outlineLevel="1" x14ac:dyDescent="0.2">
      <c r="A679" s="101">
        <v>29</v>
      </c>
      <c r="B679" s="81" t="s">
        <v>36</v>
      </c>
      <c r="C679" s="84">
        <v>43.010000000000005</v>
      </c>
      <c r="D679" s="53">
        <v>124.443671548346</v>
      </c>
      <c r="E679" s="78">
        <v>491.87221955867977</v>
      </c>
      <c r="F679" s="84">
        <v>56.2</v>
      </c>
      <c r="G679" s="53">
        <v>228.88511573979241</v>
      </c>
      <c r="H679" s="78">
        <v>692.35711166841122</v>
      </c>
      <c r="I679" s="84">
        <v>31.299999999999997</v>
      </c>
      <c r="J679" s="53">
        <v>119.82946450276859</v>
      </c>
      <c r="K679" s="78">
        <v>650.83095736327994</v>
      </c>
      <c r="L679" s="84">
        <v>43.50333333333333</v>
      </c>
      <c r="M679" s="53">
        <v>157.71941726363568</v>
      </c>
      <c r="N679" s="78">
        <v>616.32750597237145</v>
      </c>
    </row>
    <row r="680" spans="1:14" ht="19.5" customHeight="1" outlineLevel="1" x14ac:dyDescent="0.2">
      <c r="A680" s="101">
        <v>30</v>
      </c>
      <c r="B680" s="81" t="s">
        <v>37</v>
      </c>
      <c r="C680" s="84">
        <v>0</v>
      </c>
      <c r="D680" s="53">
        <v>0</v>
      </c>
      <c r="E680" s="78">
        <v>0</v>
      </c>
      <c r="F680" s="84">
        <v>0</v>
      </c>
      <c r="G680" s="53">
        <v>0</v>
      </c>
      <c r="H680" s="78">
        <v>0</v>
      </c>
      <c r="I680" s="84">
        <v>0</v>
      </c>
      <c r="J680" s="53">
        <v>0</v>
      </c>
      <c r="K680" s="78">
        <v>0</v>
      </c>
      <c r="L680" s="84">
        <v>0</v>
      </c>
      <c r="M680" s="53">
        <v>0</v>
      </c>
      <c r="N680" s="78">
        <v>0</v>
      </c>
    </row>
    <row r="681" spans="1:14" ht="19.5" customHeight="1" outlineLevel="1" x14ac:dyDescent="0.2">
      <c r="A681" s="101">
        <v>31</v>
      </c>
      <c r="B681" s="81" t="s">
        <v>38</v>
      </c>
      <c r="C681" s="84">
        <v>0</v>
      </c>
      <c r="D681" s="53">
        <v>0</v>
      </c>
      <c r="E681" s="78">
        <v>0</v>
      </c>
      <c r="F681" s="84">
        <v>0</v>
      </c>
      <c r="G681" s="53">
        <v>0</v>
      </c>
      <c r="H681" s="78">
        <v>0</v>
      </c>
      <c r="I681" s="84">
        <v>0</v>
      </c>
      <c r="J681" s="53">
        <v>0</v>
      </c>
      <c r="K681" s="78">
        <v>0</v>
      </c>
      <c r="L681" s="84">
        <v>0</v>
      </c>
      <c r="M681" s="53">
        <v>0</v>
      </c>
      <c r="N681" s="78">
        <v>0</v>
      </c>
    </row>
    <row r="682" spans="1:14" ht="19.5" customHeight="1" outlineLevel="1" x14ac:dyDescent="0.2">
      <c r="A682" s="101">
        <v>32</v>
      </c>
      <c r="B682" s="81" t="s">
        <v>39</v>
      </c>
      <c r="C682" s="84">
        <v>0</v>
      </c>
      <c r="D682" s="53">
        <v>0</v>
      </c>
      <c r="E682" s="78">
        <v>0</v>
      </c>
      <c r="F682" s="84">
        <v>0</v>
      </c>
      <c r="G682" s="53">
        <v>0</v>
      </c>
      <c r="H682" s="78">
        <v>0</v>
      </c>
      <c r="I682" s="84">
        <v>0</v>
      </c>
      <c r="J682" s="53">
        <v>0</v>
      </c>
      <c r="K682" s="78">
        <v>0</v>
      </c>
      <c r="L682" s="84">
        <v>0</v>
      </c>
      <c r="M682" s="53">
        <v>0</v>
      </c>
      <c r="N682" s="78">
        <v>0</v>
      </c>
    </row>
    <row r="683" spans="1:14" ht="19.5" customHeight="1" outlineLevel="1" thickBot="1" x14ac:dyDescent="0.25">
      <c r="A683" s="102">
        <v>33</v>
      </c>
      <c r="B683" s="91" t="s">
        <v>40</v>
      </c>
      <c r="C683" s="92">
        <v>115.43</v>
      </c>
      <c r="D683" s="93">
        <v>427.17848025237038</v>
      </c>
      <c r="E683" s="94">
        <v>629.12883689597982</v>
      </c>
      <c r="F683" s="92">
        <v>118.54</v>
      </c>
      <c r="G683" s="93">
        <v>452.78017802151498</v>
      </c>
      <c r="H683" s="94">
        <v>649.33887517848439</v>
      </c>
      <c r="I683" s="92">
        <v>112.92</v>
      </c>
      <c r="J683" s="93">
        <v>391.25539615540345</v>
      </c>
      <c r="K683" s="94">
        <v>589.03132612839693</v>
      </c>
      <c r="L683" s="92">
        <v>115.63000000000001</v>
      </c>
      <c r="M683" s="93">
        <v>423.73801814309627</v>
      </c>
      <c r="N683" s="94">
        <v>622.98247067652301</v>
      </c>
    </row>
    <row r="684" spans="1:14" ht="19.5" customHeight="1" thickBot="1" x14ac:dyDescent="0.25">
      <c r="A684" s="151" t="s">
        <v>41</v>
      </c>
      <c r="B684" s="152"/>
      <c r="C684" s="96">
        <v>25492.409999999996</v>
      </c>
      <c r="D684" s="97">
        <v>100007.7075481518</v>
      </c>
      <c r="E684" s="98">
        <v>666.91655607240773</v>
      </c>
      <c r="F684" s="96">
        <v>26833.240000000009</v>
      </c>
      <c r="G684" s="97">
        <v>92477.297712821397</v>
      </c>
      <c r="H684" s="98">
        <v>585.88305441980287</v>
      </c>
      <c r="I684" s="96">
        <v>23716.539999999997</v>
      </c>
      <c r="J684" s="97">
        <v>71506.006761377212</v>
      </c>
      <c r="K684" s="98">
        <v>512.55457792047775</v>
      </c>
      <c r="L684" s="96">
        <v>25347.396666666667</v>
      </c>
      <c r="M684" s="97">
        <v>87997.00400745013</v>
      </c>
      <c r="N684" s="98">
        <v>590.17858433324398</v>
      </c>
    </row>
    <row r="685" spans="1:14" ht="34.5" customHeight="1" x14ac:dyDescent="0.2">
      <c r="A685" s="153" t="s">
        <v>247</v>
      </c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</row>
    <row r="686" spans="1:14" ht="19.5" customHeight="1" thickBot="1" x14ac:dyDescent="0.25">
      <c r="A686" s="50"/>
      <c r="B686" s="138" t="s">
        <v>60</v>
      </c>
      <c r="C686" s="52"/>
      <c r="D686" s="52"/>
      <c r="E686" s="52"/>
      <c r="F686" s="52"/>
      <c r="G686" s="52"/>
      <c r="H686" s="52"/>
      <c r="I686" s="52"/>
      <c r="J686" s="52"/>
      <c r="K686" s="155" t="s">
        <v>1</v>
      </c>
      <c r="L686" s="154"/>
      <c r="M686" s="154"/>
      <c r="N686" s="154"/>
    </row>
    <row r="687" spans="1:14" ht="19.5" customHeight="1" x14ac:dyDescent="0.2">
      <c r="A687" s="156" t="s">
        <v>2</v>
      </c>
      <c r="B687" s="158" t="s">
        <v>3</v>
      </c>
      <c r="C687" s="148" t="s">
        <v>243</v>
      </c>
      <c r="D687" s="149"/>
      <c r="E687" s="150"/>
      <c r="F687" s="148" t="s">
        <v>244</v>
      </c>
      <c r="G687" s="149"/>
      <c r="H687" s="150"/>
      <c r="I687" s="148" t="s">
        <v>246</v>
      </c>
      <c r="J687" s="149"/>
      <c r="K687" s="150"/>
      <c r="L687" s="148" t="s">
        <v>4</v>
      </c>
      <c r="M687" s="149"/>
      <c r="N687" s="150"/>
    </row>
    <row r="688" spans="1:14" ht="19.5" customHeight="1" thickBot="1" x14ac:dyDescent="0.25">
      <c r="A688" s="157"/>
      <c r="B688" s="159"/>
      <c r="C688" s="85" t="s">
        <v>5</v>
      </c>
      <c r="D688" s="79" t="s">
        <v>6</v>
      </c>
      <c r="E688" s="80" t="s">
        <v>7</v>
      </c>
      <c r="F688" s="85" t="s">
        <v>5</v>
      </c>
      <c r="G688" s="79" t="s">
        <v>6</v>
      </c>
      <c r="H688" s="80" t="s">
        <v>7</v>
      </c>
      <c r="I688" s="85" t="s">
        <v>5</v>
      </c>
      <c r="J688" s="79" t="s">
        <v>6</v>
      </c>
      <c r="K688" s="80" t="s">
        <v>7</v>
      </c>
      <c r="L688" s="85" t="s">
        <v>5</v>
      </c>
      <c r="M688" s="79" t="s">
        <v>6</v>
      </c>
      <c r="N688" s="80" t="s">
        <v>7</v>
      </c>
    </row>
    <row r="689" spans="1:14" ht="19.5" customHeight="1" outlineLevel="1" x14ac:dyDescent="0.2">
      <c r="A689" s="100">
        <v>1</v>
      </c>
      <c r="B689" s="86" t="s">
        <v>8</v>
      </c>
      <c r="C689" s="87">
        <v>0</v>
      </c>
      <c r="D689" s="88">
        <v>0</v>
      </c>
      <c r="E689" s="89">
        <v>0</v>
      </c>
      <c r="F689" s="87">
        <v>0</v>
      </c>
      <c r="G689" s="88">
        <v>0</v>
      </c>
      <c r="H689" s="89">
        <v>0</v>
      </c>
      <c r="I689" s="87">
        <v>0</v>
      </c>
      <c r="J689" s="88">
        <v>0</v>
      </c>
      <c r="K689" s="89">
        <v>0</v>
      </c>
      <c r="L689" s="87">
        <v>0</v>
      </c>
      <c r="M689" s="88">
        <v>0</v>
      </c>
      <c r="N689" s="89">
        <v>0</v>
      </c>
    </row>
    <row r="690" spans="1:14" ht="19.5" customHeight="1" outlineLevel="1" x14ac:dyDescent="0.2">
      <c r="A690" s="101">
        <v>2</v>
      </c>
      <c r="B690" s="81" t="s">
        <v>9</v>
      </c>
      <c r="C690" s="84">
        <v>0</v>
      </c>
      <c r="D690" s="53">
        <v>0</v>
      </c>
      <c r="E690" s="78">
        <v>0</v>
      </c>
      <c r="F690" s="84">
        <v>0</v>
      </c>
      <c r="G690" s="53">
        <v>0</v>
      </c>
      <c r="H690" s="78">
        <v>0</v>
      </c>
      <c r="I690" s="84">
        <v>0</v>
      </c>
      <c r="J690" s="53">
        <v>0</v>
      </c>
      <c r="K690" s="78">
        <v>0</v>
      </c>
      <c r="L690" s="84">
        <v>0</v>
      </c>
      <c r="M690" s="53">
        <v>0</v>
      </c>
      <c r="N690" s="78">
        <v>0</v>
      </c>
    </row>
    <row r="691" spans="1:14" ht="19.5" customHeight="1" outlineLevel="1" x14ac:dyDescent="0.2">
      <c r="A691" s="101">
        <v>3</v>
      </c>
      <c r="B691" s="81" t="s">
        <v>10</v>
      </c>
      <c r="C691" s="84">
        <v>0</v>
      </c>
      <c r="D691" s="53">
        <v>0</v>
      </c>
      <c r="E691" s="78">
        <v>0</v>
      </c>
      <c r="F691" s="84">
        <v>0</v>
      </c>
      <c r="G691" s="53">
        <v>0</v>
      </c>
      <c r="H691" s="78">
        <v>0</v>
      </c>
      <c r="I691" s="84">
        <v>0</v>
      </c>
      <c r="J691" s="53">
        <v>0</v>
      </c>
      <c r="K691" s="78">
        <v>0</v>
      </c>
      <c r="L691" s="84">
        <v>0</v>
      </c>
      <c r="M691" s="53">
        <v>0</v>
      </c>
      <c r="N691" s="78">
        <v>0</v>
      </c>
    </row>
    <row r="692" spans="1:14" ht="19.5" customHeight="1" outlineLevel="1" x14ac:dyDescent="0.2">
      <c r="A692" s="101">
        <v>4</v>
      </c>
      <c r="B692" s="81" t="s">
        <v>11</v>
      </c>
      <c r="C692" s="84">
        <v>0</v>
      </c>
      <c r="D692" s="53">
        <v>0</v>
      </c>
      <c r="E692" s="78">
        <v>0</v>
      </c>
      <c r="F692" s="84">
        <v>0</v>
      </c>
      <c r="G692" s="53">
        <v>0</v>
      </c>
      <c r="H692" s="78">
        <v>0</v>
      </c>
      <c r="I692" s="84">
        <v>0</v>
      </c>
      <c r="J692" s="53">
        <v>0</v>
      </c>
      <c r="K692" s="78">
        <v>0</v>
      </c>
      <c r="L692" s="84">
        <v>0</v>
      </c>
      <c r="M692" s="53">
        <v>0</v>
      </c>
      <c r="N692" s="78">
        <v>0</v>
      </c>
    </row>
    <row r="693" spans="1:14" ht="19.5" customHeight="1" outlineLevel="1" x14ac:dyDescent="0.2">
      <c r="A693" s="101">
        <v>5</v>
      </c>
      <c r="B693" s="81" t="s">
        <v>12</v>
      </c>
      <c r="C693" s="84">
        <v>0</v>
      </c>
      <c r="D693" s="53">
        <v>0</v>
      </c>
      <c r="E693" s="78">
        <v>0</v>
      </c>
      <c r="F693" s="84">
        <v>0</v>
      </c>
      <c r="G693" s="53">
        <v>0</v>
      </c>
      <c r="H693" s="78">
        <v>0</v>
      </c>
      <c r="I693" s="84">
        <v>0</v>
      </c>
      <c r="J693" s="53">
        <v>0</v>
      </c>
      <c r="K693" s="78">
        <v>0</v>
      </c>
      <c r="L693" s="84">
        <v>0</v>
      </c>
      <c r="M693" s="53">
        <v>0</v>
      </c>
      <c r="N693" s="78">
        <v>0</v>
      </c>
    </row>
    <row r="694" spans="1:14" ht="19.5" customHeight="1" outlineLevel="1" x14ac:dyDescent="0.2">
      <c r="A694" s="101">
        <v>6</v>
      </c>
      <c r="B694" s="81" t="s">
        <v>13</v>
      </c>
      <c r="C694" s="84">
        <v>0</v>
      </c>
      <c r="D694" s="53">
        <v>0</v>
      </c>
      <c r="E694" s="78">
        <v>0</v>
      </c>
      <c r="F694" s="84">
        <v>0</v>
      </c>
      <c r="G694" s="53">
        <v>0</v>
      </c>
      <c r="H694" s="78">
        <v>0</v>
      </c>
      <c r="I694" s="84">
        <v>0</v>
      </c>
      <c r="J694" s="53">
        <v>0</v>
      </c>
      <c r="K694" s="78">
        <v>0</v>
      </c>
      <c r="L694" s="84">
        <v>0</v>
      </c>
      <c r="M694" s="53">
        <v>0</v>
      </c>
      <c r="N694" s="78">
        <v>0</v>
      </c>
    </row>
    <row r="695" spans="1:14" ht="19.5" customHeight="1" outlineLevel="1" x14ac:dyDescent="0.2">
      <c r="A695" s="101">
        <v>7</v>
      </c>
      <c r="B695" s="81" t="s">
        <v>14</v>
      </c>
      <c r="C695" s="84">
        <v>0</v>
      </c>
      <c r="D695" s="53">
        <v>0</v>
      </c>
      <c r="E695" s="78">
        <v>0</v>
      </c>
      <c r="F695" s="84">
        <v>0</v>
      </c>
      <c r="G695" s="53">
        <v>0</v>
      </c>
      <c r="H695" s="78">
        <v>0</v>
      </c>
      <c r="I695" s="84">
        <v>0</v>
      </c>
      <c r="J695" s="53">
        <v>0</v>
      </c>
      <c r="K695" s="78">
        <v>0</v>
      </c>
      <c r="L695" s="84">
        <v>0</v>
      </c>
      <c r="M695" s="53">
        <v>0</v>
      </c>
      <c r="N695" s="78">
        <v>0</v>
      </c>
    </row>
    <row r="696" spans="1:14" ht="19.5" customHeight="1" outlineLevel="1" x14ac:dyDescent="0.2">
      <c r="A696" s="101">
        <v>8</v>
      </c>
      <c r="B696" s="81" t="s">
        <v>15</v>
      </c>
      <c r="C696" s="84">
        <v>0.09</v>
      </c>
      <c r="D696" s="53">
        <v>0.17105092707727038</v>
      </c>
      <c r="E696" s="78">
        <v>1900.5658564141156</v>
      </c>
      <c r="F696" s="84">
        <v>0.06</v>
      </c>
      <c r="G696" s="53">
        <v>0.1187446893013839</v>
      </c>
      <c r="H696" s="78">
        <v>1979.0781550230652</v>
      </c>
      <c r="I696" s="84">
        <v>0</v>
      </c>
      <c r="J696" s="53">
        <v>0</v>
      </c>
      <c r="K696" s="78">
        <v>0</v>
      </c>
      <c r="L696" s="84">
        <v>7.4999999999999997E-2</v>
      </c>
      <c r="M696" s="53">
        <v>0.14489780818932713</v>
      </c>
      <c r="N696" s="78">
        <v>1931.9707758576951</v>
      </c>
    </row>
    <row r="697" spans="1:14" ht="19.5" customHeight="1" outlineLevel="1" x14ac:dyDescent="0.2">
      <c r="A697" s="101">
        <v>9</v>
      </c>
      <c r="B697" s="81" t="s">
        <v>16</v>
      </c>
      <c r="C697" s="84">
        <v>0</v>
      </c>
      <c r="D697" s="53">
        <v>0</v>
      </c>
      <c r="E697" s="78">
        <v>0</v>
      </c>
      <c r="F697" s="84">
        <v>0</v>
      </c>
      <c r="G697" s="53">
        <v>0</v>
      </c>
      <c r="H697" s="78">
        <v>0</v>
      </c>
      <c r="I697" s="84">
        <v>0</v>
      </c>
      <c r="J697" s="53">
        <v>0</v>
      </c>
      <c r="K697" s="78">
        <v>0</v>
      </c>
      <c r="L697" s="84">
        <v>0</v>
      </c>
      <c r="M697" s="53">
        <v>0</v>
      </c>
      <c r="N697" s="78">
        <v>0</v>
      </c>
    </row>
    <row r="698" spans="1:14" ht="19.5" customHeight="1" outlineLevel="1" x14ac:dyDescent="0.2">
      <c r="A698" s="101">
        <v>10</v>
      </c>
      <c r="B698" s="81" t="s">
        <v>17</v>
      </c>
      <c r="C698" s="84">
        <v>0</v>
      </c>
      <c r="D698" s="53">
        <v>0</v>
      </c>
      <c r="E698" s="78">
        <v>0</v>
      </c>
      <c r="F698" s="84">
        <v>0</v>
      </c>
      <c r="G698" s="53">
        <v>0</v>
      </c>
      <c r="H698" s="78">
        <v>0</v>
      </c>
      <c r="I698" s="84">
        <v>0</v>
      </c>
      <c r="J698" s="53">
        <v>0</v>
      </c>
      <c r="K698" s="78">
        <v>0</v>
      </c>
      <c r="L698" s="84">
        <v>0</v>
      </c>
      <c r="M698" s="53">
        <v>0</v>
      </c>
      <c r="N698" s="78">
        <v>0</v>
      </c>
    </row>
    <row r="699" spans="1:14" ht="19.5" customHeight="1" outlineLevel="1" x14ac:dyDescent="0.2">
      <c r="A699" s="101">
        <v>11</v>
      </c>
      <c r="B699" s="81" t="s">
        <v>18</v>
      </c>
      <c r="C699" s="84">
        <v>0</v>
      </c>
      <c r="D699" s="53">
        <v>0</v>
      </c>
      <c r="E699" s="78">
        <v>0</v>
      </c>
      <c r="F699" s="84">
        <v>0</v>
      </c>
      <c r="G699" s="53">
        <v>0</v>
      </c>
      <c r="H699" s="78">
        <v>0</v>
      </c>
      <c r="I699" s="84">
        <v>0</v>
      </c>
      <c r="J699" s="53">
        <v>0</v>
      </c>
      <c r="K699" s="78">
        <v>0</v>
      </c>
      <c r="L699" s="84">
        <v>0</v>
      </c>
      <c r="M699" s="53">
        <v>0</v>
      </c>
      <c r="N699" s="78">
        <v>0</v>
      </c>
    </row>
    <row r="700" spans="1:14" ht="19.5" customHeight="1" outlineLevel="1" x14ac:dyDescent="0.2">
      <c r="A700" s="101">
        <v>12</v>
      </c>
      <c r="B700" s="81" t="s">
        <v>19</v>
      </c>
      <c r="C700" s="84">
        <v>0</v>
      </c>
      <c r="D700" s="53">
        <v>0</v>
      </c>
      <c r="E700" s="78">
        <v>0</v>
      </c>
      <c r="F700" s="84">
        <v>0</v>
      </c>
      <c r="G700" s="53">
        <v>0</v>
      </c>
      <c r="H700" s="78">
        <v>0</v>
      </c>
      <c r="I700" s="84">
        <v>0</v>
      </c>
      <c r="J700" s="53">
        <v>0</v>
      </c>
      <c r="K700" s="78">
        <v>0</v>
      </c>
      <c r="L700" s="84">
        <v>0</v>
      </c>
      <c r="M700" s="53">
        <v>0</v>
      </c>
      <c r="N700" s="78">
        <v>0</v>
      </c>
    </row>
    <row r="701" spans="1:14" ht="19.5" customHeight="1" outlineLevel="1" x14ac:dyDescent="0.2">
      <c r="A701" s="101">
        <v>13</v>
      </c>
      <c r="B701" s="81" t="s">
        <v>20</v>
      </c>
      <c r="C701" s="84">
        <v>0</v>
      </c>
      <c r="D701" s="53">
        <v>0</v>
      </c>
      <c r="E701" s="78">
        <v>0</v>
      </c>
      <c r="F701" s="84">
        <v>0</v>
      </c>
      <c r="G701" s="53">
        <v>0</v>
      </c>
      <c r="H701" s="78">
        <v>0</v>
      </c>
      <c r="I701" s="84">
        <v>0</v>
      </c>
      <c r="J701" s="53">
        <v>0</v>
      </c>
      <c r="K701" s="78">
        <v>0</v>
      </c>
      <c r="L701" s="84">
        <v>0</v>
      </c>
      <c r="M701" s="53">
        <v>0</v>
      </c>
      <c r="N701" s="78">
        <v>0</v>
      </c>
    </row>
    <row r="702" spans="1:14" ht="19.5" customHeight="1" outlineLevel="1" x14ac:dyDescent="0.2">
      <c r="A702" s="101">
        <v>14</v>
      </c>
      <c r="B702" s="81" t="s">
        <v>21</v>
      </c>
      <c r="C702" s="84">
        <v>0</v>
      </c>
      <c r="D702" s="53">
        <v>0</v>
      </c>
      <c r="E702" s="78">
        <v>0</v>
      </c>
      <c r="F702" s="84">
        <v>0</v>
      </c>
      <c r="G702" s="53">
        <v>0</v>
      </c>
      <c r="H702" s="78">
        <v>0</v>
      </c>
      <c r="I702" s="84">
        <v>0</v>
      </c>
      <c r="J702" s="53">
        <v>0</v>
      </c>
      <c r="K702" s="78">
        <v>0</v>
      </c>
      <c r="L702" s="84">
        <v>0</v>
      </c>
      <c r="M702" s="53">
        <v>0</v>
      </c>
      <c r="N702" s="78">
        <v>0</v>
      </c>
    </row>
    <row r="703" spans="1:14" ht="19.5" customHeight="1" outlineLevel="1" x14ac:dyDescent="0.2">
      <c r="A703" s="101">
        <v>15</v>
      </c>
      <c r="B703" s="81" t="s">
        <v>22</v>
      </c>
      <c r="C703" s="84">
        <v>0</v>
      </c>
      <c r="D703" s="53">
        <v>0</v>
      </c>
      <c r="E703" s="78">
        <v>0</v>
      </c>
      <c r="F703" s="84">
        <v>0</v>
      </c>
      <c r="G703" s="53">
        <v>0</v>
      </c>
      <c r="H703" s="78">
        <v>0</v>
      </c>
      <c r="I703" s="84">
        <v>0</v>
      </c>
      <c r="J703" s="53">
        <v>0</v>
      </c>
      <c r="K703" s="78">
        <v>0</v>
      </c>
      <c r="L703" s="84">
        <v>0</v>
      </c>
      <c r="M703" s="53">
        <v>0</v>
      </c>
      <c r="N703" s="78">
        <v>0</v>
      </c>
    </row>
    <row r="704" spans="1:14" ht="19.5" customHeight="1" outlineLevel="1" x14ac:dyDescent="0.2">
      <c r="A704" s="101">
        <v>16</v>
      </c>
      <c r="B704" s="81" t="s">
        <v>23</v>
      </c>
      <c r="C704" s="84">
        <v>0</v>
      </c>
      <c r="D704" s="53">
        <v>0</v>
      </c>
      <c r="E704" s="78">
        <v>0</v>
      </c>
      <c r="F704" s="84">
        <v>0</v>
      </c>
      <c r="G704" s="53">
        <v>0</v>
      </c>
      <c r="H704" s="78">
        <v>0</v>
      </c>
      <c r="I704" s="84">
        <v>0</v>
      </c>
      <c r="J704" s="53">
        <v>0</v>
      </c>
      <c r="K704" s="78">
        <v>0</v>
      </c>
      <c r="L704" s="84">
        <v>0</v>
      </c>
      <c r="M704" s="53">
        <v>0</v>
      </c>
      <c r="N704" s="78">
        <v>0</v>
      </c>
    </row>
    <row r="705" spans="1:14" ht="19.5" customHeight="1" outlineLevel="1" x14ac:dyDescent="0.2">
      <c r="A705" s="101">
        <v>17</v>
      </c>
      <c r="B705" s="81" t="s">
        <v>24</v>
      </c>
      <c r="C705" s="84">
        <v>0</v>
      </c>
      <c r="D705" s="53">
        <v>0</v>
      </c>
      <c r="E705" s="78">
        <v>0</v>
      </c>
      <c r="F705" s="84">
        <v>0</v>
      </c>
      <c r="G705" s="53">
        <v>0</v>
      </c>
      <c r="H705" s="78">
        <v>0</v>
      </c>
      <c r="I705" s="84">
        <v>0</v>
      </c>
      <c r="J705" s="53">
        <v>0</v>
      </c>
      <c r="K705" s="78">
        <v>0</v>
      </c>
      <c r="L705" s="84">
        <v>0</v>
      </c>
      <c r="M705" s="53">
        <v>0</v>
      </c>
      <c r="N705" s="78">
        <v>0</v>
      </c>
    </row>
    <row r="706" spans="1:14" ht="19.5" customHeight="1" outlineLevel="1" x14ac:dyDescent="0.2">
      <c r="A706" s="101">
        <v>18</v>
      </c>
      <c r="B706" s="81" t="s">
        <v>25</v>
      </c>
      <c r="C706" s="84">
        <v>0</v>
      </c>
      <c r="D706" s="53">
        <v>0</v>
      </c>
      <c r="E706" s="78">
        <v>0</v>
      </c>
      <c r="F706" s="84">
        <v>0</v>
      </c>
      <c r="G706" s="53">
        <v>0</v>
      </c>
      <c r="H706" s="78">
        <v>0</v>
      </c>
      <c r="I706" s="84">
        <v>0</v>
      </c>
      <c r="J706" s="53">
        <v>0</v>
      </c>
      <c r="K706" s="78">
        <v>0</v>
      </c>
      <c r="L706" s="84">
        <v>0</v>
      </c>
      <c r="M706" s="53">
        <v>0</v>
      </c>
      <c r="N706" s="78">
        <v>0</v>
      </c>
    </row>
    <row r="707" spans="1:14" ht="19.5" customHeight="1" outlineLevel="1" x14ac:dyDescent="0.2">
      <c r="A707" s="101">
        <v>19</v>
      </c>
      <c r="B707" s="81" t="s">
        <v>26</v>
      </c>
      <c r="C707" s="84">
        <v>0</v>
      </c>
      <c r="D707" s="53">
        <v>0</v>
      </c>
      <c r="E707" s="78">
        <v>0</v>
      </c>
      <c r="F707" s="84">
        <v>0</v>
      </c>
      <c r="G707" s="53">
        <v>0</v>
      </c>
      <c r="H707" s="78">
        <v>0</v>
      </c>
      <c r="I707" s="84">
        <v>0</v>
      </c>
      <c r="J707" s="53">
        <v>0</v>
      </c>
      <c r="K707" s="78">
        <v>0</v>
      </c>
      <c r="L707" s="84">
        <v>0</v>
      </c>
      <c r="M707" s="53">
        <v>0</v>
      </c>
      <c r="N707" s="78">
        <v>0</v>
      </c>
    </row>
    <row r="708" spans="1:14" ht="19.5" customHeight="1" outlineLevel="1" x14ac:dyDescent="0.2">
      <c r="A708" s="101">
        <v>20</v>
      </c>
      <c r="B708" s="81" t="s">
        <v>27</v>
      </c>
      <c r="C708" s="84">
        <v>110.34</v>
      </c>
      <c r="D708" s="53">
        <v>239.6625992455765</v>
      </c>
      <c r="E708" s="78">
        <v>2172.0373322963251</v>
      </c>
      <c r="F708" s="84">
        <v>108.44</v>
      </c>
      <c r="G708" s="53">
        <v>230.91799682334627</v>
      </c>
      <c r="H708" s="78">
        <v>2129.4540466926069</v>
      </c>
      <c r="I708" s="84">
        <v>36.93</v>
      </c>
      <c r="J708" s="53">
        <v>68.466523999999993</v>
      </c>
      <c r="K708" s="78">
        <v>1853.954075277552</v>
      </c>
      <c r="L708" s="84">
        <v>85.236666666666665</v>
      </c>
      <c r="M708" s="53">
        <v>179.68237335630761</v>
      </c>
      <c r="N708" s="78">
        <v>2108.0408277694373</v>
      </c>
    </row>
    <row r="709" spans="1:14" ht="19.5" customHeight="1" outlineLevel="1" x14ac:dyDescent="0.2">
      <c r="A709" s="101">
        <v>21</v>
      </c>
      <c r="B709" s="81" t="s">
        <v>28</v>
      </c>
      <c r="C709" s="84">
        <v>354.56</v>
      </c>
      <c r="D709" s="53">
        <v>662.88345308673968</v>
      </c>
      <c r="E709" s="78">
        <v>1869.5945766209941</v>
      </c>
      <c r="F709" s="84">
        <v>366.22</v>
      </c>
      <c r="G709" s="53">
        <v>717.09181200000012</v>
      </c>
      <c r="H709" s="78">
        <v>1958.0902517612367</v>
      </c>
      <c r="I709" s="84">
        <v>290.5</v>
      </c>
      <c r="J709" s="53">
        <v>616.0012803167499</v>
      </c>
      <c r="K709" s="78">
        <v>2120.486334997418</v>
      </c>
      <c r="L709" s="84">
        <v>337.09333333333331</v>
      </c>
      <c r="M709" s="53">
        <v>665.32551513449664</v>
      </c>
      <c r="N709" s="78">
        <v>1973.7130620634148</v>
      </c>
    </row>
    <row r="710" spans="1:14" ht="19.5" customHeight="1" outlineLevel="1" x14ac:dyDescent="0.2">
      <c r="A710" s="101">
        <v>22</v>
      </c>
      <c r="B710" s="81" t="s">
        <v>29</v>
      </c>
      <c r="C710" s="84">
        <v>13.44</v>
      </c>
      <c r="D710" s="53">
        <v>25.543605110205714</v>
      </c>
      <c r="E710" s="78">
        <v>1900.5658564141156</v>
      </c>
      <c r="F710" s="84">
        <v>6.72</v>
      </c>
      <c r="G710" s="53">
        <v>20.006783999999996</v>
      </c>
      <c r="H710" s="78">
        <v>2977.1999999999994</v>
      </c>
      <c r="I710" s="84">
        <v>5.97</v>
      </c>
      <c r="J710" s="53">
        <v>20.190540000000002</v>
      </c>
      <c r="K710" s="78">
        <v>3382</v>
      </c>
      <c r="L710" s="84">
        <v>8.7099999999999991</v>
      </c>
      <c r="M710" s="53">
        <v>21.913643036735238</v>
      </c>
      <c r="N710" s="78">
        <v>2515.9176850442295</v>
      </c>
    </row>
    <row r="711" spans="1:14" ht="19.5" customHeight="1" outlineLevel="1" x14ac:dyDescent="0.2">
      <c r="A711" s="101">
        <v>23</v>
      </c>
      <c r="B711" s="81" t="s">
        <v>30</v>
      </c>
      <c r="C711" s="84">
        <v>0.76</v>
      </c>
      <c r="D711" s="53">
        <v>1.2527840000000001</v>
      </c>
      <c r="E711" s="78">
        <v>1648.4</v>
      </c>
      <c r="F711" s="84">
        <v>5.4</v>
      </c>
      <c r="G711" s="53">
        <v>9.5364000000000022</v>
      </c>
      <c r="H711" s="78">
        <v>1766</v>
      </c>
      <c r="I711" s="84">
        <v>9.6</v>
      </c>
      <c r="J711" s="53">
        <v>19.690131927159239</v>
      </c>
      <c r="K711" s="78">
        <v>2051.0554090790874</v>
      </c>
      <c r="L711" s="84">
        <v>5.253333333333333</v>
      </c>
      <c r="M711" s="53">
        <v>10.159771975719748</v>
      </c>
      <c r="N711" s="78">
        <v>1933.9667466471603</v>
      </c>
    </row>
    <row r="712" spans="1:14" ht="19.5" customHeight="1" outlineLevel="1" x14ac:dyDescent="0.2">
      <c r="A712" s="101">
        <v>24</v>
      </c>
      <c r="B712" s="81" t="s">
        <v>31</v>
      </c>
      <c r="C712" s="84">
        <v>0</v>
      </c>
      <c r="D712" s="53">
        <v>0</v>
      </c>
      <c r="E712" s="78">
        <v>0</v>
      </c>
      <c r="F712" s="84">
        <v>0</v>
      </c>
      <c r="G712" s="53">
        <v>0</v>
      </c>
      <c r="H712" s="78">
        <v>0</v>
      </c>
      <c r="I712" s="84">
        <v>0</v>
      </c>
      <c r="J712" s="53">
        <v>0</v>
      </c>
      <c r="K712" s="78">
        <v>0</v>
      </c>
      <c r="L712" s="84">
        <v>0</v>
      </c>
      <c r="M712" s="53">
        <v>0</v>
      </c>
      <c r="N712" s="78">
        <v>0</v>
      </c>
    </row>
    <row r="713" spans="1:14" ht="19.5" customHeight="1" outlineLevel="1" x14ac:dyDescent="0.2">
      <c r="A713" s="101">
        <v>25</v>
      </c>
      <c r="B713" s="81" t="s">
        <v>32</v>
      </c>
      <c r="C713" s="84">
        <v>65.16</v>
      </c>
      <c r="D713" s="53">
        <v>105.05953156942277</v>
      </c>
      <c r="E713" s="78">
        <v>1612.3316692667706</v>
      </c>
      <c r="F713" s="84">
        <v>57.16</v>
      </c>
      <c r="G713" s="53">
        <v>98.946778820690909</v>
      </c>
      <c r="H713" s="78">
        <v>1731.0493145677206</v>
      </c>
      <c r="I713" s="84">
        <v>67.569999999999993</v>
      </c>
      <c r="J713" s="53">
        <v>117.75334306168983</v>
      </c>
      <c r="K713" s="78">
        <v>1742.6867405903483</v>
      </c>
      <c r="L713" s="84">
        <v>63.29666666666666</v>
      </c>
      <c r="M713" s="53">
        <v>107.25321781726784</v>
      </c>
      <c r="N713" s="78">
        <v>1694.4528592964534</v>
      </c>
    </row>
    <row r="714" spans="1:14" ht="19.5" customHeight="1" outlineLevel="1" x14ac:dyDescent="0.2">
      <c r="A714" s="101">
        <v>26</v>
      </c>
      <c r="B714" s="81" t="s">
        <v>33</v>
      </c>
      <c r="C714" s="84">
        <v>0</v>
      </c>
      <c r="D714" s="53">
        <v>0</v>
      </c>
      <c r="E714" s="78">
        <v>0</v>
      </c>
      <c r="F714" s="84">
        <v>0</v>
      </c>
      <c r="G714" s="53">
        <v>0</v>
      </c>
      <c r="H714" s="78">
        <v>0</v>
      </c>
      <c r="I714" s="84">
        <v>0</v>
      </c>
      <c r="J714" s="53">
        <v>0</v>
      </c>
      <c r="K714" s="78">
        <v>0</v>
      </c>
      <c r="L714" s="84">
        <v>0</v>
      </c>
      <c r="M714" s="53">
        <v>0</v>
      </c>
      <c r="N714" s="78">
        <v>0</v>
      </c>
    </row>
    <row r="715" spans="1:14" ht="19.5" customHeight="1" outlineLevel="1" x14ac:dyDescent="0.2">
      <c r="A715" s="101">
        <v>27</v>
      </c>
      <c r="B715" s="81" t="s">
        <v>34</v>
      </c>
      <c r="C715" s="84">
        <v>0</v>
      </c>
      <c r="D715" s="53">
        <v>0</v>
      </c>
      <c r="E715" s="78">
        <v>0</v>
      </c>
      <c r="F715" s="84">
        <v>0</v>
      </c>
      <c r="G715" s="53">
        <v>0</v>
      </c>
      <c r="H715" s="78">
        <v>0</v>
      </c>
      <c r="I715" s="84">
        <v>0</v>
      </c>
      <c r="J715" s="53">
        <v>0</v>
      </c>
      <c r="K715" s="78">
        <v>0</v>
      </c>
      <c r="L715" s="84">
        <v>0</v>
      </c>
      <c r="M715" s="53">
        <v>0</v>
      </c>
      <c r="N715" s="78">
        <v>0</v>
      </c>
    </row>
    <row r="716" spans="1:14" ht="19.5" customHeight="1" outlineLevel="1" x14ac:dyDescent="0.2">
      <c r="A716" s="101">
        <v>28</v>
      </c>
      <c r="B716" s="81" t="s">
        <v>35</v>
      </c>
      <c r="C716" s="84">
        <v>0</v>
      </c>
      <c r="D716" s="53">
        <v>0</v>
      </c>
      <c r="E716" s="78">
        <v>0</v>
      </c>
      <c r="F716" s="84">
        <v>0</v>
      </c>
      <c r="G716" s="53">
        <v>0</v>
      </c>
      <c r="H716" s="78">
        <v>0</v>
      </c>
      <c r="I716" s="84">
        <v>0</v>
      </c>
      <c r="J716" s="53">
        <v>0</v>
      </c>
      <c r="K716" s="78">
        <v>0</v>
      </c>
      <c r="L716" s="84">
        <v>0</v>
      </c>
      <c r="M716" s="53">
        <v>0</v>
      </c>
      <c r="N716" s="78">
        <v>0</v>
      </c>
    </row>
    <row r="717" spans="1:14" ht="19.5" customHeight="1" outlineLevel="1" x14ac:dyDescent="0.2">
      <c r="A717" s="101">
        <v>29</v>
      </c>
      <c r="B717" s="81" t="s">
        <v>36</v>
      </c>
      <c r="C717" s="84">
        <v>0</v>
      </c>
      <c r="D717" s="53">
        <v>0</v>
      </c>
      <c r="E717" s="78">
        <v>0</v>
      </c>
      <c r="F717" s="84">
        <v>0</v>
      </c>
      <c r="G717" s="53">
        <v>0</v>
      </c>
      <c r="H717" s="78">
        <v>0</v>
      </c>
      <c r="I717" s="84">
        <v>0</v>
      </c>
      <c r="J717" s="53">
        <v>0</v>
      </c>
      <c r="K717" s="78">
        <v>0</v>
      </c>
      <c r="L717" s="84">
        <v>0</v>
      </c>
      <c r="M717" s="53">
        <v>0</v>
      </c>
      <c r="N717" s="78">
        <v>0</v>
      </c>
    </row>
    <row r="718" spans="1:14" ht="19.5" customHeight="1" outlineLevel="1" x14ac:dyDescent="0.2">
      <c r="A718" s="101">
        <v>30</v>
      </c>
      <c r="B718" s="81" t="s">
        <v>37</v>
      </c>
      <c r="C718" s="84">
        <v>0</v>
      </c>
      <c r="D718" s="53">
        <v>0</v>
      </c>
      <c r="E718" s="78">
        <v>0</v>
      </c>
      <c r="F718" s="84">
        <v>0</v>
      </c>
      <c r="G718" s="53">
        <v>0</v>
      </c>
      <c r="H718" s="78">
        <v>0</v>
      </c>
      <c r="I718" s="84">
        <v>0</v>
      </c>
      <c r="J718" s="53">
        <v>0</v>
      </c>
      <c r="K718" s="78">
        <v>0</v>
      </c>
      <c r="L718" s="84">
        <v>0</v>
      </c>
      <c r="M718" s="53">
        <v>0</v>
      </c>
      <c r="N718" s="78">
        <v>0</v>
      </c>
    </row>
    <row r="719" spans="1:14" ht="19.5" customHeight="1" outlineLevel="1" x14ac:dyDescent="0.2">
      <c r="A719" s="101">
        <v>31</v>
      </c>
      <c r="B719" s="81" t="s">
        <v>38</v>
      </c>
      <c r="C719" s="84">
        <v>0</v>
      </c>
      <c r="D719" s="53">
        <v>0</v>
      </c>
      <c r="E719" s="78">
        <v>0</v>
      </c>
      <c r="F719" s="84">
        <v>0</v>
      </c>
      <c r="G719" s="53">
        <v>0</v>
      </c>
      <c r="H719" s="78">
        <v>0</v>
      </c>
      <c r="I719" s="84">
        <v>0</v>
      </c>
      <c r="J719" s="53">
        <v>0</v>
      </c>
      <c r="K719" s="78">
        <v>0</v>
      </c>
      <c r="L719" s="84">
        <v>0</v>
      </c>
      <c r="M719" s="53">
        <v>0</v>
      </c>
      <c r="N719" s="78">
        <v>0</v>
      </c>
    </row>
    <row r="720" spans="1:14" ht="19.5" customHeight="1" outlineLevel="1" x14ac:dyDescent="0.2">
      <c r="A720" s="101">
        <v>32</v>
      </c>
      <c r="B720" s="81" t="s">
        <v>39</v>
      </c>
      <c r="C720" s="84">
        <v>0</v>
      </c>
      <c r="D720" s="53">
        <v>0</v>
      </c>
      <c r="E720" s="78">
        <v>0</v>
      </c>
      <c r="F720" s="84">
        <v>0</v>
      </c>
      <c r="G720" s="53">
        <v>0</v>
      </c>
      <c r="H720" s="78">
        <v>0</v>
      </c>
      <c r="I720" s="84">
        <v>0</v>
      </c>
      <c r="J720" s="53">
        <v>0</v>
      </c>
      <c r="K720" s="78">
        <v>0</v>
      </c>
      <c r="L720" s="84">
        <v>0</v>
      </c>
      <c r="M720" s="53">
        <v>0</v>
      </c>
      <c r="N720" s="78">
        <v>0</v>
      </c>
    </row>
    <row r="721" spans="1:14" ht="19.5" customHeight="1" outlineLevel="1" thickBot="1" x14ac:dyDescent="0.25">
      <c r="A721" s="102">
        <v>33</v>
      </c>
      <c r="B721" s="91" t="s">
        <v>40</v>
      </c>
      <c r="C721" s="92">
        <v>0</v>
      </c>
      <c r="D721" s="93">
        <v>0</v>
      </c>
      <c r="E721" s="94">
        <v>0</v>
      </c>
      <c r="F721" s="92">
        <v>0</v>
      </c>
      <c r="G721" s="93">
        <v>0</v>
      </c>
      <c r="H721" s="94">
        <v>0</v>
      </c>
      <c r="I721" s="92">
        <v>0</v>
      </c>
      <c r="J721" s="93">
        <v>0</v>
      </c>
      <c r="K721" s="94">
        <v>0</v>
      </c>
      <c r="L721" s="92">
        <v>0</v>
      </c>
      <c r="M721" s="93">
        <v>0</v>
      </c>
      <c r="N721" s="94">
        <v>0</v>
      </c>
    </row>
    <row r="722" spans="1:14" ht="19.5" customHeight="1" thickBot="1" x14ac:dyDescent="0.25">
      <c r="A722" s="151" t="s">
        <v>41</v>
      </c>
      <c r="B722" s="152"/>
      <c r="C722" s="96">
        <v>544.35</v>
      </c>
      <c r="D722" s="97">
        <v>1034.5730239390218</v>
      </c>
      <c r="E722" s="98">
        <v>1900.565856414112</v>
      </c>
      <c r="F722" s="96">
        <v>544</v>
      </c>
      <c r="G722" s="97">
        <v>1076.6185163333387</v>
      </c>
      <c r="H722" s="98">
        <v>1979.0781550245194</v>
      </c>
      <c r="I722" s="96">
        <v>410.57000000000005</v>
      </c>
      <c r="J722" s="97">
        <v>842.10181930559895</v>
      </c>
      <c r="K722" s="98">
        <v>2051.0554090790824</v>
      </c>
      <c r="L722" s="96">
        <v>499.64000000000004</v>
      </c>
      <c r="M722" s="97">
        <v>984.43111985931989</v>
      </c>
      <c r="N722" s="98">
        <v>1970.2808419248254</v>
      </c>
    </row>
    <row r="723" spans="1:14" ht="34.5" customHeight="1" x14ac:dyDescent="0.2">
      <c r="A723" s="153" t="s">
        <v>247</v>
      </c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</row>
    <row r="724" spans="1:14" ht="19.5" customHeight="1" thickBot="1" x14ac:dyDescent="0.25">
      <c r="A724" s="50"/>
      <c r="B724" s="138" t="s">
        <v>61</v>
      </c>
      <c r="C724" s="52"/>
      <c r="D724" s="52"/>
      <c r="E724" s="52"/>
      <c r="F724" s="52"/>
      <c r="G724" s="52"/>
      <c r="H724" s="52"/>
      <c r="I724" s="52"/>
      <c r="J724" s="52"/>
      <c r="K724" s="155" t="s">
        <v>1</v>
      </c>
      <c r="L724" s="154"/>
      <c r="M724" s="154"/>
      <c r="N724" s="154"/>
    </row>
    <row r="725" spans="1:14" ht="19.5" customHeight="1" x14ac:dyDescent="0.2">
      <c r="A725" s="156" t="s">
        <v>2</v>
      </c>
      <c r="B725" s="158" t="s">
        <v>3</v>
      </c>
      <c r="C725" s="148" t="s">
        <v>243</v>
      </c>
      <c r="D725" s="149"/>
      <c r="E725" s="150"/>
      <c r="F725" s="148" t="s">
        <v>244</v>
      </c>
      <c r="G725" s="149"/>
      <c r="H725" s="150"/>
      <c r="I725" s="148" t="s">
        <v>246</v>
      </c>
      <c r="J725" s="149"/>
      <c r="K725" s="150"/>
      <c r="L725" s="148" t="s">
        <v>4</v>
      </c>
      <c r="M725" s="149"/>
      <c r="N725" s="150"/>
    </row>
    <row r="726" spans="1:14" ht="19.5" customHeight="1" thickBot="1" x14ac:dyDescent="0.25">
      <c r="A726" s="157"/>
      <c r="B726" s="159"/>
      <c r="C726" s="85" t="s">
        <v>5</v>
      </c>
      <c r="D726" s="79" t="s">
        <v>6</v>
      </c>
      <c r="E726" s="80" t="s">
        <v>7</v>
      </c>
      <c r="F726" s="85" t="s">
        <v>5</v>
      </c>
      <c r="G726" s="79" t="s">
        <v>6</v>
      </c>
      <c r="H726" s="80" t="s">
        <v>7</v>
      </c>
      <c r="I726" s="85" t="s">
        <v>5</v>
      </c>
      <c r="J726" s="79" t="s">
        <v>6</v>
      </c>
      <c r="K726" s="80" t="s">
        <v>7</v>
      </c>
      <c r="L726" s="85" t="s">
        <v>5</v>
      </c>
      <c r="M726" s="79" t="s">
        <v>6</v>
      </c>
      <c r="N726" s="80" t="s">
        <v>7</v>
      </c>
    </row>
    <row r="727" spans="1:14" ht="19.5" customHeight="1" outlineLevel="1" x14ac:dyDescent="0.2">
      <c r="A727" s="100">
        <v>1</v>
      </c>
      <c r="B727" s="86" t="s">
        <v>8</v>
      </c>
      <c r="C727" s="87">
        <v>719.87</v>
      </c>
      <c r="D727" s="88">
        <v>429.67561835930917</v>
      </c>
      <c r="E727" s="89">
        <v>596.87946206858066</v>
      </c>
      <c r="F727" s="87">
        <v>719.55</v>
      </c>
      <c r="G727" s="88">
        <v>508.04561174235016</v>
      </c>
      <c r="H727" s="89">
        <v>706.06019281822</v>
      </c>
      <c r="I727" s="87">
        <v>531.24</v>
      </c>
      <c r="J727" s="88">
        <v>330.89830090150451</v>
      </c>
      <c r="K727" s="89">
        <v>622.87911471557959</v>
      </c>
      <c r="L727" s="87">
        <v>656.88666666666666</v>
      </c>
      <c r="M727" s="88">
        <v>422.87317700105467</v>
      </c>
      <c r="N727" s="89">
        <v>643.75363127234743</v>
      </c>
    </row>
    <row r="728" spans="1:14" ht="19.5" customHeight="1" outlineLevel="1" x14ac:dyDescent="0.2">
      <c r="A728" s="101">
        <v>2</v>
      </c>
      <c r="B728" s="81" t="s">
        <v>9</v>
      </c>
      <c r="C728" s="84">
        <v>47.29</v>
      </c>
      <c r="D728" s="53">
        <v>50.982609254517293</v>
      </c>
      <c r="E728" s="78">
        <v>1078.0843572534848</v>
      </c>
      <c r="F728" s="84">
        <v>58.57</v>
      </c>
      <c r="G728" s="53">
        <v>59.594116588099091</v>
      </c>
      <c r="H728" s="78">
        <v>1017.4853438295901</v>
      </c>
      <c r="I728" s="84">
        <v>38.03</v>
      </c>
      <c r="J728" s="53">
        <v>36.164067355412747</v>
      </c>
      <c r="K728" s="78">
        <v>950.93524468610963</v>
      </c>
      <c r="L728" s="84">
        <v>47.963333333333331</v>
      </c>
      <c r="M728" s="53">
        <v>48.913597732676379</v>
      </c>
      <c r="N728" s="78">
        <v>1019.8123093893194</v>
      </c>
    </row>
    <row r="729" spans="1:14" ht="19.5" customHeight="1" outlineLevel="1" x14ac:dyDescent="0.2">
      <c r="A729" s="101">
        <v>3</v>
      </c>
      <c r="B729" s="81" t="s">
        <v>10</v>
      </c>
      <c r="C729" s="84">
        <v>61</v>
      </c>
      <c r="D729" s="53">
        <v>39.448222789115647</v>
      </c>
      <c r="E729" s="78">
        <v>646.69217687074831</v>
      </c>
      <c r="F729" s="84">
        <v>58.64</v>
      </c>
      <c r="G729" s="53">
        <v>33.181060626151016</v>
      </c>
      <c r="H729" s="78">
        <v>565.84346224677722</v>
      </c>
      <c r="I729" s="84">
        <v>93.82</v>
      </c>
      <c r="J729" s="53">
        <v>59.72229061262707</v>
      </c>
      <c r="K729" s="78">
        <v>636.56246655965754</v>
      </c>
      <c r="L729" s="84">
        <v>71.153333333333322</v>
      </c>
      <c r="M729" s="53">
        <v>44.117191342631237</v>
      </c>
      <c r="N729" s="78">
        <v>620.02986052606457</v>
      </c>
    </row>
    <row r="730" spans="1:14" ht="19.5" customHeight="1" outlineLevel="1" x14ac:dyDescent="0.2">
      <c r="A730" s="101">
        <v>4</v>
      </c>
      <c r="B730" s="81" t="s">
        <v>11</v>
      </c>
      <c r="C730" s="84">
        <v>93.45</v>
      </c>
      <c r="D730" s="53">
        <v>86.058855449022417</v>
      </c>
      <c r="E730" s="78">
        <v>920.90803048713121</v>
      </c>
      <c r="F730" s="84">
        <v>106.69</v>
      </c>
      <c r="G730" s="53">
        <v>115.69730324999999</v>
      </c>
      <c r="H730" s="78">
        <v>1084.425</v>
      </c>
      <c r="I730" s="84">
        <v>120.19</v>
      </c>
      <c r="J730" s="53">
        <v>124.6038829127622</v>
      </c>
      <c r="K730" s="78">
        <v>1036.7242109390315</v>
      </c>
      <c r="L730" s="84">
        <v>106.77666666666666</v>
      </c>
      <c r="M730" s="53">
        <v>108.78668053726153</v>
      </c>
      <c r="N730" s="78">
        <v>1018.8244673049188</v>
      </c>
    </row>
    <row r="731" spans="1:14" ht="19.5" customHeight="1" outlineLevel="1" x14ac:dyDescent="0.2">
      <c r="A731" s="101">
        <v>5</v>
      </c>
      <c r="B731" s="81" t="s">
        <v>12</v>
      </c>
      <c r="C731" s="84">
        <v>7.2</v>
      </c>
      <c r="D731" s="53">
        <v>10.33056</v>
      </c>
      <c r="E731" s="78">
        <v>1434.8</v>
      </c>
      <c r="F731" s="84">
        <v>4.37</v>
      </c>
      <c r="G731" s="53">
        <v>3.4644962912180621</v>
      </c>
      <c r="H731" s="78">
        <v>792.79091332221105</v>
      </c>
      <c r="I731" s="84">
        <v>4.7</v>
      </c>
      <c r="J731" s="53">
        <v>3.4387355270112727</v>
      </c>
      <c r="K731" s="78">
        <v>731.64585681090898</v>
      </c>
      <c r="L731" s="84">
        <v>5.4233333333333329</v>
      </c>
      <c r="M731" s="53">
        <v>5.7445972727431114</v>
      </c>
      <c r="N731" s="78">
        <v>1059.2373582193816</v>
      </c>
    </row>
    <row r="732" spans="1:14" ht="19.5" customHeight="1" outlineLevel="1" x14ac:dyDescent="0.2">
      <c r="A732" s="101">
        <v>6</v>
      </c>
      <c r="B732" s="81" t="s">
        <v>13</v>
      </c>
      <c r="C732" s="84">
        <v>3.91</v>
      </c>
      <c r="D732" s="53">
        <v>2.7858326418959867</v>
      </c>
      <c r="E732" s="78">
        <v>712.4891667253163</v>
      </c>
      <c r="F732" s="84">
        <v>3.86</v>
      </c>
      <c r="G732" s="53">
        <v>3.0601729254237346</v>
      </c>
      <c r="H732" s="78">
        <v>792.79091332221105</v>
      </c>
      <c r="I732" s="84">
        <v>0.64</v>
      </c>
      <c r="J732" s="53">
        <v>0.4682533483589818</v>
      </c>
      <c r="K732" s="78">
        <v>731.64585681090898</v>
      </c>
      <c r="L732" s="84">
        <v>2.8033333333333332</v>
      </c>
      <c r="M732" s="53">
        <v>2.1047529718929012</v>
      </c>
      <c r="N732" s="78">
        <v>750.80367606167704</v>
      </c>
    </row>
    <row r="733" spans="1:14" ht="19.5" customHeight="1" outlineLevel="1" x14ac:dyDescent="0.2">
      <c r="A733" s="101">
        <v>7</v>
      </c>
      <c r="B733" s="81" t="s">
        <v>14</v>
      </c>
      <c r="C733" s="84">
        <v>35.19</v>
      </c>
      <c r="D733" s="53">
        <v>37.710347999999996</v>
      </c>
      <c r="E733" s="78">
        <v>1071.6211423699915</v>
      </c>
      <c r="F733" s="84">
        <v>32.39</v>
      </c>
      <c r="G733" s="53">
        <v>38.848908000000009</v>
      </c>
      <c r="H733" s="78">
        <v>1199.4105588144491</v>
      </c>
      <c r="I733" s="84">
        <v>36.770000000000003</v>
      </c>
      <c r="J733" s="53">
        <v>40.045548000000004</v>
      </c>
      <c r="K733" s="78">
        <v>1089.0820777807996</v>
      </c>
      <c r="L733" s="84">
        <v>34.783333333333331</v>
      </c>
      <c r="M733" s="53">
        <v>38.868268</v>
      </c>
      <c r="N733" s="78">
        <v>1117.439425011979</v>
      </c>
    </row>
    <row r="734" spans="1:14" ht="19.5" customHeight="1" outlineLevel="1" x14ac:dyDescent="0.2">
      <c r="A734" s="101">
        <v>8</v>
      </c>
      <c r="B734" s="81" t="s">
        <v>15</v>
      </c>
      <c r="C734" s="84">
        <v>4.32</v>
      </c>
      <c r="D734" s="53">
        <v>3.0779532002533667</v>
      </c>
      <c r="E734" s="78">
        <v>712.4891667253163</v>
      </c>
      <c r="F734" s="84">
        <v>2.4</v>
      </c>
      <c r="G734" s="53">
        <v>1.9026981919733064</v>
      </c>
      <c r="H734" s="78">
        <v>792.79091332221105</v>
      </c>
      <c r="I734" s="84">
        <v>0.72</v>
      </c>
      <c r="J734" s="53">
        <v>0.52678501690385438</v>
      </c>
      <c r="K734" s="78">
        <v>731.64585681090898</v>
      </c>
      <c r="L734" s="84">
        <v>2.48</v>
      </c>
      <c r="M734" s="53">
        <v>1.8358121363768427</v>
      </c>
      <c r="N734" s="78">
        <v>740.24682918421081</v>
      </c>
    </row>
    <row r="735" spans="1:14" ht="19.5" customHeight="1" outlineLevel="1" x14ac:dyDescent="0.2">
      <c r="A735" s="101">
        <v>9</v>
      </c>
      <c r="B735" s="81" t="s">
        <v>16</v>
      </c>
      <c r="C735" s="84">
        <v>1.91</v>
      </c>
      <c r="D735" s="53">
        <v>1.3608543084453539</v>
      </c>
      <c r="E735" s="78">
        <v>712.4891667253163</v>
      </c>
      <c r="F735" s="84">
        <v>2.79</v>
      </c>
      <c r="G735" s="53">
        <v>2.211886648168969</v>
      </c>
      <c r="H735" s="78">
        <v>792.79091332221105</v>
      </c>
      <c r="I735" s="84">
        <v>2.5099999999999998</v>
      </c>
      <c r="J735" s="53">
        <v>1.8364311005953815</v>
      </c>
      <c r="K735" s="78">
        <v>731.64585681090898</v>
      </c>
      <c r="L735" s="84">
        <v>2.4033333333333333</v>
      </c>
      <c r="M735" s="53">
        <v>1.8030573524032347</v>
      </c>
      <c r="N735" s="78">
        <v>750.23190807346805</v>
      </c>
    </row>
    <row r="736" spans="1:14" ht="19.5" customHeight="1" outlineLevel="1" x14ac:dyDescent="0.2">
      <c r="A736" s="101">
        <v>10</v>
      </c>
      <c r="B736" s="81" t="s">
        <v>17</v>
      </c>
      <c r="C736" s="84">
        <v>9.4</v>
      </c>
      <c r="D736" s="53">
        <v>17.040320000000001</v>
      </c>
      <c r="E736" s="78">
        <v>1812.8</v>
      </c>
      <c r="F736" s="84">
        <v>10.199999999999999</v>
      </c>
      <c r="G736" s="53">
        <v>15.397919999999997</v>
      </c>
      <c r="H736" s="78">
        <v>1509.6</v>
      </c>
      <c r="I736" s="84">
        <v>0.3</v>
      </c>
      <c r="J736" s="53">
        <v>0.2194937570432727</v>
      </c>
      <c r="K736" s="78">
        <v>731.64585681090898</v>
      </c>
      <c r="L736" s="84">
        <v>6.6333333333333337</v>
      </c>
      <c r="M736" s="53">
        <v>10.885911252347759</v>
      </c>
      <c r="N736" s="78">
        <v>1641.0921485951392</v>
      </c>
    </row>
    <row r="737" spans="1:14" ht="19.5" customHeight="1" outlineLevel="1" x14ac:dyDescent="0.2">
      <c r="A737" s="101">
        <v>11</v>
      </c>
      <c r="B737" s="81" t="s">
        <v>18</v>
      </c>
      <c r="C737" s="84">
        <v>0</v>
      </c>
      <c r="D737" s="53">
        <v>0</v>
      </c>
      <c r="E737" s="78">
        <v>0</v>
      </c>
      <c r="F737" s="84">
        <v>0</v>
      </c>
      <c r="G737" s="53">
        <v>0</v>
      </c>
      <c r="H737" s="78">
        <v>0</v>
      </c>
      <c r="I737" s="84">
        <v>0</v>
      </c>
      <c r="J737" s="53">
        <v>0</v>
      </c>
      <c r="K737" s="78">
        <v>0</v>
      </c>
      <c r="L737" s="84">
        <v>0</v>
      </c>
      <c r="M737" s="53">
        <v>0</v>
      </c>
      <c r="N737" s="78">
        <v>0</v>
      </c>
    </row>
    <row r="738" spans="1:14" ht="19.5" customHeight="1" outlineLevel="1" x14ac:dyDescent="0.2">
      <c r="A738" s="101">
        <v>12</v>
      </c>
      <c r="B738" s="81" t="s">
        <v>19</v>
      </c>
      <c r="C738" s="84">
        <v>0.15</v>
      </c>
      <c r="D738" s="53">
        <v>0.10687337500879744</v>
      </c>
      <c r="E738" s="78">
        <v>712.4891667253163</v>
      </c>
      <c r="F738" s="84">
        <v>1.1499999999999999</v>
      </c>
      <c r="G738" s="53">
        <v>0.91170955032054268</v>
      </c>
      <c r="H738" s="78">
        <v>792.79091332221105</v>
      </c>
      <c r="I738" s="84">
        <v>0.32</v>
      </c>
      <c r="J738" s="53">
        <v>0.2341266741794909</v>
      </c>
      <c r="K738" s="78">
        <v>731.64585681090898</v>
      </c>
      <c r="L738" s="84">
        <v>0.53999999999999992</v>
      </c>
      <c r="M738" s="53">
        <v>0.4175698665029437</v>
      </c>
      <c r="N738" s="78">
        <v>773.27753056100698</v>
      </c>
    </row>
    <row r="739" spans="1:14" ht="19.5" customHeight="1" outlineLevel="1" x14ac:dyDescent="0.2">
      <c r="A739" s="101">
        <v>13</v>
      </c>
      <c r="B739" s="81" t="s">
        <v>20</v>
      </c>
      <c r="C739" s="84">
        <v>0</v>
      </c>
      <c r="D739" s="53">
        <v>0</v>
      </c>
      <c r="E739" s="78">
        <v>0</v>
      </c>
      <c r="F739" s="84">
        <v>0</v>
      </c>
      <c r="G739" s="53">
        <v>0</v>
      </c>
      <c r="H739" s="78">
        <v>0</v>
      </c>
      <c r="I739" s="84">
        <v>0</v>
      </c>
      <c r="J739" s="53">
        <v>0</v>
      </c>
      <c r="K739" s="78">
        <v>0</v>
      </c>
      <c r="L739" s="84">
        <v>0</v>
      </c>
      <c r="M739" s="53">
        <v>0</v>
      </c>
      <c r="N739" s="78">
        <v>0</v>
      </c>
    </row>
    <row r="740" spans="1:14" ht="19.5" customHeight="1" outlineLevel="1" x14ac:dyDescent="0.2">
      <c r="A740" s="101">
        <v>14</v>
      </c>
      <c r="B740" s="81" t="s">
        <v>21</v>
      </c>
      <c r="C740" s="84">
        <v>0</v>
      </c>
      <c r="D740" s="53">
        <v>0</v>
      </c>
      <c r="E740" s="78">
        <v>0</v>
      </c>
      <c r="F740" s="84">
        <v>0</v>
      </c>
      <c r="G740" s="53">
        <v>0</v>
      </c>
      <c r="H740" s="78">
        <v>0</v>
      </c>
      <c r="I740" s="84">
        <v>0</v>
      </c>
      <c r="J740" s="53">
        <v>0</v>
      </c>
      <c r="K740" s="78">
        <v>0</v>
      </c>
      <c r="L740" s="84">
        <v>0</v>
      </c>
      <c r="M740" s="53">
        <v>0</v>
      </c>
      <c r="N740" s="78">
        <v>0</v>
      </c>
    </row>
    <row r="741" spans="1:14" ht="19.5" customHeight="1" outlineLevel="1" x14ac:dyDescent="0.2">
      <c r="A741" s="101">
        <v>15</v>
      </c>
      <c r="B741" s="81" t="s">
        <v>22</v>
      </c>
      <c r="C741" s="84">
        <v>0</v>
      </c>
      <c r="D741" s="53">
        <v>0</v>
      </c>
      <c r="E741" s="78">
        <v>0</v>
      </c>
      <c r="F741" s="84">
        <v>0</v>
      </c>
      <c r="G741" s="53">
        <v>0</v>
      </c>
      <c r="H741" s="78">
        <v>0</v>
      </c>
      <c r="I741" s="84">
        <v>0</v>
      </c>
      <c r="J741" s="53">
        <v>0</v>
      </c>
      <c r="K741" s="78">
        <v>0</v>
      </c>
      <c r="L741" s="84">
        <v>0</v>
      </c>
      <c r="M741" s="53">
        <v>0</v>
      </c>
      <c r="N741" s="78">
        <v>0</v>
      </c>
    </row>
    <row r="742" spans="1:14" ht="19.5" customHeight="1" outlineLevel="1" x14ac:dyDescent="0.2">
      <c r="A742" s="101">
        <v>16</v>
      </c>
      <c r="B742" s="81" t="s">
        <v>23</v>
      </c>
      <c r="C742" s="84">
        <v>0</v>
      </c>
      <c r="D742" s="53">
        <v>0</v>
      </c>
      <c r="E742" s="78">
        <v>0</v>
      </c>
      <c r="F742" s="84">
        <v>0</v>
      </c>
      <c r="G742" s="53">
        <v>0</v>
      </c>
      <c r="H742" s="78">
        <v>0</v>
      </c>
      <c r="I742" s="84">
        <v>0</v>
      </c>
      <c r="J742" s="53">
        <v>0</v>
      </c>
      <c r="K742" s="78">
        <v>0</v>
      </c>
      <c r="L742" s="84">
        <v>0</v>
      </c>
      <c r="M742" s="53">
        <v>0</v>
      </c>
      <c r="N742" s="78">
        <v>0</v>
      </c>
    </row>
    <row r="743" spans="1:14" ht="19.5" customHeight="1" outlineLevel="1" x14ac:dyDescent="0.2">
      <c r="A743" s="101">
        <v>17</v>
      </c>
      <c r="B743" s="81" t="s">
        <v>24</v>
      </c>
      <c r="C743" s="84">
        <v>0</v>
      </c>
      <c r="D743" s="53">
        <v>0</v>
      </c>
      <c r="E743" s="78">
        <v>0</v>
      </c>
      <c r="F743" s="84">
        <v>0.25</v>
      </c>
      <c r="G743" s="53">
        <v>0.19819772833055277</v>
      </c>
      <c r="H743" s="78">
        <v>792.79091332221105</v>
      </c>
      <c r="I743" s="84">
        <v>0</v>
      </c>
      <c r="J743" s="53">
        <v>0</v>
      </c>
      <c r="K743" s="78">
        <v>0</v>
      </c>
      <c r="L743" s="84">
        <v>0.25</v>
      </c>
      <c r="M743" s="53">
        <v>0.19819772833055277</v>
      </c>
      <c r="N743" s="78">
        <v>792.79091332221105</v>
      </c>
    </row>
    <row r="744" spans="1:14" ht="19.5" customHeight="1" outlineLevel="1" x14ac:dyDescent="0.2">
      <c r="A744" s="101">
        <v>18</v>
      </c>
      <c r="B744" s="81" t="s">
        <v>25</v>
      </c>
      <c r="C744" s="84">
        <v>0.03</v>
      </c>
      <c r="D744" s="53">
        <v>2.1374675001759488E-2</v>
      </c>
      <c r="E744" s="78">
        <v>712.4891667253163</v>
      </c>
      <c r="F744" s="84">
        <v>0</v>
      </c>
      <c r="G744" s="53">
        <v>0</v>
      </c>
      <c r="H744" s="78">
        <v>0</v>
      </c>
      <c r="I744" s="84">
        <v>0</v>
      </c>
      <c r="J744" s="53">
        <v>0</v>
      </c>
      <c r="K744" s="78">
        <v>0</v>
      </c>
      <c r="L744" s="84">
        <v>0.03</v>
      </c>
      <c r="M744" s="53">
        <v>2.1374675001759488E-2</v>
      </c>
      <c r="N744" s="78">
        <v>712.4891667253163</v>
      </c>
    </row>
    <row r="745" spans="1:14" ht="19.5" customHeight="1" outlineLevel="1" x14ac:dyDescent="0.2">
      <c r="A745" s="101">
        <v>19</v>
      </c>
      <c r="B745" s="81" t="s">
        <v>26</v>
      </c>
      <c r="C745" s="84">
        <v>0</v>
      </c>
      <c r="D745" s="53">
        <v>0</v>
      </c>
      <c r="E745" s="78">
        <v>0</v>
      </c>
      <c r="F745" s="84">
        <v>0</v>
      </c>
      <c r="G745" s="53">
        <v>0</v>
      </c>
      <c r="H745" s="78">
        <v>0</v>
      </c>
      <c r="I745" s="84">
        <v>0</v>
      </c>
      <c r="J745" s="53">
        <v>0</v>
      </c>
      <c r="K745" s="78">
        <v>0</v>
      </c>
      <c r="L745" s="84">
        <v>0</v>
      </c>
      <c r="M745" s="53">
        <v>0</v>
      </c>
      <c r="N745" s="78">
        <v>0</v>
      </c>
    </row>
    <row r="746" spans="1:14" ht="19.5" customHeight="1" outlineLevel="1" x14ac:dyDescent="0.2">
      <c r="A746" s="101">
        <v>20</v>
      </c>
      <c r="B746" s="81" t="s">
        <v>27</v>
      </c>
      <c r="C746" s="84">
        <v>0</v>
      </c>
      <c r="D746" s="53">
        <v>0</v>
      </c>
      <c r="E746" s="78">
        <v>0</v>
      </c>
      <c r="F746" s="84">
        <v>0.03</v>
      </c>
      <c r="G746" s="53">
        <v>2.3783727399666329E-2</v>
      </c>
      <c r="H746" s="78">
        <v>792.79091332221105</v>
      </c>
      <c r="I746" s="84">
        <v>0.2</v>
      </c>
      <c r="J746" s="53">
        <v>0.14632917136218179</v>
      </c>
      <c r="K746" s="78">
        <v>731.64585681090898</v>
      </c>
      <c r="L746" s="84">
        <v>0.115</v>
      </c>
      <c r="M746" s="53">
        <v>8.5056449380924062E-2</v>
      </c>
      <c r="N746" s="78">
        <v>739.62129896455701</v>
      </c>
    </row>
    <row r="747" spans="1:14" ht="19.5" customHeight="1" outlineLevel="1" x14ac:dyDescent="0.2">
      <c r="A747" s="101">
        <v>21</v>
      </c>
      <c r="B747" s="81" t="s">
        <v>28</v>
      </c>
      <c r="C747" s="84">
        <v>51.33</v>
      </c>
      <c r="D747" s="53">
        <v>58.862489966466569</v>
      </c>
      <c r="E747" s="78">
        <v>1146.7463465121093</v>
      </c>
      <c r="F747" s="84">
        <v>24.98</v>
      </c>
      <c r="G747" s="53">
        <v>30.762548980425535</v>
      </c>
      <c r="H747" s="78">
        <v>1231.4871489361703</v>
      </c>
      <c r="I747" s="84">
        <v>20.78</v>
      </c>
      <c r="J747" s="53">
        <v>23.755696000000007</v>
      </c>
      <c r="K747" s="78">
        <v>1143.2000000000003</v>
      </c>
      <c r="L747" s="84">
        <v>32.363333333333337</v>
      </c>
      <c r="M747" s="53">
        <v>37.793578315630704</v>
      </c>
      <c r="N747" s="78">
        <v>1167.7900396219188</v>
      </c>
    </row>
    <row r="748" spans="1:14" ht="19.5" customHeight="1" outlineLevel="1" x14ac:dyDescent="0.2">
      <c r="A748" s="101">
        <v>22</v>
      </c>
      <c r="B748" s="81" t="s">
        <v>29</v>
      </c>
      <c r="C748" s="84">
        <v>1.5</v>
      </c>
      <c r="D748" s="53">
        <v>1.0687337500879743</v>
      </c>
      <c r="E748" s="78">
        <v>712.4891667253163</v>
      </c>
      <c r="F748" s="84">
        <v>2.1800000000000002</v>
      </c>
      <c r="G748" s="53">
        <v>1.7282841910424203</v>
      </c>
      <c r="H748" s="78">
        <v>792.79091332221105</v>
      </c>
      <c r="I748" s="84">
        <v>1.05</v>
      </c>
      <c r="J748" s="53">
        <v>0.76822814965145447</v>
      </c>
      <c r="K748" s="78">
        <v>731.64585681090898</v>
      </c>
      <c r="L748" s="84">
        <v>1.5766666666666669</v>
      </c>
      <c r="M748" s="53">
        <v>1.1884153635939496</v>
      </c>
      <c r="N748" s="78">
        <v>753.75181623294895</v>
      </c>
    </row>
    <row r="749" spans="1:14" ht="19.5" customHeight="1" outlineLevel="1" x14ac:dyDescent="0.2">
      <c r="A749" s="101">
        <v>23</v>
      </c>
      <c r="B749" s="81" t="s">
        <v>30</v>
      </c>
      <c r="C749" s="84">
        <v>3.65</v>
      </c>
      <c r="D749" s="53">
        <v>2.6005854585474042</v>
      </c>
      <c r="E749" s="78">
        <v>712.4891667253163</v>
      </c>
      <c r="F749" s="84">
        <v>3.18</v>
      </c>
      <c r="G749" s="53">
        <v>2.5210751043646313</v>
      </c>
      <c r="H749" s="78">
        <v>792.79091332221105</v>
      </c>
      <c r="I749" s="84">
        <v>0.97</v>
      </c>
      <c r="J749" s="53">
        <v>0.70969648110658168</v>
      </c>
      <c r="K749" s="78">
        <v>731.64585681090898</v>
      </c>
      <c r="L749" s="84">
        <v>2.6</v>
      </c>
      <c r="M749" s="53">
        <v>1.9437856813395389</v>
      </c>
      <c r="N749" s="78">
        <v>747.60987743828423</v>
      </c>
    </row>
    <row r="750" spans="1:14" ht="19.5" customHeight="1" outlineLevel="1" x14ac:dyDescent="0.2">
      <c r="A750" s="101">
        <v>24</v>
      </c>
      <c r="B750" s="81" t="s">
        <v>31</v>
      </c>
      <c r="C750" s="84">
        <v>0</v>
      </c>
      <c r="D750" s="53">
        <v>0</v>
      </c>
      <c r="E750" s="78">
        <v>0</v>
      </c>
      <c r="F750" s="84">
        <v>0.4</v>
      </c>
      <c r="G750" s="53">
        <v>0.31711636532888443</v>
      </c>
      <c r="H750" s="78">
        <v>792.79091332221105</v>
      </c>
      <c r="I750" s="84">
        <v>0</v>
      </c>
      <c r="J750" s="53">
        <v>0</v>
      </c>
      <c r="K750" s="78">
        <v>0</v>
      </c>
      <c r="L750" s="84">
        <v>0.4</v>
      </c>
      <c r="M750" s="53">
        <v>0.31711636532888443</v>
      </c>
      <c r="N750" s="78">
        <v>792.79091332221105</v>
      </c>
    </row>
    <row r="751" spans="1:14" ht="19.5" customHeight="1" outlineLevel="1" x14ac:dyDescent="0.2">
      <c r="A751" s="101">
        <v>25</v>
      </c>
      <c r="B751" s="81" t="s">
        <v>32</v>
      </c>
      <c r="C751" s="84">
        <v>0</v>
      </c>
      <c r="D751" s="53">
        <v>0</v>
      </c>
      <c r="E751" s="78">
        <v>0</v>
      </c>
      <c r="F751" s="84">
        <v>0</v>
      </c>
      <c r="G751" s="53">
        <v>0</v>
      </c>
      <c r="H751" s="78">
        <v>0</v>
      </c>
      <c r="I751" s="84">
        <v>0</v>
      </c>
      <c r="J751" s="53">
        <v>0</v>
      </c>
      <c r="K751" s="78">
        <v>0</v>
      </c>
      <c r="L751" s="84">
        <v>0</v>
      </c>
      <c r="M751" s="53">
        <v>0</v>
      </c>
      <c r="N751" s="78">
        <v>0</v>
      </c>
    </row>
    <row r="752" spans="1:14" ht="19.5" customHeight="1" outlineLevel="1" x14ac:dyDescent="0.2">
      <c r="A752" s="101">
        <v>26</v>
      </c>
      <c r="B752" s="81" t="s">
        <v>33</v>
      </c>
      <c r="C752" s="84">
        <v>0</v>
      </c>
      <c r="D752" s="53">
        <v>0</v>
      </c>
      <c r="E752" s="78">
        <v>0</v>
      </c>
      <c r="F752" s="84">
        <v>0.2</v>
      </c>
      <c r="G752" s="53">
        <v>0.15855818266444222</v>
      </c>
      <c r="H752" s="78">
        <v>792.79091332221105</v>
      </c>
      <c r="I752" s="84">
        <v>0</v>
      </c>
      <c r="J752" s="53">
        <v>0</v>
      </c>
      <c r="K752" s="78">
        <v>0</v>
      </c>
      <c r="L752" s="84">
        <v>0.2</v>
      </c>
      <c r="M752" s="53">
        <v>0.15855818266444222</v>
      </c>
      <c r="N752" s="78">
        <v>792.79091332221105</v>
      </c>
    </row>
    <row r="753" spans="1:14" ht="19.5" customHeight="1" outlineLevel="1" x14ac:dyDescent="0.2">
      <c r="A753" s="101">
        <v>27</v>
      </c>
      <c r="B753" s="81" t="s">
        <v>34</v>
      </c>
      <c r="C753" s="84">
        <v>0</v>
      </c>
      <c r="D753" s="53">
        <v>0</v>
      </c>
      <c r="E753" s="78">
        <v>0</v>
      </c>
      <c r="F753" s="84">
        <v>0</v>
      </c>
      <c r="G753" s="53">
        <v>0</v>
      </c>
      <c r="H753" s="78">
        <v>0</v>
      </c>
      <c r="I753" s="84">
        <v>0</v>
      </c>
      <c r="J753" s="53">
        <v>0</v>
      </c>
      <c r="K753" s="78">
        <v>0</v>
      </c>
      <c r="L753" s="84">
        <v>0</v>
      </c>
      <c r="M753" s="53">
        <v>0</v>
      </c>
      <c r="N753" s="78">
        <v>0</v>
      </c>
    </row>
    <row r="754" spans="1:14" ht="19.5" customHeight="1" outlineLevel="1" x14ac:dyDescent="0.2">
      <c r="A754" s="101">
        <v>28</v>
      </c>
      <c r="B754" s="81" t="s">
        <v>35</v>
      </c>
      <c r="C754" s="84">
        <v>0</v>
      </c>
      <c r="D754" s="53">
        <v>0</v>
      </c>
      <c r="E754" s="78">
        <v>0</v>
      </c>
      <c r="F754" s="84">
        <v>0</v>
      </c>
      <c r="G754" s="53">
        <v>0</v>
      </c>
      <c r="H754" s="78">
        <v>0</v>
      </c>
      <c r="I754" s="84">
        <v>0</v>
      </c>
      <c r="J754" s="53">
        <v>0</v>
      </c>
      <c r="K754" s="78">
        <v>0</v>
      </c>
      <c r="L754" s="84">
        <v>0</v>
      </c>
      <c r="M754" s="53">
        <v>0</v>
      </c>
      <c r="N754" s="78">
        <v>0</v>
      </c>
    </row>
    <row r="755" spans="1:14" ht="19.5" customHeight="1" outlineLevel="1" x14ac:dyDescent="0.2">
      <c r="A755" s="101">
        <v>29</v>
      </c>
      <c r="B755" s="81" t="s">
        <v>36</v>
      </c>
      <c r="C755" s="84">
        <v>0.21</v>
      </c>
      <c r="D755" s="53">
        <v>0.14962272501231641</v>
      </c>
      <c r="E755" s="78">
        <v>712.4891667253163</v>
      </c>
      <c r="F755" s="84">
        <v>0.27</v>
      </c>
      <c r="G755" s="53">
        <v>0.21405354659699699</v>
      </c>
      <c r="H755" s="78">
        <v>792.79091332221105</v>
      </c>
      <c r="I755" s="84">
        <v>0.02</v>
      </c>
      <c r="J755" s="53">
        <v>1.4632917136218181E-2</v>
      </c>
      <c r="K755" s="78">
        <v>731.64585681090898</v>
      </c>
      <c r="L755" s="84">
        <v>0.16666666666666666</v>
      </c>
      <c r="M755" s="53">
        <v>0.12610306291517717</v>
      </c>
      <c r="N755" s="78">
        <v>756.61837749106314</v>
      </c>
    </row>
    <row r="756" spans="1:14" ht="19.5" customHeight="1" outlineLevel="1" x14ac:dyDescent="0.2">
      <c r="A756" s="101">
        <v>30</v>
      </c>
      <c r="B756" s="81" t="s">
        <v>37</v>
      </c>
      <c r="C756" s="84">
        <v>0</v>
      </c>
      <c r="D756" s="53">
        <v>0</v>
      </c>
      <c r="E756" s="78">
        <v>0</v>
      </c>
      <c r="F756" s="84">
        <v>0</v>
      </c>
      <c r="G756" s="53">
        <v>0</v>
      </c>
      <c r="H756" s="78">
        <v>0</v>
      </c>
      <c r="I756" s="84">
        <v>0</v>
      </c>
      <c r="J756" s="53">
        <v>0</v>
      </c>
      <c r="K756" s="78">
        <v>0</v>
      </c>
      <c r="L756" s="84">
        <v>0</v>
      </c>
      <c r="M756" s="53">
        <v>0</v>
      </c>
      <c r="N756" s="78">
        <v>0</v>
      </c>
    </row>
    <row r="757" spans="1:14" ht="19.5" customHeight="1" outlineLevel="1" x14ac:dyDescent="0.2">
      <c r="A757" s="101">
        <v>31</v>
      </c>
      <c r="B757" s="81" t="s">
        <v>38</v>
      </c>
      <c r="C757" s="84">
        <v>0</v>
      </c>
      <c r="D757" s="53">
        <v>0</v>
      </c>
      <c r="E757" s="78">
        <v>0</v>
      </c>
      <c r="F757" s="84">
        <v>0</v>
      </c>
      <c r="G757" s="53">
        <v>0</v>
      </c>
      <c r="H757" s="78">
        <v>0</v>
      </c>
      <c r="I757" s="84">
        <v>0</v>
      </c>
      <c r="J757" s="53">
        <v>0</v>
      </c>
      <c r="K757" s="78">
        <v>0</v>
      </c>
      <c r="L757" s="84">
        <v>0</v>
      </c>
      <c r="M757" s="53">
        <v>0</v>
      </c>
      <c r="N757" s="78">
        <v>0</v>
      </c>
    </row>
    <row r="758" spans="1:14" ht="19.5" customHeight="1" outlineLevel="1" x14ac:dyDescent="0.2">
      <c r="A758" s="101">
        <v>32</v>
      </c>
      <c r="B758" s="81" t="s">
        <v>39</v>
      </c>
      <c r="C758" s="84">
        <v>0</v>
      </c>
      <c r="D758" s="53">
        <v>0</v>
      </c>
      <c r="E758" s="78">
        <v>0</v>
      </c>
      <c r="F758" s="84">
        <v>0</v>
      </c>
      <c r="G758" s="53">
        <v>0</v>
      </c>
      <c r="H758" s="78">
        <v>0</v>
      </c>
      <c r="I758" s="84">
        <v>0</v>
      </c>
      <c r="J758" s="53">
        <v>0</v>
      </c>
      <c r="K758" s="78">
        <v>0</v>
      </c>
      <c r="L758" s="84">
        <v>0</v>
      </c>
      <c r="M758" s="53">
        <v>0</v>
      </c>
      <c r="N758" s="78">
        <v>0</v>
      </c>
    </row>
    <row r="759" spans="1:14" ht="19.5" customHeight="1" outlineLevel="1" thickBot="1" x14ac:dyDescent="0.25">
      <c r="A759" s="102">
        <v>33</v>
      </c>
      <c r="B759" s="91" t="s">
        <v>40</v>
      </c>
      <c r="C759" s="92">
        <v>0</v>
      </c>
      <c r="D759" s="93">
        <v>0</v>
      </c>
      <c r="E759" s="94">
        <v>0</v>
      </c>
      <c r="F759" s="92">
        <v>0</v>
      </c>
      <c r="G759" s="93">
        <v>0</v>
      </c>
      <c r="H759" s="94">
        <v>0</v>
      </c>
      <c r="I759" s="92">
        <v>0</v>
      </c>
      <c r="J759" s="93">
        <v>0</v>
      </c>
      <c r="K759" s="94">
        <v>0</v>
      </c>
      <c r="L759" s="92">
        <v>0</v>
      </c>
      <c r="M759" s="93">
        <v>0</v>
      </c>
      <c r="N759" s="94">
        <v>0</v>
      </c>
    </row>
    <row r="760" spans="1:14" ht="19.5" customHeight="1" thickBot="1" x14ac:dyDescent="0.25">
      <c r="A760" s="151" t="s">
        <v>41</v>
      </c>
      <c r="B760" s="152"/>
      <c r="C760" s="96">
        <v>1040.4100000000001</v>
      </c>
      <c r="D760" s="97">
        <v>741.28085395268397</v>
      </c>
      <c r="E760" s="98">
        <v>712.48916672531402</v>
      </c>
      <c r="F760" s="96">
        <v>1032.1000000000001</v>
      </c>
      <c r="G760" s="97">
        <v>818.23950163985819</v>
      </c>
      <c r="H760" s="98">
        <v>792.79091332221503</v>
      </c>
      <c r="I760" s="96">
        <v>852.26</v>
      </c>
      <c r="J760" s="97">
        <v>623.55249792565542</v>
      </c>
      <c r="K760" s="98">
        <v>731.6458568108975</v>
      </c>
      <c r="L760" s="96">
        <v>974.92333333333352</v>
      </c>
      <c r="M760" s="97">
        <v>727.69095117273264</v>
      </c>
      <c r="N760" s="98">
        <v>746.40838545191502</v>
      </c>
    </row>
    <row r="761" spans="1:14" ht="34.5" customHeight="1" x14ac:dyDescent="0.2">
      <c r="A761" s="153" t="s">
        <v>247</v>
      </c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</row>
    <row r="762" spans="1:14" ht="19.5" customHeight="1" thickBot="1" x14ac:dyDescent="0.25">
      <c r="A762" s="50"/>
      <c r="B762" s="141" t="s">
        <v>62</v>
      </c>
      <c r="C762" s="52"/>
      <c r="D762" s="52"/>
      <c r="E762" s="52"/>
      <c r="F762" s="52"/>
      <c r="G762" s="52"/>
      <c r="H762" s="52"/>
      <c r="I762" s="52"/>
      <c r="J762" s="52"/>
      <c r="K762" s="155" t="s">
        <v>1</v>
      </c>
      <c r="L762" s="154"/>
      <c r="M762" s="154"/>
      <c r="N762" s="154"/>
    </row>
    <row r="763" spans="1:14" ht="19.5" customHeight="1" x14ac:dyDescent="0.2">
      <c r="A763" s="156" t="s">
        <v>2</v>
      </c>
      <c r="B763" s="158" t="s">
        <v>3</v>
      </c>
      <c r="C763" s="148" t="s">
        <v>243</v>
      </c>
      <c r="D763" s="149"/>
      <c r="E763" s="150"/>
      <c r="F763" s="148" t="s">
        <v>244</v>
      </c>
      <c r="G763" s="149"/>
      <c r="H763" s="150"/>
      <c r="I763" s="148" t="s">
        <v>246</v>
      </c>
      <c r="J763" s="149"/>
      <c r="K763" s="150"/>
      <c r="L763" s="148" t="s">
        <v>4</v>
      </c>
      <c r="M763" s="149"/>
      <c r="N763" s="150"/>
    </row>
    <row r="764" spans="1:14" ht="19.5" customHeight="1" thickBot="1" x14ac:dyDescent="0.25">
      <c r="A764" s="157"/>
      <c r="B764" s="159"/>
      <c r="C764" s="85" t="s">
        <v>5</v>
      </c>
      <c r="D764" s="79" t="s">
        <v>6</v>
      </c>
      <c r="E764" s="80" t="s">
        <v>7</v>
      </c>
      <c r="F764" s="85" t="s">
        <v>5</v>
      </c>
      <c r="G764" s="79" t="s">
        <v>6</v>
      </c>
      <c r="H764" s="80" t="s">
        <v>7</v>
      </c>
      <c r="I764" s="85" t="s">
        <v>5</v>
      </c>
      <c r="J764" s="79" t="s">
        <v>6</v>
      </c>
      <c r="K764" s="80" t="s">
        <v>7</v>
      </c>
      <c r="L764" s="85" t="s">
        <v>5</v>
      </c>
      <c r="M764" s="79" t="s">
        <v>6</v>
      </c>
      <c r="N764" s="80" t="s">
        <v>7</v>
      </c>
    </row>
    <row r="765" spans="1:14" ht="19.5" customHeight="1" outlineLevel="1" x14ac:dyDescent="0.2">
      <c r="A765" s="100">
        <v>1</v>
      </c>
      <c r="B765" s="86" t="s">
        <v>8</v>
      </c>
      <c r="C765" s="87">
        <v>0</v>
      </c>
      <c r="D765" s="88">
        <v>0</v>
      </c>
      <c r="E765" s="89">
        <v>0</v>
      </c>
      <c r="F765" s="87">
        <v>0</v>
      </c>
      <c r="G765" s="88">
        <v>0</v>
      </c>
      <c r="H765" s="89">
        <v>0</v>
      </c>
      <c r="I765" s="87">
        <v>0</v>
      </c>
      <c r="J765" s="88">
        <v>0</v>
      </c>
      <c r="K765" s="89">
        <v>0</v>
      </c>
      <c r="L765" s="87">
        <v>0</v>
      </c>
      <c r="M765" s="88">
        <v>0</v>
      </c>
      <c r="N765" s="89">
        <v>0</v>
      </c>
    </row>
    <row r="766" spans="1:14" ht="19.5" customHeight="1" outlineLevel="1" x14ac:dyDescent="0.2">
      <c r="A766" s="101">
        <v>2</v>
      </c>
      <c r="B766" s="81" t="s">
        <v>9</v>
      </c>
      <c r="C766" s="84">
        <v>0</v>
      </c>
      <c r="D766" s="53">
        <v>0</v>
      </c>
      <c r="E766" s="78">
        <v>0</v>
      </c>
      <c r="F766" s="84">
        <v>0</v>
      </c>
      <c r="G766" s="53">
        <v>0</v>
      </c>
      <c r="H766" s="78">
        <v>0</v>
      </c>
      <c r="I766" s="84">
        <v>0</v>
      </c>
      <c r="J766" s="53">
        <v>0</v>
      </c>
      <c r="K766" s="78">
        <v>0</v>
      </c>
      <c r="L766" s="84">
        <v>0</v>
      </c>
      <c r="M766" s="53">
        <v>0</v>
      </c>
      <c r="N766" s="78">
        <v>0</v>
      </c>
    </row>
    <row r="767" spans="1:14" ht="19.5" customHeight="1" outlineLevel="1" x14ac:dyDescent="0.2">
      <c r="A767" s="101">
        <v>3</v>
      </c>
      <c r="B767" s="81" t="s">
        <v>10</v>
      </c>
      <c r="C767" s="84">
        <v>0</v>
      </c>
      <c r="D767" s="53">
        <v>0</v>
      </c>
      <c r="E767" s="78">
        <v>0</v>
      </c>
      <c r="F767" s="84">
        <v>0</v>
      </c>
      <c r="G767" s="53">
        <v>0</v>
      </c>
      <c r="H767" s="78">
        <v>0</v>
      </c>
      <c r="I767" s="84">
        <v>0</v>
      </c>
      <c r="J767" s="53">
        <v>0</v>
      </c>
      <c r="K767" s="78">
        <v>0</v>
      </c>
      <c r="L767" s="84">
        <v>0</v>
      </c>
      <c r="M767" s="53">
        <v>0</v>
      </c>
      <c r="N767" s="78">
        <v>0</v>
      </c>
    </row>
    <row r="768" spans="1:14" ht="19.5" customHeight="1" outlineLevel="1" x14ac:dyDescent="0.2">
      <c r="A768" s="101">
        <v>4</v>
      </c>
      <c r="B768" s="81" t="s">
        <v>11</v>
      </c>
      <c r="C768" s="84">
        <v>0</v>
      </c>
      <c r="D768" s="53">
        <v>0</v>
      </c>
      <c r="E768" s="78">
        <v>0</v>
      </c>
      <c r="F768" s="84">
        <v>0</v>
      </c>
      <c r="G768" s="53">
        <v>0</v>
      </c>
      <c r="H768" s="78">
        <v>0</v>
      </c>
      <c r="I768" s="84">
        <v>0</v>
      </c>
      <c r="J768" s="53">
        <v>0</v>
      </c>
      <c r="K768" s="78">
        <v>0</v>
      </c>
      <c r="L768" s="84">
        <v>0</v>
      </c>
      <c r="M768" s="53">
        <v>0</v>
      </c>
      <c r="N768" s="78">
        <v>0</v>
      </c>
    </row>
    <row r="769" spans="1:14" ht="19.5" customHeight="1" outlineLevel="1" x14ac:dyDescent="0.2">
      <c r="A769" s="101">
        <v>5</v>
      </c>
      <c r="B769" s="81" t="s">
        <v>12</v>
      </c>
      <c r="C769" s="84">
        <v>0</v>
      </c>
      <c r="D769" s="53">
        <v>0</v>
      </c>
      <c r="E769" s="78">
        <v>0</v>
      </c>
      <c r="F769" s="84">
        <v>0</v>
      </c>
      <c r="G769" s="53">
        <v>0</v>
      </c>
      <c r="H769" s="78">
        <v>0</v>
      </c>
      <c r="I769" s="84">
        <v>0</v>
      </c>
      <c r="J769" s="53">
        <v>0</v>
      </c>
      <c r="K769" s="78">
        <v>0</v>
      </c>
      <c r="L769" s="84">
        <v>0</v>
      </c>
      <c r="M769" s="53">
        <v>0</v>
      </c>
      <c r="N769" s="78">
        <v>0</v>
      </c>
    </row>
    <row r="770" spans="1:14" ht="19.5" customHeight="1" outlineLevel="1" x14ac:dyDescent="0.2">
      <c r="A770" s="101">
        <v>6</v>
      </c>
      <c r="B770" s="81" t="s">
        <v>13</v>
      </c>
      <c r="C770" s="84">
        <v>0</v>
      </c>
      <c r="D770" s="53">
        <v>0</v>
      </c>
      <c r="E770" s="78">
        <v>0</v>
      </c>
      <c r="F770" s="84">
        <v>0</v>
      </c>
      <c r="G770" s="53">
        <v>0</v>
      </c>
      <c r="H770" s="78">
        <v>0</v>
      </c>
      <c r="I770" s="84">
        <v>0</v>
      </c>
      <c r="J770" s="53">
        <v>0</v>
      </c>
      <c r="K770" s="78">
        <v>0</v>
      </c>
      <c r="L770" s="84">
        <v>0</v>
      </c>
      <c r="M770" s="53">
        <v>0</v>
      </c>
      <c r="N770" s="78">
        <v>0</v>
      </c>
    </row>
    <row r="771" spans="1:14" ht="19.5" customHeight="1" outlineLevel="1" x14ac:dyDescent="0.2">
      <c r="A771" s="101">
        <v>7</v>
      </c>
      <c r="B771" s="81" t="s">
        <v>14</v>
      </c>
      <c r="C771" s="84">
        <v>0</v>
      </c>
      <c r="D771" s="53">
        <v>0</v>
      </c>
      <c r="E771" s="78">
        <v>0</v>
      </c>
      <c r="F771" s="84">
        <v>0</v>
      </c>
      <c r="G771" s="53">
        <v>0</v>
      </c>
      <c r="H771" s="78">
        <v>0</v>
      </c>
      <c r="I771" s="84">
        <v>0</v>
      </c>
      <c r="J771" s="53">
        <v>0</v>
      </c>
      <c r="K771" s="78">
        <v>0</v>
      </c>
      <c r="L771" s="84">
        <v>0</v>
      </c>
      <c r="M771" s="53">
        <v>0</v>
      </c>
      <c r="N771" s="78">
        <v>0</v>
      </c>
    </row>
    <row r="772" spans="1:14" ht="19.5" customHeight="1" outlineLevel="1" x14ac:dyDescent="0.2">
      <c r="A772" s="101">
        <v>8</v>
      </c>
      <c r="B772" s="81" t="s">
        <v>15</v>
      </c>
      <c r="C772" s="84">
        <v>0</v>
      </c>
      <c r="D772" s="53">
        <v>0</v>
      </c>
      <c r="E772" s="78">
        <v>0</v>
      </c>
      <c r="F772" s="84">
        <v>0</v>
      </c>
      <c r="G772" s="53">
        <v>0</v>
      </c>
      <c r="H772" s="78">
        <v>0</v>
      </c>
      <c r="I772" s="84">
        <v>0</v>
      </c>
      <c r="J772" s="53">
        <v>0</v>
      </c>
      <c r="K772" s="78">
        <v>0</v>
      </c>
      <c r="L772" s="84">
        <v>0</v>
      </c>
      <c r="M772" s="53">
        <v>0</v>
      </c>
      <c r="N772" s="78">
        <v>0</v>
      </c>
    </row>
    <row r="773" spans="1:14" ht="19.5" customHeight="1" outlineLevel="1" x14ac:dyDescent="0.2">
      <c r="A773" s="101">
        <v>9</v>
      </c>
      <c r="B773" s="81" t="s">
        <v>16</v>
      </c>
      <c r="C773" s="84">
        <v>0</v>
      </c>
      <c r="D773" s="53">
        <v>0</v>
      </c>
      <c r="E773" s="78">
        <v>0</v>
      </c>
      <c r="F773" s="84">
        <v>0</v>
      </c>
      <c r="G773" s="53">
        <v>0</v>
      </c>
      <c r="H773" s="78">
        <v>0</v>
      </c>
      <c r="I773" s="84">
        <v>0</v>
      </c>
      <c r="J773" s="53">
        <v>0</v>
      </c>
      <c r="K773" s="78">
        <v>0</v>
      </c>
      <c r="L773" s="84">
        <v>0</v>
      </c>
      <c r="M773" s="53">
        <v>0</v>
      </c>
      <c r="N773" s="78">
        <v>0</v>
      </c>
    </row>
    <row r="774" spans="1:14" ht="19.5" customHeight="1" outlineLevel="1" x14ac:dyDescent="0.2">
      <c r="A774" s="101">
        <v>10</v>
      </c>
      <c r="B774" s="81" t="s">
        <v>17</v>
      </c>
      <c r="C774" s="84">
        <v>0</v>
      </c>
      <c r="D774" s="53">
        <v>0</v>
      </c>
      <c r="E774" s="78">
        <v>0</v>
      </c>
      <c r="F774" s="84">
        <v>0</v>
      </c>
      <c r="G774" s="53">
        <v>0</v>
      </c>
      <c r="H774" s="78">
        <v>0</v>
      </c>
      <c r="I774" s="84">
        <v>0</v>
      </c>
      <c r="J774" s="53">
        <v>0</v>
      </c>
      <c r="K774" s="78">
        <v>0</v>
      </c>
      <c r="L774" s="84">
        <v>0</v>
      </c>
      <c r="M774" s="53">
        <v>0</v>
      </c>
      <c r="N774" s="78">
        <v>0</v>
      </c>
    </row>
    <row r="775" spans="1:14" ht="19.5" customHeight="1" outlineLevel="1" x14ac:dyDescent="0.2">
      <c r="A775" s="101">
        <v>11</v>
      </c>
      <c r="B775" s="81" t="s">
        <v>18</v>
      </c>
      <c r="C775" s="84">
        <v>0</v>
      </c>
      <c r="D775" s="53">
        <v>0</v>
      </c>
      <c r="E775" s="78">
        <v>0</v>
      </c>
      <c r="F775" s="84">
        <v>0</v>
      </c>
      <c r="G775" s="53">
        <v>0</v>
      </c>
      <c r="H775" s="78">
        <v>0</v>
      </c>
      <c r="I775" s="84">
        <v>0</v>
      </c>
      <c r="J775" s="53">
        <v>0</v>
      </c>
      <c r="K775" s="78">
        <v>0</v>
      </c>
      <c r="L775" s="84">
        <v>0</v>
      </c>
      <c r="M775" s="53">
        <v>0</v>
      </c>
      <c r="N775" s="78">
        <v>0</v>
      </c>
    </row>
    <row r="776" spans="1:14" ht="19.5" customHeight="1" outlineLevel="1" x14ac:dyDescent="0.2">
      <c r="A776" s="101">
        <v>12</v>
      </c>
      <c r="B776" s="81" t="s">
        <v>19</v>
      </c>
      <c r="C776" s="84">
        <v>0</v>
      </c>
      <c r="D776" s="53">
        <v>0</v>
      </c>
      <c r="E776" s="78">
        <v>0</v>
      </c>
      <c r="F776" s="84">
        <v>0</v>
      </c>
      <c r="G776" s="53">
        <v>0</v>
      </c>
      <c r="H776" s="78">
        <v>0</v>
      </c>
      <c r="I776" s="84">
        <v>0</v>
      </c>
      <c r="J776" s="53">
        <v>0</v>
      </c>
      <c r="K776" s="78">
        <v>0</v>
      </c>
      <c r="L776" s="84">
        <v>0</v>
      </c>
      <c r="M776" s="53">
        <v>0</v>
      </c>
      <c r="N776" s="78">
        <v>0</v>
      </c>
    </row>
    <row r="777" spans="1:14" ht="19.5" customHeight="1" outlineLevel="1" x14ac:dyDescent="0.2">
      <c r="A777" s="101">
        <v>13</v>
      </c>
      <c r="B777" s="81" t="s">
        <v>20</v>
      </c>
      <c r="C777" s="84">
        <v>0</v>
      </c>
      <c r="D777" s="53">
        <v>0</v>
      </c>
      <c r="E777" s="78">
        <v>0</v>
      </c>
      <c r="F777" s="84">
        <v>0</v>
      </c>
      <c r="G777" s="53">
        <v>0</v>
      </c>
      <c r="H777" s="78">
        <v>0</v>
      </c>
      <c r="I777" s="84">
        <v>0</v>
      </c>
      <c r="J777" s="53">
        <v>0</v>
      </c>
      <c r="K777" s="78">
        <v>0</v>
      </c>
      <c r="L777" s="84">
        <v>0</v>
      </c>
      <c r="M777" s="53">
        <v>0</v>
      </c>
      <c r="N777" s="78">
        <v>0</v>
      </c>
    </row>
    <row r="778" spans="1:14" ht="19.5" customHeight="1" outlineLevel="1" x14ac:dyDescent="0.2">
      <c r="A778" s="101">
        <v>14</v>
      </c>
      <c r="B778" s="81" t="s">
        <v>21</v>
      </c>
      <c r="C778" s="84">
        <v>0</v>
      </c>
      <c r="D778" s="53">
        <v>0</v>
      </c>
      <c r="E778" s="78">
        <v>0</v>
      </c>
      <c r="F778" s="84">
        <v>0</v>
      </c>
      <c r="G778" s="53">
        <v>0</v>
      </c>
      <c r="H778" s="78">
        <v>0</v>
      </c>
      <c r="I778" s="84">
        <v>0</v>
      </c>
      <c r="J778" s="53">
        <v>0</v>
      </c>
      <c r="K778" s="78">
        <v>0</v>
      </c>
      <c r="L778" s="84">
        <v>0</v>
      </c>
      <c r="M778" s="53">
        <v>0</v>
      </c>
      <c r="N778" s="78">
        <v>0</v>
      </c>
    </row>
    <row r="779" spans="1:14" ht="19.5" customHeight="1" outlineLevel="1" x14ac:dyDescent="0.2">
      <c r="A779" s="101">
        <v>15</v>
      </c>
      <c r="B779" s="81" t="s">
        <v>22</v>
      </c>
      <c r="C779" s="84">
        <v>0</v>
      </c>
      <c r="D779" s="53">
        <v>0</v>
      </c>
      <c r="E779" s="78">
        <v>0</v>
      </c>
      <c r="F779" s="84">
        <v>0</v>
      </c>
      <c r="G779" s="53">
        <v>0</v>
      </c>
      <c r="H779" s="78">
        <v>0</v>
      </c>
      <c r="I779" s="84">
        <v>0</v>
      </c>
      <c r="J779" s="53">
        <v>0</v>
      </c>
      <c r="K779" s="78">
        <v>0</v>
      </c>
      <c r="L779" s="84">
        <v>0</v>
      </c>
      <c r="M779" s="53">
        <v>0</v>
      </c>
      <c r="N779" s="78">
        <v>0</v>
      </c>
    </row>
    <row r="780" spans="1:14" ht="19.5" customHeight="1" outlineLevel="1" x14ac:dyDescent="0.2">
      <c r="A780" s="101">
        <v>16</v>
      </c>
      <c r="B780" s="81" t="s">
        <v>23</v>
      </c>
      <c r="C780" s="84">
        <v>0</v>
      </c>
      <c r="D780" s="53">
        <v>0</v>
      </c>
      <c r="E780" s="78">
        <v>0</v>
      </c>
      <c r="F780" s="84">
        <v>0</v>
      </c>
      <c r="G780" s="53">
        <v>0</v>
      </c>
      <c r="H780" s="78">
        <v>0</v>
      </c>
      <c r="I780" s="84">
        <v>0</v>
      </c>
      <c r="J780" s="53">
        <v>0</v>
      </c>
      <c r="K780" s="78">
        <v>0</v>
      </c>
      <c r="L780" s="84">
        <v>0</v>
      </c>
      <c r="M780" s="53">
        <v>0</v>
      </c>
      <c r="N780" s="78">
        <v>0</v>
      </c>
    </row>
    <row r="781" spans="1:14" ht="19.5" customHeight="1" outlineLevel="1" x14ac:dyDescent="0.2">
      <c r="A781" s="101">
        <v>17</v>
      </c>
      <c r="B781" s="81" t="s">
        <v>24</v>
      </c>
      <c r="C781" s="84">
        <v>0</v>
      </c>
      <c r="D781" s="53">
        <v>0</v>
      </c>
      <c r="E781" s="78">
        <v>0</v>
      </c>
      <c r="F781" s="84">
        <v>0</v>
      </c>
      <c r="G781" s="53">
        <v>0</v>
      </c>
      <c r="H781" s="78">
        <v>0</v>
      </c>
      <c r="I781" s="84">
        <v>0</v>
      </c>
      <c r="J781" s="53">
        <v>0</v>
      </c>
      <c r="K781" s="78">
        <v>0</v>
      </c>
      <c r="L781" s="84">
        <v>0</v>
      </c>
      <c r="M781" s="53">
        <v>0</v>
      </c>
      <c r="N781" s="78">
        <v>0</v>
      </c>
    </row>
    <row r="782" spans="1:14" ht="19.5" customHeight="1" outlineLevel="1" x14ac:dyDescent="0.2">
      <c r="A782" s="101">
        <v>18</v>
      </c>
      <c r="B782" s="81" t="s">
        <v>25</v>
      </c>
      <c r="C782" s="84">
        <v>0</v>
      </c>
      <c r="D782" s="53">
        <v>0</v>
      </c>
      <c r="E782" s="78">
        <v>0</v>
      </c>
      <c r="F782" s="84">
        <v>0</v>
      </c>
      <c r="G782" s="53">
        <v>0</v>
      </c>
      <c r="H782" s="78">
        <v>0</v>
      </c>
      <c r="I782" s="84">
        <v>0</v>
      </c>
      <c r="J782" s="53">
        <v>0</v>
      </c>
      <c r="K782" s="78">
        <v>0</v>
      </c>
      <c r="L782" s="84">
        <v>0</v>
      </c>
      <c r="M782" s="53">
        <v>0</v>
      </c>
      <c r="N782" s="78">
        <v>0</v>
      </c>
    </row>
    <row r="783" spans="1:14" ht="19.5" customHeight="1" outlineLevel="1" x14ac:dyDescent="0.2">
      <c r="A783" s="101">
        <v>19</v>
      </c>
      <c r="B783" s="81" t="s">
        <v>26</v>
      </c>
      <c r="C783" s="84">
        <v>0</v>
      </c>
      <c r="D783" s="53">
        <v>0</v>
      </c>
      <c r="E783" s="78">
        <v>0</v>
      </c>
      <c r="F783" s="84">
        <v>0</v>
      </c>
      <c r="G783" s="53">
        <v>0</v>
      </c>
      <c r="H783" s="78">
        <v>0</v>
      </c>
      <c r="I783" s="84">
        <v>0</v>
      </c>
      <c r="J783" s="53">
        <v>0</v>
      </c>
      <c r="K783" s="78">
        <v>0</v>
      </c>
      <c r="L783" s="84">
        <v>0</v>
      </c>
      <c r="M783" s="53">
        <v>0</v>
      </c>
      <c r="N783" s="78">
        <v>0</v>
      </c>
    </row>
    <row r="784" spans="1:14" ht="19.5" customHeight="1" outlineLevel="1" x14ac:dyDescent="0.2">
      <c r="A784" s="101">
        <v>20</v>
      </c>
      <c r="B784" s="81" t="s">
        <v>27</v>
      </c>
      <c r="C784" s="84">
        <v>0</v>
      </c>
      <c r="D784" s="53">
        <v>0</v>
      </c>
      <c r="E784" s="78">
        <v>0</v>
      </c>
      <c r="F784" s="84">
        <v>0</v>
      </c>
      <c r="G784" s="53">
        <v>0</v>
      </c>
      <c r="H784" s="78">
        <v>0</v>
      </c>
      <c r="I784" s="84">
        <v>0</v>
      </c>
      <c r="J784" s="53">
        <v>0</v>
      </c>
      <c r="K784" s="78">
        <v>0</v>
      </c>
      <c r="L784" s="84">
        <v>0</v>
      </c>
      <c r="M784" s="53">
        <v>0</v>
      </c>
      <c r="N784" s="78">
        <v>0</v>
      </c>
    </row>
    <row r="785" spans="1:14" ht="19.5" customHeight="1" outlineLevel="1" x14ac:dyDescent="0.2">
      <c r="A785" s="101">
        <v>21</v>
      </c>
      <c r="B785" s="81" t="s">
        <v>28</v>
      </c>
      <c r="C785" s="84">
        <v>0</v>
      </c>
      <c r="D785" s="53">
        <v>0</v>
      </c>
      <c r="E785" s="78">
        <v>0</v>
      </c>
      <c r="F785" s="84">
        <v>0</v>
      </c>
      <c r="G785" s="53">
        <v>0</v>
      </c>
      <c r="H785" s="78">
        <v>0</v>
      </c>
      <c r="I785" s="84">
        <v>0</v>
      </c>
      <c r="J785" s="53">
        <v>0</v>
      </c>
      <c r="K785" s="78">
        <v>0</v>
      </c>
      <c r="L785" s="84">
        <v>0</v>
      </c>
      <c r="M785" s="53">
        <v>0</v>
      </c>
      <c r="N785" s="78">
        <v>0</v>
      </c>
    </row>
    <row r="786" spans="1:14" ht="19.5" customHeight="1" outlineLevel="1" x14ac:dyDescent="0.2">
      <c r="A786" s="101">
        <v>22</v>
      </c>
      <c r="B786" s="81" t="s">
        <v>29</v>
      </c>
      <c r="C786" s="84">
        <v>0</v>
      </c>
      <c r="D786" s="53">
        <v>0</v>
      </c>
      <c r="E786" s="78">
        <v>0</v>
      </c>
      <c r="F786" s="84">
        <v>0</v>
      </c>
      <c r="G786" s="53">
        <v>0</v>
      </c>
      <c r="H786" s="78">
        <v>0</v>
      </c>
      <c r="I786" s="84">
        <v>0</v>
      </c>
      <c r="J786" s="53">
        <v>0</v>
      </c>
      <c r="K786" s="78">
        <v>0</v>
      </c>
      <c r="L786" s="84">
        <v>0</v>
      </c>
      <c r="M786" s="53">
        <v>0</v>
      </c>
      <c r="N786" s="78">
        <v>0</v>
      </c>
    </row>
    <row r="787" spans="1:14" ht="19.5" customHeight="1" outlineLevel="1" x14ac:dyDescent="0.2">
      <c r="A787" s="101">
        <v>23</v>
      </c>
      <c r="B787" s="81" t="s">
        <v>30</v>
      </c>
      <c r="C787" s="84">
        <v>0</v>
      </c>
      <c r="D787" s="53">
        <v>0</v>
      </c>
      <c r="E787" s="78">
        <v>0</v>
      </c>
      <c r="F787" s="84">
        <v>0</v>
      </c>
      <c r="G787" s="53">
        <v>0</v>
      </c>
      <c r="H787" s="78">
        <v>0</v>
      </c>
      <c r="I787" s="84">
        <v>0</v>
      </c>
      <c r="J787" s="53">
        <v>0</v>
      </c>
      <c r="K787" s="78">
        <v>0</v>
      </c>
      <c r="L787" s="84">
        <v>0</v>
      </c>
      <c r="M787" s="53">
        <v>0</v>
      </c>
      <c r="N787" s="78">
        <v>0</v>
      </c>
    </row>
    <row r="788" spans="1:14" ht="19.5" customHeight="1" outlineLevel="1" x14ac:dyDescent="0.2">
      <c r="A788" s="101">
        <v>24</v>
      </c>
      <c r="B788" s="81" t="s">
        <v>31</v>
      </c>
      <c r="C788" s="84">
        <v>0</v>
      </c>
      <c r="D788" s="53">
        <v>0</v>
      </c>
      <c r="E788" s="78">
        <v>0</v>
      </c>
      <c r="F788" s="84">
        <v>0</v>
      </c>
      <c r="G788" s="53">
        <v>0</v>
      </c>
      <c r="H788" s="78">
        <v>0</v>
      </c>
      <c r="I788" s="84">
        <v>0</v>
      </c>
      <c r="J788" s="53">
        <v>0</v>
      </c>
      <c r="K788" s="78">
        <v>0</v>
      </c>
      <c r="L788" s="84">
        <v>0</v>
      </c>
      <c r="M788" s="53">
        <v>0</v>
      </c>
      <c r="N788" s="78">
        <v>0</v>
      </c>
    </row>
    <row r="789" spans="1:14" ht="19.5" customHeight="1" outlineLevel="1" x14ac:dyDescent="0.2">
      <c r="A789" s="101">
        <v>25</v>
      </c>
      <c r="B789" s="81" t="s">
        <v>32</v>
      </c>
      <c r="C789" s="84">
        <v>0</v>
      </c>
      <c r="D789" s="53">
        <v>0</v>
      </c>
      <c r="E789" s="78">
        <v>0</v>
      </c>
      <c r="F789" s="84">
        <v>0</v>
      </c>
      <c r="G789" s="53">
        <v>0</v>
      </c>
      <c r="H789" s="78">
        <v>0</v>
      </c>
      <c r="I789" s="84">
        <v>0</v>
      </c>
      <c r="J789" s="53">
        <v>0</v>
      </c>
      <c r="K789" s="78">
        <v>0</v>
      </c>
      <c r="L789" s="84">
        <v>0</v>
      </c>
      <c r="M789" s="53">
        <v>0</v>
      </c>
      <c r="N789" s="78">
        <v>0</v>
      </c>
    </row>
    <row r="790" spans="1:14" ht="19.5" customHeight="1" outlineLevel="1" x14ac:dyDescent="0.2">
      <c r="A790" s="101">
        <v>26</v>
      </c>
      <c r="B790" s="81" t="s">
        <v>33</v>
      </c>
      <c r="C790" s="84">
        <v>0</v>
      </c>
      <c r="D790" s="53">
        <v>0</v>
      </c>
      <c r="E790" s="78">
        <v>0</v>
      </c>
      <c r="F790" s="84">
        <v>0</v>
      </c>
      <c r="G790" s="53">
        <v>0</v>
      </c>
      <c r="H790" s="78">
        <v>0</v>
      </c>
      <c r="I790" s="84">
        <v>0</v>
      </c>
      <c r="J790" s="53">
        <v>0</v>
      </c>
      <c r="K790" s="78">
        <v>0</v>
      </c>
      <c r="L790" s="84">
        <v>0</v>
      </c>
      <c r="M790" s="53">
        <v>0</v>
      </c>
      <c r="N790" s="78">
        <v>0</v>
      </c>
    </row>
    <row r="791" spans="1:14" ht="19.5" customHeight="1" outlineLevel="1" x14ac:dyDescent="0.2">
      <c r="A791" s="101">
        <v>27</v>
      </c>
      <c r="B791" s="81" t="s">
        <v>34</v>
      </c>
      <c r="C791" s="84">
        <v>0</v>
      </c>
      <c r="D791" s="53">
        <v>0</v>
      </c>
      <c r="E791" s="78">
        <v>0</v>
      </c>
      <c r="F791" s="84">
        <v>0</v>
      </c>
      <c r="G791" s="53">
        <v>0</v>
      </c>
      <c r="H791" s="78">
        <v>0</v>
      </c>
      <c r="I791" s="84">
        <v>0</v>
      </c>
      <c r="J791" s="53">
        <v>0</v>
      </c>
      <c r="K791" s="78">
        <v>0</v>
      </c>
      <c r="L791" s="84">
        <v>0</v>
      </c>
      <c r="M791" s="53">
        <v>0</v>
      </c>
      <c r="N791" s="78">
        <v>0</v>
      </c>
    </row>
    <row r="792" spans="1:14" ht="19.5" customHeight="1" outlineLevel="1" x14ac:dyDescent="0.2">
      <c r="A792" s="101">
        <v>28</v>
      </c>
      <c r="B792" s="81" t="s">
        <v>35</v>
      </c>
      <c r="C792" s="84">
        <v>0</v>
      </c>
      <c r="D792" s="53">
        <v>0</v>
      </c>
      <c r="E792" s="78">
        <v>0</v>
      </c>
      <c r="F792" s="84">
        <v>0</v>
      </c>
      <c r="G792" s="53">
        <v>0</v>
      </c>
      <c r="H792" s="78">
        <v>0</v>
      </c>
      <c r="I792" s="84">
        <v>0</v>
      </c>
      <c r="J792" s="53">
        <v>0</v>
      </c>
      <c r="K792" s="78">
        <v>0</v>
      </c>
      <c r="L792" s="84">
        <v>0</v>
      </c>
      <c r="M792" s="53">
        <v>0</v>
      </c>
      <c r="N792" s="78">
        <v>0</v>
      </c>
    </row>
    <row r="793" spans="1:14" ht="19.5" customHeight="1" outlineLevel="1" x14ac:dyDescent="0.2">
      <c r="A793" s="101">
        <v>29</v>
      </c>
      <c r="B793" s="81" t="s">
        <v>36</v>
      </c>
      <c r="C793" s="84">
        <v>0</v>
      </c>
      <c r="D793" s="53">
        <v>0</v>
      </c>
      <c r="E793" s="78">
        <v>0</v>
      </c>
      <c r="F793" s="84">
        <v>0</v>
      </c>
      <c r="G793" s="53">
        <v>0</v>
      </c>
      <c r="H793" s="78">
        <v>0</v>
      </c>
      <c r="I793" s="84">
        <v>0</v>
      </c>
      <c r="J793" s="53">
        <v>0</v>
      </c>
      <c r="K793" s="78">
        <v>0</v>
      </c>
      <c r="L793" s="84">
        <v>0</v>
      </c>
      <c r="M793" s="53">
        <v>0</v>
      </c>
      <c r="N793" s="78">
        <v>0</v>
      </c>
    </row>
    <row r="794" spans="1:14" ht="19.5" customHeight="1" outlineLevel="1" x14ac:dyDescent="0.2">
      <c r="A794" s="101">
        <v>30</v>
      </c>
      <c r="B794" s="81" t="s">
        <v>37</v>
      </c>
      <c r="C794" s="84">
        <v>0</v>
      </c>
      <c r="D794" s="53">
        <v>0</v>
      </c>
      <c r="E794" s="78">
        <v>0</v>
      </c>
      <c r="F794" s="84">
        <v>0</v>
      </c>
      <c r="G794" s="53">
        <v>0</v>
      </c>
      <c r="H794" s="78">
        <v>0</v>
      </c>
      <c r="I794" s="84">
        <v>0</v>
      </c>
      <c r="J794" s="53">
        <v>0</v>
      </c>
      <c r="K794" s="78">
        <v>0</v>
      </c>
      <c r="L794" s="84">
        <v>0</v>
      </c>
      <c r="M794" s="53">
        <v>0</v>
      </c>
      <c r="N794" s="78">
        <v>0</v>
      </c>
    </row>
    <row r="795" spans="1:14" ht="19.5" customHeight="1" outlineLevel="1" x14ac:dyDescent="0.2">
      <c r="A795" s="101">
        <v>31</v>
      </c>
      <c r="B795" s="81" t="s">
        <v>38</v>
      </c>
      <c r="C795" s="84">
        <v>0</v>
      </c>
      <c r="D795" s="53">
        <v>0</v>
      </c>
      <c r="E795" s="78">
        <v>0</v>
      </c>
      <c r="F795" s="84">
        <v>0</v>
      </c>
      <c r="G795" s="53">
        <v>0</v>
      </c>
      <c r="H795" s="78">
        <v>0</v>
      </c>
      <c r="I795" s="84">
        <v>0</v>
      </c>
      <c r="J795" s="53">
        <v>0</v>
      </c>
      <c r="K795" s="78">
        <v>0</v>
      </c>
      <c r="L795" s="84">
        <v>0</v>
      </c>
      <c r="M795" s="53">
        <v>0</v>
      </c>
      <c r="N795" s="78">
        <v>0</v>
      </c>
    </row>
    <row r="796" spans="1:14" ht="19.5" customHeight="1" outlineLevel="1" x14ac:dyDescent="0.2">
      <c r="A796" s="101">
        <v>32</v>
      </c>
      <c r="B796" s="81" t="s">
        <v>39</v>
      </c>
      <c r="C796" s="84">
        <v>0</v>
      </c>
      <c r="D796" s="53">
        <v>0</v>
      </c>
      <c r="E796" s="78">
        <v>0</v>
      </c>
      <c r="F796" s="84">
        <v>0</v>
      </c>
      <c r="G796" s="53">
        <v>0</v>
      </c>
      <c r="H796" s="78">
        <v>0</v>
      </c>
      <c r="I796" s="84">
        <v>0</v>
      </c>
      <c r="J796" s="53">
        <v>0</v>
      </c>
      <c r="K796" s="78">
        <v>0</v>
      </c>
      <c r="L796" s="84">
        <v>0</v>
      </c>
      <c r="M796" s="53">
        <v>0</v>
      </c>
      <c r="N796" s="78">
        <v>0</v>
      </c>
    </row>
    <row r="797" spans="1:14" ht="19.5" customHeight="1" outlineLevel="1" thickBot="1" x14ac:dyDescent="0.25">
      <c r="A797" s="102">
        <v>33</v>
      </c>
      <c r="B797" s="91" t="s">
        <v>40</v>
      </c>
      <c r="C797" s="84">
        <v>0</v>
      </c>
      <c r="D797" s="53">
        <v>0</v>
      </c>
      <c r="E797" s="78">
        <v>0</v>
      </c>
      <c r="F797" s="84">
        <v>0</v>
      </c>
      <c r="G797" s="53">
        <v>0</v>
      </c>
      <c r="H797" s="78">
        <v>0</v>
      </c>
      <c r="I797" s="84">
        <v>0</v>
      </c>
      <c r="J797" s="53">
        <v>0</v>
      </c>
      <c r="K797" s="78">
        <v>0</v>
      </c>
      <c r="L797" s="84">
        <v>0</v>
      </c>
      <c r="M797" s="53">
        <v>0</v>
      </c>
      <c r="N797" s="78">
        <v>0</v>
      </c>
    </row>
    <row r="798" spans="1:14" ht="19.5" customHeight="1" thickBot="1" x14ac:dyDescent="0.25">
      <c r="A798" s="151" t="s">
        <v>41</v>
      </c>
      <c r="B798" s="152"/>
      <c r="C798" s="96">
        <v>0</v>
      </c>
      <c r="D798" s="97">
        <v>0</v>
      </c>
      <c r="E798" s="98">
        <v>0</v>
      </c>
      <c r="F798" s="96">
        <v>0</v>
      </c>
      <c r="G798" s="97">
        <v>0</v>
      </c>
      <c r="H798" s="98">
        <v>0</v>
      </c>
      <c r="I798" s="96">
        <v>0</v>
      </c>
      <c r="J798" s="97">
        <v>0</v>
      </c>
      <c r="K798" s="98">
        <v>0</v>
      </c>
      <c r="L798" s="96">
        <v>0</v>
      </c>
      <c r="M798" s="97">
        <v>0</v>
      </c>
      <c r="N798" s="98">
        <v>0</v>
      </c>
    </row>
    <row r="799" spans="1:14" ht="34.5" customHeight="1" x14ac:dyDescent="0.2">
      <c r="A799" s="153" t="s">
        <v>247</v>
      </c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</row>
    <row r="800" spans="1:14" ht="19.5" customHeight="1" thickBot="1" x14ac:dyDescent="0.25">
      <c r="A800" s="50"/>
      <c r="B800" s="140" t="s">
        <v>63</v>
      </c>
      <c r="C800" s="52"/>
      <c r="D800" s="52"/>
      <c r="E800" s="52"/>
      <c r="F800" s="52"/>
      <c r="G800" s="52"/>
      <c r="H800" s="52"/>
      <c r="I800" s="52"/>
      <c r="J800" s="52"/>
      <c r="K800" s="155" t="s">
        <v>1</v>
      </c>
      <c r="L800" s="154"/>
      <c r="M800" s="154"/>
      <c r="N800" s="154"/>
    </row>
    <row r="801" spans="1:14" ht="19.5" customHeight="1" x14ac:dyDescent="0.2">
      <c r="A801" s="156" t="s">
        <v>2</v>
      </c>
      <c r="B801" s="158" t="s">
        <v>3</v>
      </c>
      <c r="C801" s="148" t="s">
        <v>243</v>
      </c>
      <c r="D801" s="149"/>
      <c r="E801" s="150"/>
      <c r="F801" s="148" t="s">
        <v>244</v>
      </c>
      <c r="G801" s="149"/>
      <c r="H801" s="150"/>
      <c r="I801" s="148" t="s">
        <v>246</v>
      </c>
      <c r="J801" s="149"/>
      <c r="K801" s="150"/>
      <c r="L801" s="148" t="s">
        <v>4</v>
      </c>
      <c r="M801" s="149"/>
      <c r="N801" s="150"/>
    </row>
    <row r="802" spans="1:14" ht="19.5" customHeight="1" thickBot="1" x14ac:dyDescent="0.25">
      <c r="A802" s="157"/>
      <c r="B802" s="159"/>
      <c r="C802" s="85" t="s">
        <v>5</v>
      </c>
      <c r="D802" s="79" t="s">
        <v>6</v>
      </c>
      <c r="E802" s="80" t="s">
        <v>7</v>
      </c>
      <c r="F802" s="85" t="s">
        <v>5</v>
      </c>
      <c r="G802" s="79" t="s">
        <v>6</v>
      </c>
      <c r="H802" s="80" t="s">
        <v>7</v>
      </c>
      <c r="I802" s="85" t="s">
        <v>5</v>
      </c>
      <c r="J802" s="79" t="s">
        <v>6</v>
      </c>
      <c r="K802" s="80" t="s">
        <v>7</v>
      </c>
      <c r="L802" s="85" t="s">
        <v>5</v>
      </c>
      <c r="M802" s="79" t="s">
        <v>6</v>
      </c>
      <c r="N802" s="80" t="s">
        <v>7</v>
      </c>
    </row>
    <row r="803" spans="1:14" ht="19.5" customHeight="1" outlineLevel="1" x14ac:dyDescent="0.2">
      <c r="A803" s="100">
        <v>1</v>
      </c>
      <c r="B803" s="86" t="s">
        <v>8</v>
      </c>
      <c r="C803" s="87">
        <v>0</v>
      </c>
      <c r="D803" s="88">
        <v>0</v>
      </c>
      <c r="E803" s="89">
        <v>0</v>
      </c>
      <c r="F803" s="87">
        <v>0</v>
      </c>
      <c r="G803" s="88">
        <v>0</v>
      </c>
      <c r="H803" s="89">
        <v>0</v>
      </c>
      <c r="I803" s="87">
        <v>0</v>
      </c>
      <c r="J803" s="88">
        <v>0</v>
      </c>
      <c r="K803" s="89">
        <v>0</v>
      </c>
      <c r="L803" s="87">
        <v>0</v>
      </c>
      <c r="M803" s="88">
        <v>0</v>
      </c>
      <c r="N803" s="89">
        <v>0</v>
      </c>
    </row>
    <row r="804" spans="1:14" ht="19.5" customHeight="1" outlineLevel="1" x14ac:dyDescent="0.2">
      <c r="A804" s="101">
        <v>2</v>
      </c>
      <c r="B804" s="81" t="s">
        <v>9</v>
      </c>
      <c r="C804" s="84">
        <v>0</v>
      </c>
      <c r="D804" s="53">
        <v>0</v>
      </c>
      <c r="E804" s="78">
        <v>0</v>
      </c>
      <c r="F804" s="84">
        <v>0</v>
      </c>
      <c r="G804" s="53">
        <v>0</v>
      </c>
      <c r="H804" s="78">
        <v>0</v>
      </c>
      <c r="I804" s="84">
        <v>0</v>
      </c>
      <c r="J804" s="53">
        <v>0</v>
      </c>
      <c r="K804" s="78">
        <v>0</v>
      </c>
      <c r="L804" s="84">
        <v>0</v>
      </c>
      <c r="M804" s="53">
        <v>0</v>
      </c>
      <c r="N804" s="78">
        <v>0</v>
      </c>
    </row>
    <row r="805" spans="1:14" ht="19.5" customHeight="1" outlineLevel="1" x14ac:dyDescent="0.2">
      <c r="A805" s="101">
        <v>3</v>
      </c>
      <c r="B805" s="81" t="s">
        <v>10</v>
      </c>
      <c r="C805" s="84">
        <v>0</v>
      </c>
      <c r="D805" s="53">
        <v>0</v>
      </c>
      <c r="E805" s="78">
        <v>0</v>
      </c>
      <c r="F805" s="84">
        <v>0</v>
      </c>
      <c r="G805" s="53">
        <v>0</v>
      </c>
      <c r="H805" s="78">
        <v>0</v>
      </c>
      <c r="I805" s="84">
        <v>4.38</v>
      </c>
      <c r="J805" s="53">
        <v>2.9784000000000002</v>
      </c>
      <c r="K805" s="78">
        <v>680</v>
      </c>
      <c r="L805" s="84">
        <v>4.38</v>
      </c>
      <c r="M805" s="53">
        <v>2.9784000000000002</v>
      </c>
      <c r="N805" s="78">
        <v>680</v>
      </c>
    </row>
    <row r="806" spans="1:14" ht="19.5" customHeight="1" outlineLevel="1" x14ac:dyDescent="0.2">
      <c r="A806" s="101">
        <v>4</v>
      </c>
      <c r="B806" s="81" t="s">
        <v>11</v>
      </c>
      <c r="C806" s="84">
        <v>0</v>
      </c>
      <c r="D806" s="53">
        <v>0</v>
      </c>
      <c r="E806" s="78">
        <v>0</v>
      </c>
      <c r="F806" s="84">
        <v>0</v>
      </c>
      <c r="G806" s="53">
        <v>0</v>
      </c>
      <c r="H806" s="78">
        <v>0</v>
      </c>
      <c r="I806" s="84">
        <v>0</v>
      </c>
      <c r="J806" s="53">
        <v>0</v>
      </c>
      <c r="K806" s="78">
        <v>0</v>
      </c>
      <c r="L806" s="84">
        <v>0</v>
      </c>
      <c r="M806" s="53">
        <v>0</v>
      </c>
      <c r="N806" s="78">
        <v>0</v>
      </c>
    </row>
    <row r="807" spans="1:14" ht="19.5" customHeight="1" outlineLevel="1" x14ac:dyDescent="0.2">
      <c r="A807" s="101">
        <v>5</v>
      </c>
      <c r="B807" s="81" t="s">
        <v>12</v>
      </c>
      <c r="C807" s="84">
        <v>0</v>
      </c>
      <c r="D807" s="53">
        <v>0</v>
      </c>
      <c r="E807" s="78">
        <v>0</v>
      </c>
      <c r="F807" s="84">
        <v>0</v>
      </c>
      <c r="G807" s="53">
        <v>0</v>
      </c>
      <c r="H807" s="78">
        <v>0</v>
      </c>
      <c r="I807" s="84">
        <v>0</v>
      </c>
      <c r="J807" s="53">
        <v>0</v>
      </c>
      <c r="K807" s="78">
        <v>0</v>
      </c>
      <c r="L807" s="84">
        <v>0</v>
      </c>
      <c r="M807" s="53">
        <v>0</v>
      </c>
      <c r="N807" s="78">
        <v>0</v>
      </c>
    </row>
    <row r="808" spans="1:14" ht="19.5" customHeight="1" outlineLevel="1" x14ac:dyDescent="0.2">
      <c r="A808" s="101">
        <v>6</v>
      </c>
      <c r="B808" s="81" t="s">
        <v>13</v>
      </c>
      <c r="C808" s="84">
        <v>0</v>
      </c>
      <c r="D808" s="53">
        <v>0</v>
      </c>
      <c r="E808" s="78">
        <v>0</v>
      </c>
      <c r="F808" s="84">
        <v>0</v>
      </c>
      <c r="G808" s="53">
        <v>0</v>
      </c>
      <c r="H808" s="78">
        <v>0</v>
      </c>
      <c r="I808" s="84">
        <v>0</v>
      </c>
      <c r="J808" s="53">
        <v>0</v>
      </c>
      <c r="K808" s="78">
        <v>0</v>
      </c>
      <c r="L808" s="84">
        <v>0</v>
      </c>
      <c r="M808" s="53">
        <v>0</v>
      </c>
      <c r="N808" s="78">
        <v>0</v>
      </c>
    </row>
    <row r="809" spans="1:14" ht="19.5" customHeight="1" outlineLevel="1" x14ac:dyDescent="0.2">
      <c r="A809" s="101">
        <v>7</v>
      </c>
      <c r="B809" s="81" t="s">
        <v>14</v>
      </c>
      <c r="C809" s="84">
        <v>0</v>
      </c>
      <c r="D809" s="53">
        <v>0</v>
      </c>
      <c r="E809" s="78">
        <v>0</v>
      </c>
      <c r="F809" s="84">
        <v>0</v>
      </c>
      <c r="G809" s="53">
        <v>0</v>
      </c>
      <c r="H809" s="78">
        <v>0</v>
      </c>
      <c r="I809" s="84">
        <v>0</v>
      </c>
      <c r="J809" s="53">
        <v>0</v>
      </c>
      <c r="K809" s="78">
        <v>0</v>
      </c>
      <c r="L809" s="84">
        <v>0</v>
      </c>
      <c r="M809" s="53">
        <v>0</v>
      </c>
      <c r="N809" s="78">
        <v>0</v>
      </c>
    </row>
    <row r="810" spans="1:14" ht="19.5" customHeight="1" outlineLevel="1" x14ac:dyDescent="0.2">
      <c r="A810" s="101">
        <v>8</v>
      </c>
      <c r="B810" s="81" t="s">
        <v>15</v>
      </c>
      <c r="C810" s="84">
        <v>0.04</v>
      </c>
      <c r="D810" s="53">
        <v>2.1999999999999999E-2</v>
      </c>
      <c r="E810" s="78">
        <v>550</v>
      </c>
      <c r="F810" s="84">
        <v>0.9</v>
      </c>
      <c r="G810" s="53">
        <v>0.46800000000000003</v>
      </c>
      <c r="H810" s="78">
        <v>520</v>
      </c>
      <c r="I810" s="84">
        <v>0</v>
      </c>
      <c r="J810" s="53">
        <v>0</v>
      </c>
      <c r="K810" s="78">
        <v>0</v>
      </c>
      <c r="L810" s="84">
        <v>0.47000000000000003</v>
      </c>
      <c r="M810" s="53">
        <v>0.24500000000000002</v>
      </c>
      <c r="N810" s="78">
        <v>521.27659574468089</v>
      </c>
    </row>
    <row r="811" spans="1:14" ht="19.5" customHeight="1" outlineLevel="1" x14ac:dyDescent="0.2">
      <c r="A811" s="101">
        <v>9</v>
      </c>
      <c r="B811" s="81" t="s">
        <v>16</v>
      </c>
      <c r="C811" s="84">
        <v>0</v>
      </c>
      <c r="D811" s="53">
        <v>0</v>
      </c>
      <c r="E811" s="78">
        <v>0</v>
      </c>
      <c r="F811" s="84">
        <v>0.05</v>
      </c>
      <c r="G811" s="53">
        <v>3.5000000000000003E-2</v>
      </c>
      <c r="H811" s="78">
        <v>700</v>
      </c>
      <c r="I811" s="84">
        <v>0</v>
      </c>
      <c r="J811" s="53">
        <v>0</v>
      </c>
      <c r="K811" s="78">
        <v>0</v>
      </c>
      <c r="L811" s="84">
        <v>0.05</v>
      </c>
      <c r="M811" s="53">
        <v>3.5000000000000003E-2</v>
      </c>
      <c r="N811" s="78">
        <v>700</v>
      </c>
    </row>
    <row r="812" spans="1:14" ht="19.5" customHeight="1" outlineLevel="1" x14ac:dyDescent="0.2">
      <c r="A812" s="101">
        <v>10</v>
      </c>
      <c r="B812" s="81" t="s">
        <v>17</v>
      </c>
      <c r="C812" s="84">
        <v>0</v>
      </c>
      <c r="D812" s="53">
        <v>0</v>
      </c>
      <c r="E812" s="78">
        <v>0</v>
      </c>
      <c r="F812" s="84">
        <v>0</v>
      </c>
      <c r="G812" s="53">
        <v>0</v>
      </c>
      <c r="H812" s="78">
        <v>0</v>
      </c>
      <c r="I812" s="84">
        <v>0</v>
      </c>
      <c r="J812" s="53">
        <v>0</v>
      </c>
      <c r="K812" s="78">
        <v>0</v>
      </c>
      <c r="L812" s="84">
        <v>0</v>
      </c>
      <c r="M812" s="53">
        <v>0</v>
      </c>
      <c r="N812" s="78">
        <v>0</v>
      </c>
    </row>
    <row r="813" spans="1:14" ht="19.5" customHeight="1" outlineLevel="1" x14ac:dyDescent="0.2">
      <c r="A813" s="101">
        <v>11</v>
      </c>
      <c r="B813" s="81" t="s">
        <v>18</v>
      </c>
      <c r="C813" s="84">
        <v>0</v>
      </c>
      <c r="D813" s="53">
        <v>0</v>
      </c>
      <c r="E813" s="78">
        <v>0</v>
      </c>
      <c r="F813" s="84">
        <v>0</v>
      </c>
      <c r="G813" s="53">
        <v>0</v>
      </c>
      <c r="H813" s="78">
        <v>0</v>
      </c>
      <c r="I813" s="84">
        <v>0</v>
      </c>
      <c r="J813" s="53">
        <v>0</v>
      </c>
      <c r="K813" s="78">
        <v>0</v>
      </c>
      <c r="L813" s="84">
        <v>0</v>
      </c>
      <c r="M813" s="53">
        <v>0</v>
      </c>
      <c r="N813" s="78">
        <v>0</v>
      </c>
    </row>
    <row r="814" spans="1:14" ht="19.5" customHeight="1" outlineLevel="1" x14ac:dyDescent="0.2">
      <c r="A814" s="101">
        <v>12</v>
      </c>
      <c r="B814" s="81" t="s">
        <v>19</v>
      </c>
      <c r="C814" s="84">
        <v>0</v>
      </c>
      <c r="D814" s="53">
        <v>0</v>
      </c>
      <c r="E814" s="78">
        <v>0</v>
      </c>
      <c r="F814" s="84">
        <v>0</v>
      </c>
      <c r="G814" s="53">
        <v>0</v>
      </c>
      <c r="H814" s="78">
        <v>0</v>
      </c>
      <c r="I814" s="84">
        <v>0</v>
      </c>
      <c r="J814" s="53">
        <v>0</v>
      </c>
      <c r="K814" s="78">
        <v>0</v>
      </c>
      <c r="L814" s="84">
        <v>0</v>
      </c>
      <c r="M814" s="53">
        <v>0</v>
      </c>
      <c r="N814" s="78">
        <v>0</v>
      </c>
    </row>
    <row r="815" spans="1:14" ht="19.5" customHeight="1" outlineLevel="1" x14ac:dyDescent="0.2">
      <c r="A815" s="101">
        <v>13</v>
      </c>
      <c r="B815" s="81" t="s">
        <v>20</v>
      </c>
      <c r="C815" s="84">
        <v>0</v>
      </c>
      <c r="D815" s="53">
        <v>0</v>
      </c>
      <c r="E815" s="78">
        <v>0</v>
      </c>
      <c r="F815" s="84">
        <v>0</v>
      </c>
      <c r="G815" s="53">
        <v>0</v>
      </c>
      <c r="H815" s="78">
        <v>0</v>
      </c>
      <c r="I815" s="84">
        <v>0</v>
      </c>
      <c r="J815" s="53">
        <v>0</v>
      </c>
      <c r="K815" s="78">
        <v>0</v>
      </c>
      <c r="L815" s="84">
        <v>0</v>
      </c>
      <c r="M815" s="53">
        <v>0</v>
      </c>
      <c r="N815" s="78">
        <v>0</v>
      </c>
    </row>
    <row r="816" spans="1:14" ht="19.5" customHeight="1" outlineLevel="1" x14ac:dyDescent="0.2">
      <c r="A816" s="101">
        <v>14</v>
      </c>
      <c r="B816" s="81" t="s">
        <v>21</v>
      </c>
      <c r="C816" s="84">
        <v>0</v>
      </c>
      <c r="D816" s="53">
        <v>0</v>
      </c>
      <c r="E816" s="78">
        <v>0</v>
      </c>
      <c r="F816" s="84">
        <v>0</v>
      </c>
      <c r="G816" s="53">
        <v>0</v>
      </c>
      <c r="H816" s="78">
        <v>0</v>
      </c>
      <c r="I816" s="84">
        <v>0</v>
      </c>
      <c r="J816" s="53">
        <v>0</v>
      </c>
      <c r="K816" s="78">
        <v>0</v>
      </c>
      <c r="L816" s="84">
        <v>0</v>
      </c>
      <c r="M816" s="53">
        <v>0</v>
      </c>
      <c r="N816" s="78">
        <v>0</v>
      </c>
    </row>
    <row r="817" spans="1:14" ht="19.5" customHeight="1" outlineLevel="1" x14ac:dyDescent="0.2">
      <c r="A817" s="101">
        <v>15</v>
      </c>
      <c r="B817" s="81" t="s">
        <v>22</v>
      </c>
      <c r="C817" s="84">
        <v>0</v>
      </c>
      <c r="D817" s="53">
        <v>0</v>
      </c>
      <c r="E817" s="78">
        <v>0</v>
      </c>
      <c r="F817" s="84">
        <v>0</v>
      </c>
      <c r="G817" s="53">
        <v>0</v>
      </c>
      <c r="H817" s="78">
        <v>0</v>
      </c>
      <c r="I817" s="84">
        <v>0</v>
      </c>
      <c r="J817" s="53">
        <v>0</v>
      </c>
      <c r="K817" s="78">
        <v>0</v>
      </c>
      <c r="L817" s="84">
        <v>0</v>
      </c>
      <c r="M817" s="53">
        <v>0</v>
      </c>
      <c r="N817" s="78">
        <v>0</v>
      </c>
    </row>
    <row r="818" spans="1:14" ht="19.5" customHeight="1" outlineLevel="1" x14ac:dyDescent="0.2">
      <c r="A818" s="101">
        <v>16</v>
      </c>
      <c r="B818" s="81" t="s">
        <v>23</v>
      </c>
      <c r="C818" s="84">
        <v>0</v>
      </c>
      <c r="D818" s="53">
        <v>0</v>
      </c>
      <c r="E818" s="78">
        <v>0</v>
      </c>
      <c r="F818" s="84">
        <v>0</v>
      </c>
      <c r="G818" s="53">
        <v>0</v>
      </c>
      <c r="H818" s="78">
        <v>0</v>
      </c>
      <c r="I818" s="84">
        <v>0</v>
      </c>
      <c r="J818" s="53">
        <v>0</v>
      </c>
      <c r="K818" s="78">
        <v>0</v>
      </c>
      <c r="L818" s="84">
        <v>0</v>
      </c>
      <c r="M818" s="53">
        <v>0</v>
      </c>
      <c r="N818" s="78">
        <v>0</v>
      </c>
    </row>
    <row r="819" spans="1:14" ht="19.5" customHeight="1" outlineLevel="1" x14ac:dyDescent="0.2">
      <c r="A819" s="101">
        <v>17</v>
      </c>
      <c r="B819" s="81" t="s">
        <v>24</v>
      </c>
      <c r="C819" s="84">
        <v>0</v>
      </c>
      <c r="D819" s="53">
        <v>0</v>
      </c>
      <c r="E819" s="78">
        <v>0</v>
      </c>
      <c r="F819" s="84">
        <v>0</v>
      </c>
      <c r="G819" s="53">
        <v>0</v>
      </c>
      <c r="H819" s="78">
        <v>0</v>
      </c>
      <c r="I819" s="84">
        <v>0</v>
      </c>
      <c r="J819" s="53">
        <v>0</v>
      </c>
      <c r="K819" s="78">
        <v>0</v>
      </c>
      <c r="L819" s="84">
        <v>0</v>
      </c>
      <c r="M819" s="53">
        <v>0</v>
      </c>
      <c r="N819" s="78">
        <v>0</v>
      </c>
    </row>
    <row r="820" spans="1:14" ht="19.5" customHeight="1" outlineLevel="1" x14ac:dyDescent="0.2">
      <c r="A820" s="101">
        <v>18</v>
      </c>
      <c r="B820" s="81" t="s">
        <v>25</v>
      </c>
      <c r="C820" s="84">
        <v>0</v>
      </c>
      <c r="D820" s="53">
        <v>0</v>
      </c>
      <c r="E820" s="78">
        <v>0</v>
      </c>
      <c r="F820" s="84">
        <v>0</v>
      </c>
      <c r="G820" s="53">
        <v>0</v>
      </c>
      <c r="H820" s="78">
        <v>0</v>
      </c>
      <c r="I820" s="84">
        <v>0</v>
      </c>
      <c r="J820" s="53">
        <v>0</v>
      </c>
      <c r="K820" s="78">
        <v>0</v>
      </c>
      <c r="L820" s="84">
        <v>0</v>
      </c>
      <c r="M820" s="53">
        <v>0</v>
      </c>
      <c r="N820" s="78">
        <v>0</v>
      </c>
    </row>
    <row r="821" spans="1:14" ht="19.5" customHeight="1" outlineLevel="1" x14ac:dyDescent="0.2">
      <c r="A821" s="101">
        <v>19</v>
      </c>
      <c r="B821" s="81" t="s">
        <v>26</v>
      </c>
      <c r="C821" s="84">
        <v>0</v>
      </c>
      <c r="D821" s="53">
        <v>0</v>
      </c>
      <c r="E821" s="78">
        <v>0</v>
      </c>
      <c r="F821" s="84">
        <v>0</v>
      </c>
      <c r="G821" s="53">
        <v>0</v>
      </c>
      <c r="H821" s="78">
        <v>0</v>
      </c>
      <c r="I821" s="84">
        <v>0</v>
      </c>
      <c r="J821" s="53">
        <v>0</v>
      </c>
      <c r="K821" s="78">
        <v>0</v>
      </c>
      <c r="L821" s="84">
        <v>0</v>
      </c>
      <c r="M821" s="53">
        <v>0</v>
      </c>
      <c r="N821" s="78">
        <v>0</v>
      </c>
    </row>
    <row r="822" spans="1:14" ht="19.5" customHeight="1" outlineLevel="1" x14ac:dyDescent="0.2">
      <c r="A822" s="101">
        <v>20</v>
      </c>
      <c r="B822" s="81" t="s">
        <v>27</v>
      </c>
      <c r="C822" s="84">
        <v>0</v>
      </c>
      <c r="D822" s="53">
        <v>0</v>
      </c>
      <c r="E822" s="78">
        <v>0</v>
      </c>
      <c r="F822" s="84">
        <v>0</v>
      </c>
      <c r="G822" s="53">
        <v>0</v>
      </c>
      <c r="H822" s="78">
        <v>0</v>
      </c>
      <c r="I822" s="84">
        <v>0.06</v>
      </c>
      <c r="J822" s="53">
        <v>4.4999999999999998E-2</v>
      </c>
      <c r="K822" s="78">
        <v>750</v>
      </c>
      <c r="L822" s="84">
        <v>0.06</v>
      </c>
      <c r="M822" s="53">
        <v>4.4999999999999998E-2</v>
      </c>
      <c r="N822" s="78">
        <v>750</v>
      </c>
    </row>
    <row r="823" spans="1:14" ht="19.5" customHeight="1" outlineLevel="1" x14ac:dyDescent="0.2">
      <c r="A823" s="101">
        <v>21</v>
      </c>
      <c r="B823" s="81" t="s">
        <v>28</v>
      </c>
      <c r="C823" s="84">
        <v>0</v>
      </c>
      <c r="D823" s="53">
        <v>0</v>
      </c>
      <c r="E823" s="78">
        <v>0</v>
      </c>
      <c r="F823" s="84">
        <v>0</v>
      </c>
      <c r="G823" s="53">
        <v>0</v>
      </c>
      <c r="H823" s="78">
        <v>0</v>
      </c>
      <c r="I823" s="84">
        <v>0</v>
      </c>
      <c r="J823" s="53">
        <v>0</v>
      </c>
      <c r="K823" s="78">
        <v>0</v>
      </c>
      <c r="L823" s="84">
        <v>0</v>
      </c>
      <c r="M823" s="53">
        <v>0</v>
      </c>
      <c r="N823" s="78">
        <v>0</v>
      </c>
    </row>
    <row r="824" spans="1:14" ht="19.5" customHeight="1" outlineLevel="1" x14ac:dyDescent="0.2">
      <c r="A824" s="101">
        <v>22</v>
      </c>
      <c r="B824" s="81" t="s">
        <v>29</v>
      </c>
      <c r="C824" s="84">
        <v>0.68</v>
      </c>
      <c r="D824" s="53">
        <v>0.53720000000000001</v>
      </c>
      <c r="E824" s="78">
        <v>790</v>
      </c>
      <c r="F824" s="84">
        <v>0.85</v>
      </c>
      <c r="G824" s="53">
        <v>0.64579999999999993</v>
      </c>
      <c r="H824" s="78">
        <v>759.76470588235293</v>
      </c>
      <c r="I824" s="84">
        <v>0.53</v>
      </c>
      <c r="J824" s="53">
        <v>0.40820000000000001</v>
      </c>
      <c r="K824" s="78">
        <v>770.18867924528297</v>
      </c>
      <c r="L824" s="84">
        <v>0.68666666666666665</v>
      </c>
      <c r="M824" s="53">
        <v>0.53039999999999987</v>
      </c>
      <c r="N824" s="78">
        <v>772.42718446601918</v>
      </c>
    </row>
    <row r="825" spans="1:14" ht="19.5" customHeight="1" outlineLevel="1" x14ac:dyDescent="0.2">
      <c r="A825" s="101">
        <v>23</v>
      </c>
      <c r="B825" s="81" t="s">
        <v>30</v>
      </c>
      <c r="C825" s="84">
        <v>0</v>
      </c>
      <c r="D825" s="53">
        <v>0</v>
      </c>
      <c r="E825" s="78">
        <v>0</v>
      </c>
      <c r="F825" s="84">
        <v>0.43</v>
      </c>
      <c r="G825" s="53">
        <v>0.30240000000000006</v>
      </c>
      <c r="H825" s="78">
        <v>703.25581395348843</v>
      </c>
      <c r="I825" s="84">
        <v>0</v>
      </c>
      <c r="J825" s="53">
        <v>0</v>
      </c>
      <c r="K825" s="78">
        <v>0</v>
      </c>
      <c r="L825" s="84">
        <v>0.43</v>
      </c>
      <c r="M825" s="53">
        <v>0.30240000000000006</v>
      </c>
      <c r="N825" s="78">
        <v>703.25581395348843</v>
      </c>
    </row>
    <row r="826" spans="1:14" ht="19.5" customHeight="1" outlineLevel="1" x14ac:dyDescent="0.2">
      <c r="A826" s="101">
        <v>24</v>
      </c>
      <c r="B826" s="81" t="s">
        <v>31</v>
      </c>
      <c r="C826" s="84">
        <v>0</v>
      </c>
      <c r="D826" s="53">
        <v>0</v>
      </c>
      <c r="E826" s="78">
        <v>0</v>
      </c>
      <c r="F826" s="84">
        <v>0</v>
      </c>
      <c r="G826" s="53">
        <v>0</v>
      </c>
      <c r="H826" s="78">
        <v>0</v>
      </c>
      <c r="I826" s="84">
        <v>0</v>
      </c>
      <c r="J826" s="53">
        <v>0</v>
      </c>
      <c r="K826" s="78">
        <v>0</v>
      </c>
      <c r="L826" s="84">
        <v>0</v>
      </c>
      <c r="M826" s="53">
        <v>0</v>
      </c>
      <c r="N826" s="78">
        <v>0</v>
      </c>
    </row>
    <row r="827" spans="1:14" ht="19.5" customHeight="1" outlineLevel="1" x14ac:dyDescent="0.2">
      <c r="A827" s="101">
        <v>25</v>
      </c>
      <c r="B827" s="81" t="s">
        <v>32</v>
      </c>
      <c r="C827" s="84">
        <v>0</v>
      </c>
      <c r="D827" s="53">
        <v>0</v>
      </c>
      <c r="E827" s="78">
        <v>0</v>
      </c>
      <c r="F827" s="84">
        <v>0</v>
      </c>
      <c r="G827" s="53">
        <v>0</v>
      </c>
      <c r="H827" s="78">
        <v>0</v>
      </c>
      <c r="I827" s="84">
        <v>0</v>
      </c>
      <c r="J827" s="53">
        <v>0</v>
      </c>
      <c r="K827" s="78">
        <v>0</v>
      </c>
      <c r="L827" s="84">
        <v>0</v>
      </c>
      <c r="M827" s="53">
        <v>0</v>
      </c>
      <c r="N827" s="78">
        <v>0</v>
      </c>
    </row>
    <row r="828" spans="1:14" ht="19.5" customHeight="1" outlineLevel="1" x14ac:dyDescent="0.2">
      <c r="A828" s="101">
        <v>26</v>
      </c>
      <c r="B828" s="81" t="s">
        <v>33</v>
      </c>
      <c r="C828" s="84">
        <v>0</v>
      </c>
      <c r="D828" s="53">
        <v>0</v>
      </c>
      <c r="E828" s="78">
        <v>0</v>
      </c>
      <c r="F828" s="84">
        <v>0</v>
      </c>
      <c r="G828" s="53">
        <v>0</v>
      </c>
      <c r="H828" s="78">
        <v>0</v>
      </c>
      <c r="I828" s="84">
        <v>0</v>
      </c>
      <c r="J828" s="53">
        <v>0</v>
      </c>
      <c r="K828" s="78">
        <v>0</v>
      </c>
      <c r="L828" s="84">
        <v>0</v>
      </c>
      <c r="M828" s="53">
        <v>0</v>
      </c>
      <c r="N828" s="78">
        <v>0</v>
      </c>
    </row>
    <row r="829" spans="1:14" ht="19.5" customHeight="1" outlineLevel="1" x14ac:dyDescent="0.2">
      <c r="A829" s="101">
        <v>27</v>
      </c>
      <c r="B829" s="81" t="s">
        <v>34</v>
      </c>
      <c r="C829" s="84">
        <v>0</v>
      </c>
      <c r="D829" s="53">
        <v>0</v>
      </c>
      <c r="E829" s="78">
        <v>0</v>
      </c>
      <c r="F829" s="84">
        <v>0</v>
      </c>
      <c r="G829" s="53">
        <v>0</v>
      </c>
      <c r="H829" s="78">
        <v>0</v>
      </c>
      <c r="I829" s="84">
        <v>0</v>
      </c>
      <c r="J829" s="53">
        <v>0</v>
      </c>
      <c r="K829" s="78">
        <v>0</v>
      </c>
      <c r="L829" s="84">
        <v>0</v>
      </c>
      <c r="M829" s="53">
        <v>0</v>
      </c>
      <c r="N829" s="78">
        <v>0</v>
      </c>
    </row>
    <row r="830" spans="1:14" ht="19.5" customHeight="1" outlineLevel="1" x14ac:dyDescent="0.2">
      <c r="A830" s="101">
        <v>28</v>
      </c>
      <c r="B830" s="81" t="s">
        <v>35</v>
      </c>
      <c r="C830" s="84">
        <v>0</v>
      </c>
      <c r="D830" s="53">
        <v>0</v>
      </c>
      <c r="E830" s="78">
        <v>0</v>
      </c>
      <c r="F830" s="84">
        <v>0</v>
      </c>
      <c r="G830" s="53">
        <v>0</v>
      </c>
      <c r="H830" s="78">
        <v>0</v>
      </c>
      <c r="I830" s="84">
        <v>0</v>
      </c>
      <c r="J830" s="53">
        <v>0</v>
      </c>
      <c r="K830" s="78">
        <v>0</v>
      </c>
      <c r="L830" s="84">
        <v>0</v>
      </c>
      <c r="M830" s="53">
        <v>0</v>
      </c>
      <c r="N830" s="78">
        <v>0</v>
      </c>
    </row>
    <row r="831" spans="1:14" ht="19.5" customHeight="1" outlineLevel="1" x14ac:dyDescent="0.2">
      <c r="A831" s="101">
        <v>29</v>
      </c>
      <c r="B831" s="81" t="s">
        <v>36</v>
      </c>
      <c r="C831" s="84">
        <v>0</v>
      </c>
      <c r="D831" s="53">
        <v>0</v>
      </c>
      <c r="E831" s="78">
        <v>0</v>
      </c>
      <c r="F831" s="84">
        <v>0.18</v>
      </c>
      <c r="G831" s="53">
        <v>0.10779999999999999</v>
      </c>
      <c r="H831" s="78">
        <v>598.88888888888891</v>
      </c>
      <c r="I831" s="84">
        <v>0.08</v>
      </c>
      <c r="J831" s="53">
        <v>5.4399999999999997E-2</v>
      </c>
      <c r="K831" s="78">
        <v>680</v>
      </c>
      <c r="L831" s="84">
        <v>0.13</v>
      </c>
      <c r="M831" s="53">
        <v>8.1099999999999992E-2</v>
      </c>
      <c r="N831" s="78">
        <v>623.84615384615381</v>
      </c>
    </row>
    <row r="832" spans="1:14" ht="19.5" customHeight="1" outlineLevel="1" x14ac:dyDescent="0.2">
      <c r="A832" s="101">
        <v>30</v>
      </c>
      <c r="B832" s="81" t="s">
        <v>37</v>
      </c>
      <c r="C832" s="84">
        <v>18.48</v>
      </c>
      <c r="D832" s="53">
        <v>12.381600000000001</v>
      </c>
      <c r="E832" s="78">
        <v>670</v>
      </c>
      <c r="F832" s="84">
        <v>17.64</v>
      </c>
      <c r="G832" s="53">
        <v>11.280200000000001</v>
      </c>
      <c r="H832" s="78">
        <v>639.4671201814059</v>
      </c>
      <c r="I832" s="84">
        <v>32.42</v>
      </c>
      <c r="J832" s="53">
        <v>21.988600000000002</v>
      </c>
      <c r="K832" s="78">
        <v>678.2418260333128</v>
      </c>
      <c r="L832" s="84">
        <v>22.846666666666668</v>
      </c>
      <c r="M832" s="53">
        <v>15.216800000000001</v>
      </c>
      <c r="N832" s="78">
        <v>666.04026845637588</v>
      </c>
    </row>
    <row r="833" spans="1:14" ht="19.5" customHeight="1" outlineLevel="1" x14ac:dyDescent="0.2">
      <c r="A833" s="101">
        <v>31</v>
      </c>
      <c r="B833" s="81" t="s">
        <v>38</v>
      </c>
      <c r="C833" s="84">
        <v>0</v>
      </c>
      <c r="D833" s="53">
        <v>0</v>
      </c>
      <c r="E833" s="78">
        <v>0</v>
      </c>
      <c r="F833" s="84">
        <v>0</v>
      </c>
      <c r="G833" s="53">
        <v>0</v>
      </c>
      <c r="H833" s="78">
        <v>0</v>
      </c>
      <c r="I833" s="84">
        <v>0</v>
      </c>
      <c r="J833" s="53">
        <v>0</v>
      </c>
      <c r="K833" s="78">
        <v>0</v>
      </c>
      <c r="L833" s="84">
        <v>0</v>
      </c>
      <c r="M833" s="53">
        <v>0</v>
      </c>
      <c r="N833" s="78">
        <v>0</v>
      </c>
    </row>
    <row r="834" spans="1:14" ht="19.5" customHeight="1" outlineLevel="1" x14ac:dyDescent="0.2">
      <c r="A834" s="101">
        <v>32</v>
      </c>
      <c r="B834" s="81" t="s">
        <v>39</v>
      </c>
      <c r="C834" s="84">
        <v>0.25</v>
      </c>
      <c r="D834" s="53">
        <v>0.15925</v>
      </c>
      <c r="E834" s="78">
        <v>637</v>
      </c>
      <c r="F834" s="84">
        <v>1.55</v>
      </c>
      <c r="G834" s="53">
        <v>0.95350000000000001</v>
      </c>
      <c r="H834" s="78">
        <v>615.16129032258061</v>
      </c>
      <c r="I834" s="84">
        <v>2.09</v>
      </c>
      <c r="J834" s="53">
        <v>1.3485999999999998</v>
      </c>
      <c r="K834" s="78">
        <v>645.26315789473688</v>
      </c>
      <c r="L834" s="84">
        <v>1.2966666666666666</v>
      </c>
      <c r="M834" s="53">
        <v>0.82045000000000001</v>
      </c>
      <c r="N834" s="78">
        <v>632.73778920308484</v>
      </c>
    </row>
    <row r="835" spans="1:14" ht="19.5" customHeight="1" outlineLevel="1" thickBot="1" x14ac:dyDescent="0.25">
      <c r="A835" s="102">
        <v>33</v>
      </c>
      <c r="B835" s="91" t="s">
        <v>40</v>
      </c>
      <c r="C835" s="92">
        <v>0</v>
      </c>
      <c r="D835" s="93">
        <v>0</v>
      </c>
      <c r="E835" s="94">
        <v>0</v>
      </c>
      <c r="F835" s="92">
        <v>0.67</v>
      </c>
      <c r="G835" s="93">
        <v>0.47034000000000009</v>
      </c>
      <c r="H835" s="94">
        <v>702.00000000000011</v>
      </c>
      <c r="I835" s="92">
        <v>0</v>
      </c>
      <c r="J835" s="93">
        <v>0</v>
      </c>
      <c r="K835" s="94">
        <v>0</v>
      </c>
      <c r="L835" s="92">
        <v>0.67</v>
      </c>
      <c r="M835" s="93">
        <v>0.47034000000000009</v>
      </c>
      <c r="N835" s="94">
        <v>702.00000000000011</v>
      </c>
    </row>
    <row r="836" spans="1:14" ht="19.5" customHeight="1" thickBot="1" x14ac:dyDescent="0.25">
      <c r="A836" s="151" t="s">
        <v>41</v>
      </c>
      <c r="B836" s="152"/>
      <c r="C836" s="96">
        <v>19.45</v>
      </c>
      <c r="D836" s="97">
        <v>13.100050000000001</v>
      </c>
      <c r="E836" s="98">
        <v>673.52442159383043</v>
      </c>
      <c r="F836" s="96">
        <v>22.270000000000003</v>
      </c>
      <c r="G836" s="97">
        <v>14.26304</v>
      </c>
      <c r="H836" s="98">
        <v>640.45981140547815</v>
      </c>
      <c r="I836" s="96">
        <v>39.56</v>
      </c>
      <c r="J836" s="97">
        <v>26.823200000000003</v>
      </c>
      <c r="K836" s="98">
        <v>678.03842264914067</v>
      </c>
      <c r="L836" s="96">
        <v>27.093333333333334</v>
      </c>
      <c r="M836" s="97">
        <v>18.062096666666665</v>
      </c>
      <c r="N836" s="98">
        <v>666.66203248031491</v>
      </c>
    </row>
    <row r="837" spans="1:14" ht="34.5" customHeight="1" x14ac:dyDescent="0.2">
      <c r="A837" s="153" t="s">
        <v>247</v>
      </c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</row>
    <row r="838" spans="1:14" ht="19.5" customHeight="1" thickBot="1" x14ac:dyDescent="0.25">
      <c r="A838" s="50"/>
      <c r="B838" s="139" t="s">
        <v>64</v>
      </c>
      <c r="C838" s="52"/>
      <c r="D838" s="52"/>
      <c r="E838" s="52"/>
      <c r="F838" s="52"/>
      <c r="G838" s="52"/>
      <c r="H838" s="52"/>
      <c r="I838" s="52"/>
      <c r="J838" s="52"/>
      <c r="K838" s="155" t="s">
        <v>1</v>
      </c>
      <c r="L838" s="154"/>
      <c r="M838" s="154"/>
      <c r="N838" s="154"/>
    </row>
    <row r="839" spans="1:14" ht="19.5" customHeight="1" x14ac:dyDescent="0.2">
      <c r="A839" s="156" t="s">
        <v>2</v>
      </c>
      <c r="B839" s="158" t="s">
        <v>3</v>
      </c>
      <c r="C839" s="148" t="s">
        <v>243</v>
      </c>
      <c r="D839" s="149"/>
      <c r="E839" s="150"/>
      <c r="F839" s="148" t="s">
        <v>244</v>
      </c>
      <c r="G839" s="149"/>
      <c r="H839" s="150"/>
      <c r="I839" s="148" t="s">
        <v>246</v>
      </c>
      <c r="J839" s="149"/>
      <c r="K839" s="150"/>
      <c r="L839" s="148" t="s">
        <v>4</v>
      </c>
      <c r="M839" s="149"/>
      <c r="N839" s="150"/>
    </row>
    <row r="840" spans="1:14" ht="19.5" customHeight="1" thickBot="1" x14ac:dyDescent="0.25">
      <c r="A840" s="157"/>
      <c r="B840" s="159"/>
      <c r="C840" s="85" t="s">
        <v>5</v>
      </c>
      <c r="D840" s="79" t="s">
        <v>6</v>
      </c>
      <c r="E840" s="80" t="s">
        <v>7</v>
      </c>
      <c r="F840" s="85" t="s">
        <v>5</v>
      </c>
      <c r="G840" s="79" t="s">
        <v>6</v>
      </c>
      <c r="H840" s="80" t="s">
        <v>7</v>
      </c>
      <c r="I840" s="85" t="s">
        <v>5</v>
      </c>
      <c r="J840" s="79" t="s">
        <v>6</v>
      </c>
      <c r="K840" s="80" t="s">
        <v>7</v>
      </c>
      <c r="L840" s="85" t="s">
        <v>5</v>
      </c>
      <c r="M840" s="79" t="s">
        <v>6</v>
      </c>
      <c r="N840" s="80" t="s">
        <v>7</v>
      </c>
    </row>
    <row r="841" spans="1:14" ht="19.5" customHeight="1" outlineLevel="1" x14ac:dyDescent="0.2">
      <c r="A841" s="100">
        <v>1</v>
      </c>
      <c r="B841" s="86" t="s">
        <v>8</v>
      </c>
      <c r="C841" s="87">
        <v>2.5499999999999998</v>
      </c>
      <c r="D841" s="88">
        <v>1.6217999999999999</v>
      </c>
      <c r="E841" s="89">
        <v>636</v>
      </c>
      <c r="F841" s="87">
        <v>16.82</v>
      </c>
      <c r="G841" s="88">
        <v>11.773999999999999</v>
      </c>
      <c r="H841" s="89">
        <v>700</v>
      </c>
      <c r="I841" s="87">
        <v>84.53</v>
      </c>
      <c r="J841" s="88">
        <v>122.05150000000002</v>
      </c>
      <c r="K841" s="89">
        <v>1443.8838282266652</v>
      </c>
      <c r="L841" s="87">
        <v>34.633333333333333</v>
      </c>
      <c r="M841" s="88">
        <v>45.149100000000004</v>
      </c>
      <c r="N841" s="89">
        <v>1303.6313763233882</v>
      </c>
    </row>
    <row r="842" spans="1:14" ht="19.5" customHeight="1" outlineLevel="1" x14ac:dyDescent="0.2">
      <c r="A842" s="101">
        <v>2</v>
      </c>
      <c r="B842" s="81" t="s">
        <v>9</v>
      </c>
      <c r="C842" s="84">
        <v>1.67</v>
      </c>
      <c r="D842" s="53">
        <v>1.07047</v>
      </c>
      <c r="E842" s="78">
        <v>641</v>
      </c>
      <c r="F842" s="84">
        <v>0</v>
      </c>
      <c r="G842" s="53">
        <v>0</v>
      </c>
      <c r="H842" s="78">
        <v>0</v>
      </c>
      <c r="I842" s="84">
        <v>0</v>
      </c>
      <c r="J842" s="53">
        <v>0</v>
      </c>
      <c r="K842" s="78">
        <v>0</v>
      </c>
      <c r="L842" s="84">
        <v>1.67</v>
      </c>
      <c r="M842" s="53">
        <v>1.07047</v>
      </c>
      <c r="N842" s="78">
        <v>641</v>
      </c>
    </row>
    <row r="843" spans="1:14" ht="19.5" customHeight="1" outlineLevel="1" x14ac:dyDescent="0.2">
      <c r="A843" s="101">
        <v>3</v>
      </c>
      <c r="B843" s="81" t="s">
        <v>10</v>
      </c>
      <c r="C843" s="84">
        <v>0</v>
      </c>
      <c r="D843" s="53">
        <v>0</v>
      </c>
      <c r="E843" s="78">
        <v>0</v>
      </c>
      <c r="F843" s="84">
        <v>0</v>
      </c>
      <c r="G843" s="53">
        <v>0</v>
      </c>
      <c r="H843" s="78">
        <v>0</v>
      </c>
      <c r="I843" s="84">
        <v>0.01</v>
      </c>
      <c r="J843" s="53">
        <v>4.0700000000000007E-3</v>
      </c>
      <c r="K843" s="78">
        <v>407</v>
      </c>
      <c r="L843" s="84">
        <v>0.01</v>
      </c>
      <c r="M843" s="53">
        <v>4.0700000000000007E-3</v>
      </c>
      <c r="N843" s="78">
        <v>407</v>
      </c>
    </row>
    <row r="844" spans="1:14" ht="19.5" customHeight="1" outlineLevel="1" x14ac:dyDescent="0.2">
      <c r="A844" s="101">
        <v>4</v>
      </c>
      <c r="B844" s="81" t="s">
        <v>11</v>
      </c>
      <c r="C844" s="84">
        <v>0.65</v>
      </c>
      <c r="D844" s="53">
        <v>0.32500000000000001</v>
      </c>
      <c r="E844" s="78">
        <v>500</v>
      </c>
      <c r="F844" s="84">
        <v>0.71</v>
      </c>
      <c r="G844" s="53">
        <v>0.42813000000000001</v>
      </c>
      <c r="H844" s="78">
        <v>603</v>
      </c>
      <c r="I844" s="84">
        <v>0.85</v>
      </c>
      <c r="J844" s="53">
        <v>0.42499999999999999</v>
      </c>
      <c r="K844" s="78">
        <v>500</v>
      </c>
      <c r="L844" s="84">
        <v>0.73666666666666669</v>
      </c>
      <c r="M844" s="53">
        <v>0.39271000000000006</v>
      </c>
      <c r="N844" s="78">
        <v>533.09049773755657</v>
      </c>
    </row>
    <row r="845" spans="1:14" ht="19.5" customHeight="1" outlineLevel="1" x14ac:dyDescent="0.2">
      <c r="A845" s="101">
        <v>5</v>
      </c>
      <c r="B845" s="81" t="s">
        <v>12</v>
      </c>
      <c r="C845" s="84">
        <v>0</v>
      </c>
      <c r="D845" s="53">
        <v>0</v>
      </c>
      <c r="E845" s="78">
        <v>0</v>
      </c>
      <c r="F845" s="84">
        <v>0</v>
      </c>
      <c r="G845" s="53">
        <v>0</v>
      </c>
      <c r="H845" s="78">
        <v>0</v>
      </c>
      <c r="I845" s="84">
        <v>0</v>
      </c>
      <c r="J845" s="53">
        <v>0</v>
      </c>
      <c r="K845" s="78">
        <v>0</v>
      </c>
      <c r="L845" s="84">
        <v>0</v>
      </c>
      <c r="M845" s="53">
        <v>0</v>
      </c>
      <c r="N845" s="78">
        <v>0</v>
      </c>
    </row>
    <row r="846" spans="1:14" ht="19.5" customHeight="1" outlineLevel="1" x14ac:dyDescent="0.2">
      <c r="A846" s="101">
        <v>6</v>
      </c>
      <c r="B846" s="81" t="s">
        <v>13</v>
      </c>
      <c r="C846" s="84">
        <v>0</v>
      </c>
      <c r="D846" s="53">
        <v>0</v>
      </c>
      <c r="E846" s="78">
        <v>0</v>
      </c>
      <c r="F846" s="84">
        <v>0</v>
      </c>
      <c r="G846" s="53">
        <v>0</v>
      </c>
      <c r="H846" s="78">
        <v>0</v>
      </c>
      <c r="I846" s="84">
        <v>0</v>
      </c>
      <c r="J846" s="53">
        <v>0</v>
      </c>
      <c r="K846" s="78">
        <v>0</v>
      </c>
      <c r="L846" s="84">
        <v>0</v>
      </c>
      <c r="M846" s="53">
        <v>0</v>
      </c>
      <c r="N846" s="78">
        <v>0</v>
      </c>
    </row>
    <row r="847" spans="1:14" ht="19.5" customHeight="1" outlineLevel="1" x14ac:dyDescent="0.2">
      <c r="A847" s="101">
        <v>7</v>
      </c>
      <c r="B847" s="81" t="s">
        <v>14</v>
      </c>
      <c r="C847" s="84">
        <v>0.02</v>
      </c>
      <c r="D847" s="53">
        <v>4.4000000000000003E-3</v>
      </c>
      <c r="E847" s="78">
        <v>220</v>
      </c>
      <c r="F847" s="84">
        <v>0</v>
      </c>
      <c r="G847" s="53">
        <v>0</v>
      </c>
      <c r="H847" s="78">
        <v>0</v>
      </c>
      <c r="I847" s="84">
        <v>0.06</v>
      </c>
      <c r="J847" s="53">
        <v>0.03</v>
      </c>
      <c r="K847" s="78">
        <v>500</v>
      </c>
      <c r="L847" s="84">
        <v>0.04</v>
      </c>
      <c r="M847" s="53">
        <v>1.72E-2</v>
      </c>
      <c r="N847" s="78">
        <v>430</v>
      </c>
    </row>
    <row r="848" spans="1:14" ht="19.5" customHeight="1" outlineLevel="1" x14ac:dyDescent="0.2">
      <c r="A848" s="101">
        <v>8</v>
      </c>
      <c r="B848" s="81" t="s">
        <v>15</v>
      </c>
      <c r="C848" s="84">
        <v>0.37</v>
      </c>
      <c r="D848" s="53">
        <v>0.24049999999999999</v>
      </c>
      <c r="E848" s="78">
        <v>650</v>
      </c>
      <c r="F848" s="84">
        <v>0</v>
      </c>
      <c r="G848" s="53">
        <v>0</v>
      </c>
      <c r="H848" s="78">
        <v>0</v>
      </c>
      <c r="I848" s="84">
        <v>0</v>
      </c>
      <c r="J848" s="53">
        <v>0</v>
      </c>
      <c r="K848" s="78">
        <v>0</v>
      </c>
      <c r="L848" s="84">
        <v>0.37</v>
      </c>
      <c r="M848" s="53">
        <v>0.24049999999999999</v>
      </c>
      <c r="N848" s="78">
        <v>650</v>
      </c>
    </row>
    <row r="849" spans="1:14" ht="19.5" customHeight="1" outlineLevel="1" x14ac:dyDescent="0.2">
      <c r="A849" s="101">
        <v>9</v>
      </c>
      <c r="B849" s="81" t="s">
        <v>16</v>
      </c>
      <c r="C849" s="84">
        <v>0</v>
      </c>
      <c r="D849" s="53">
        <v>0</v>
      </c>
      <c r="E849" s="78">
        <v>0</v>
      </c>
      <c r="F849" s="84">
        <v>0</v>
      </c>
      <c r="G849" s="53">
        <v>0</v>
      </c>
      <c r="H849" s="78">
        <v>0</v>
      </c>
      <c r="I849" s="84">
        <v>0</v>
      </c>
      <c r="J849" s="53">
        <v>0</v>
      </c>
      <c r="K849" s="78">
        <v>0</v>
      </c>
      <c r="L849" s="84">
        <v>0</v>
      </c>
      <c r="M849" s="53">
        <v>0</v>
      </c>
      <c r="N849" s="78">
        <v>0</v>
      </c>
    </row>
    <row r="850" spans="1:14" ht="19.5" customHeight="1" outlineLevel="1" x14ac:dyDescent="0.2">
      <c r="A850" s="101">
        <v>10</v>
      </c>
      <c r="B850" s="81" t="s">
        <v>17</v>
      </c>
      <c r="C850" s="84">
        <v>0</v>
      </c>
      <c r="D850" s="53">
        <v>0</v>
      </c>
      <c r="E850" s="78">
        <v>0</v>
      </c>
      <c r="F850" s="84">
        <v>0</v>
      </c>
      <c r="G850" s="53">
        <v>0</v>
      </c>
      <c r="H850" s="78">
        <v>0</v>
      </c>
      <c r="I850" s="84">
        <v>0</v>
      </c>
      <c r="J850" s="53">
        <v>0</v>
      </c>
      <c r="K850" s="78">
        <v>0</v>
      </c>
      <c r="L850" s="84">
        <v>0</v>
      </c>
      <c r="M850" s="53">
        <v>0</v>
      </c>
      <c r="N850" s="78">
        <v>0</v>
      </c>
    </row>
    <row r="851" spans="1:14" ht="19.5" customHeight="1" outlineLevel="1" x14ac:dyDescent="0.2">
      <c r="A851" s="101">
        <v>11</v>
      </c>
      <c r="B851" s="81" t="s">
        <v>18</v>
      </c>
      <c r="C851" s="84">
        <v>0</v>
      </c>
      <c r="D851" s="53">
        <v>0</v>
      </c>
      <c r="E851" s="78">
        <v>0</v>
      </c>
      <c r="F851" s="84">
        <v>0</v>
      </c>
      <c r="G851" s="53">
        <v>0</v>
      </c>
      <c r="H851" s="78">
        <v>0</v>
      </c>
      <c r="I851" s="84">
        <v>0</v>
      </c>
      <c r="J851" s="53">
        <v>0</v>
      </c>
      <c r="K851" s="78">
        <v>0</v>
      </c>
      <c r="L851" s="84">
        <v>0</v>
      </c>
      <c r="M851" s="53">
        <v>0</v>
      </c>
      <c r="N851" s="78">
        <v>0</v>
      </c>
    </row>
    <row r="852" spans="1:14" ht="19.5" customHeight="1" outlineLevel="1" x14ac:dyDescent="0.2">
      <c r="A852" s="101">
        <v>12</v>
      </c>
      <c r="B852" s="81" t="s">
        <v>19</v>
      </c>
      <c r="C852" s="84">
        <v>0</v>
      </c>
      <c r="D852" s="53">
        <v>0</v>
      </c>
      <c r="E852" s="78">
        <v>0</v>
      </c>
      <c r="F852" s="84">
        <v>0</v>
      </c>
      <c r="G852" s="53">
        <v>0</v>
      </c>
      <c r="H852" s="78">
        <v>0</v>
      </c>
      <c r="I852" s="84">
        <v>0</v>
      </c>
      <c r="J852" s="53">
        <v>0</v>
      </c>
      <c r="K852" s="78">
        <v>0</v>
      </c>
      <c r="L852" s="84">
        <v>0</v>
      </c>
      <c r="M852" s="53">
        <v>0</v>
      </c>
      <c r="N852" s="78">
        <v>0</v>
      </c>
    </row>
    <row r="853" spans="1:14" ht="19.5" customHeight="1" outlineLevel="1" x14ac:dyDescent="0.2">
      <c r="A853" s="101">
        <v>13</v>
      </c>
      <c r="B853" s="81" t="s">
        <v>20</v>
      </c>
      <c r="C853" s="84">
        <v>0</v>
      </c>
      <c r="D853" s="53">
        <v>0</v>
      </c>
      <c r="E853" s="78">
        <v>0</v>
      </c>
      <c r="F853" s="84">
        <v>0</v>
      </c>
      <c r="G853" s="53">
        <v>0</v>
      </c>
      <c r="H853" s="78">
        <v>0</v>
      </c>
      <c r="I853" s="84">
        <v>0</v>
      </c>
      <c r="J853" s="53">
        <v>0</v>
      </c>
      <c r="K853" s="78">
        <v>0</v>
      </c>
      <c r="L853" s="84">
        <v>0</v>
      </c>
      <c r="M853" s="53">
        <v>0</v>
      </c>
      <c r="N853" s="78">
        <v>0</v>
      </c>
    </row>
    <row r="854" spans="1:14" ht="19.5" customHeight="1" outlineLevel="1" x14ac:dyDescent="0.2">
      <c r="A854" s="101">
        <v>14</v>
      </c>
      <c r="B854" s="81" t="s">
        <v>21</v>
      </c>
      <c r="C854" s="84">
        <v>0</v>
      </c>
      <c r="D854" s="53">
        <v>0</v>
      </c>
      <c r="E854" s="78">
        <v>0</v>
      </c>
      <c r="F854" s="84">
        <v>0</v>
      </c>
      <c r="G854" s="53">
        <v>0</v>
      </c>
      <c r="H854" s="78">
        <v>0</v>
      </c>
      <c r="I854" s="84">
        <v>0</v>
      </c>
      <c r="J854" s="53">
        <v>0</v>
      </c>
      <c r="K854" s="78">
        <v>0</v>
      </c>
      <c r="L854" s="84">
        <v>0</v>
      </c>
      <c r="M854" s="53">
        <v>0</v>
      </c>
      <c r="N854" s="78">
        <v>0</v>
      </c>
    </row>
    <row r="855" spans="1:14" ht="19.5" customHeight="1" outlineLevel="1" x14ac:dyDescent="0.2">
      <c r="A855" s="101">
        <v>15</v>
      </c>
      <c r="B855" s="81" t="s">
        <v>22</v>
      </c>
      <c r="C855" s="84">
        <v>0</v>
      </c>
      <c r="D855" s="53">
        <v>0</v>
      </c>
      <c r="E855" s="78">
        <v>0</v>
      </c>
      <c r="F855" s="84">
        <v>0</v>
      </c>
      <c r="G855" s="53">
        <v>0</v>
      </c>
      <c r="H855" s="78">
        <v>0</v>
      </c>
      <c r="I855" s="84">
        <v>4</v>
      </c>
      <c r="J855" s="53">
        <v>4.4000000000000004</v>
      </c>
      <c r="K855" s="78">
        <v>1100</v>
      </c>
      <c r="L855" s="84">
        <v>4</v>
      </c>
      <c r="M855" s="53">
        <v>4.4000000000000004</v>
      </c>
      <c r="N855" s="78">
        <v>1100</v>
      </c>
    </row>
    <row r="856" spans="1:14" ht="19.5" customHeight="1" outlineLevel="1" x14ac:dyDescent="0.2">
      <c r="A856" s="101">
        <v>16</v>
      </c>
      <c r="B856" s="81" t="s">
        <v>23</v>
      </c>
      <c r="C856" s="84">
        <v>0</v>
      </c>
      <c r="D856" s="53">
        <v>0</v>
      </c>
      <c r="E856" s="78">
        <v>0</v>
      </c>
      <c r="F856" s="84">
        <v>0</v>
      </c>
      <c r="G856" s="53">
        <v>0</v>
      </c>
      <c r="H856" s="78">
        <v>0</v>
      </c>
      <c r="I856" s="84">
        <v>0</v>
      </c>
      <c r="J856" s="53">
        <v>0</v>
      </c>
      <c r="K856" s="78">
        <v>0</v>
      </c>
      <c r="L856" s="84">
        <v>0</v>
      </c>
      <c r="M856" s="53">
        <v>0</v>
      </c>
      <c r="N856" s="78">
        <v>0</v>
      </c>
    </row>
    <row r="857" spans="1:14" ht="19.5" customHeight="1" outlineLevel="1" x14ac:dyDescent="0.2">
      <c r="A857" s="101">
        <v>17</v>
      </c>
      <c r="B857" s="81" t="s">
        <v>24</v>
      </c>
      <c r="C857" s="84">
        <v>0.02</v>
      </c>
      <c r="D857" s="53">
        <v>1.6E-2</v>
      </c>
      <c r="E857" s="78">
        <v>800</v>
      </c>
      <c r="F857" s="84">
        <v>0</v>
      </c>
      <c r="G857" s="53">
        <v>0</v>
      </c>
      <c r="H857" s="78">
        <v>0</v>
      </c>
      <c r="I857" s="84">
        <v>0</v>
      </c>
      <c r="J857" s="53">
        <v>0</v>
      </c>
      <c r="K857" s="78">
        <v>0</v>
      </c>
      <c r="L857" s="84">
        <v>0.02</v>
      </c>
      <c r="M857" s="53">
        <v>1.6E-2</v>
      </c>
      <c r="N857" s="78">
        <v>800</v>
      </c>
    </row>
    <row r="858" spans="1:14" ht="19.5" customHeight="1" outlineLevel="1" x14ac:dyDescent="0.2">
      <c r="A858" s="101">
        <v>18</v>
      </c>
      <c r="B858" s="81" t="s">
        <v>25</v>
      </c>
      <c r="C858" s="84">
        <v>0.03</v>
      </c>
      <c r="D858" s="53">
        <v>1.6025099999999997E-2</v>
      </c>
      <c r="E858" s="78">
        <v>534.16999999999996</v>
      </c>
      <c r="F858" s="84">
        <v>0</v>
      </c>
      <c r="G858" s="53">
        <v>0</v>
      </c>
      <c r="H858" s="78">
        <v>0</v>
      </c>
      <c r="I858" s="84">
        <v>0</v>
      </c>
      <c r="J858" s="53">
        <v>0</v>
      </c>
      <c r="K858" s="78">
        <v>0</v>
      </c>
      <c r="L858" s="84">
        <v>0.03</v>
      </c>
      <c r="M858" s="53">
        <v>1.6025099999999997E-2</v>
      </c>
      <c r="N858" s="78">
        <v>534.16999999999996</v>
      </c>
    </row>
    <row r="859" spans="1:14" ht="19.5" customHeight="1" outlineLevel="1" x14ac:dyDescent="0.2">
      <c r="A859" s="101">
        <v>19</v>
      </c>
      <c r="B859" s="81" t="s">
        <v>26</v>
      </c>
      <c r="C859" s="84">
        <v>0</v>
      </c>
      <c r="D859" s="53">
        <v>0</v>
      </c>
      <c r="E859" s="78">
        <v>0</v>
      </c>
      <c r="F859" s="84">
        <v>0</v>
      </c>
      <c r="G859" s="53">
        <v>0</v>
      </c>
      <c r="H859" s="78">
        <v>0</v>
      </c>
      <c r="I859" s="84">
        <v>0</v>
      </c>
      <c r="J859" s="53">
        <v>0</v>
      </c>
      <c r="K859" s="78">
        <v>0</v>
      </c>
      <c r="L859" s="84">
        <v>0</v>
      </c>
      <c r="M859" s="53">
        <v>0</v>
      </c>
      <c r="N859" s="78">
        <v>0</v>
      </c>
    </row>
    <row r="860" spans="1:14" ht="19.5" customHeight="1" outlineLevel="1" x14ac:dyDescent="0.2">
      <c r="A860" s="101">
        <v>20</v>
      </c>
      <c r="B860" s="81" t="s">
        <v>27</v>
      </c>
      <c r="C860" s="84">
        <v>0</v>
      </c>
      <c r="D860" s="53">
        <v>0</v>
      </c>
      <c r="E860" s="78">
        <v>0</v>
      </c>
      <c r="F860" s="84">
        <v>0</v>
      </c>
      <c r="G860" s="53">
        <v>0</v>
      </c>
      <c r="H860" s="78">
        <v>0</v>
      </c>
      <c r="I860" s="84">
        <v>0</v>
      </c>
      <c r="J860" s="53">
        <v>0</v>
      </c>
      <c r="K860" s="78">
        <v>0</v>
      </c>
      <c r="L860" s="84">
        <v>0</v>
      </c>
      <c r="M860" s="53">
        <v>0</v>
      </c>
      <c r="N860" s="78">
        <v>0</v>
      </c>
    </row>
    <row r="861" spans="1:14" ht="19.5" customHeight="1" outlineLevel="1" x14ac:dyDescent="0.2">
      <c r="A861" s="101">
        <v>21</v>
      </c>
      <c r="B861" s="81" t="s">
        <v>28</v>
      </c>
      <c r="C861" s="84">
        <v>0</v>
      </c>
      <c r="D861" s="53">
        <v>0</v>
      </c>
      <c r="E861" s="78">
        <v>0</v>
      </c>
      <c r="F861" s="84">
        <v>0</v>
      </c>
      <c r="G861" s="53">
        <v>0</v>
      </c>
      <c r="H861" s="78">
        <v>0</v>
      </c>
      <c r="I861" s="84">
        <v>0</v>
      </c>
      <c r="J861" s="53">
        <v>0</v>
      </c>
      <c r="K861" s="78">
        <v>0</v>
      </c>
      <c r="L861" s="84">
        <v>0</v>
      </c>
      <c r="M861" s="53">
        <v>0</v>
      </c>
      <c r="N861" s="78">
        <v>0</v>
      </c>
    </row>
    <row r="862" spans="1:14" ht="19.5" customHeight="1" outlineLevel="1" x14ac:dyDescent="0.2">
      <c r="A862" s="101">
        <v>22</v>
      </c>
      <c r="B862" s="81" t="s">
        <v>29</v>
      </c>
      <c r="C862" s="84">
        <v>0</v>
      </c>
      <c r="D862" s="53">
        <v>0</v>
      </c>
      <c r="E862" s="78">
        <v>0</v>
      </c>
      <c r="F862" s="84">
        <v>0.1</v>
      </c>
      <c r="G862" s="53">
        <v>7.4999999999999997E-2</v>
      </c>
      <c r="H862" s="78">
        <v>750</v>
      </c>
      <c r="I862" s="84">
        <v>0</v>
      </c>
      <c r="J862" s="53">
        <v>0</v>
      </c>
      <c r="K862" s="78">
        <v>0</v>
      </c>
      <c r="L862" s="84">
        <v>0.1</v>
      </c>
      <c r="M862" s="53">
        <v>7.4999999999999997E-2</v>
      </c>
      <c r="N862" s="78">
        <v>750</v>
      </c>
    </row>
    <row r="863" spans="1:14" ht="19.5" customHeight="1" outlineLevel="1" x14ac:dyDescent="0.2">
      <c r="A863" s="101">
        <v>23</v>
      </c>
      <c r="B863" s="81" t="s">
        <v>30</v>
      </c>
      <c r="C863" s="84">
        <v>0.1</v>
      </c>
      <c r="D863" s="53">
        <v>8.8200000000000001E-2</v>
      </c>
      <c r="E863" s="78">
        <v>882</v>
      </c>
      <c r="F863" s="84">
        <v>0.01</v>
      </c>
      <c r="G863" s="53">
        <v>8.0000000000000002E-3</v>
      </c>
      <c r="H863" s="78">
        <v>800</v>
      </c>
      <c r="I863" s="84">
        <v>0.13</v>
      </c>
      <c r="J863" s="53">
        <v>0.10010000000000001</v>
      </c>
      <c r="K863" s="78">
        <v>770</v>
      </c>
      <c r="L863" s="84">
        <v>0.08</v>
      </c>
      <c r="M863" s="53">
        <v>6.5433333333333343E-2</v>
      </c>
      <c r="N863" s="78">
        <v>817.91666666666674</v>
      </c>
    </row>
    <row r="864" spans="1:14" ht="19.5" customHeight="1" outlineLevel="1" x14ac:dyDescent="0.2">
      <c r="A864" s="101">
        <v>24</v>
      </c>
      <c r="B864" s="81" t="s">
        <v>31</v>
      </c>
      <c r="C864" s="84">
        <v>0</v>
      </c>
      <c r="D864" s="53">
        <v>0</v>
      </c>
      <c r="E864" s="78">
        <v>0</v>
      </c>
      <c r="F864" s="84">
        <v>0</v>
      </c>
      <c r="G864" s="53">
        <v>0</v>
      </c>
      <c r="H864" s="78">
        <v>0</v>
      </c>
      <c r="I864" s="84">
        <v>0</v>
      </c>
      <c r="J864" s="53">
        <v>0</v>
      </c>
      <c r="K864" s="78">
        <v>0</v>
      </c>
      <c r="L864" s="84">
        <v>0</v>
      </c>
      <c r="M864" s="53">
        <v>0</v>
      </c>
      <c r="N864" s="78">
        <v>0</v>
      </c>
    </row>
    <row r="865" spans="1:14" ht="19.5" customHeight="1" outlineLevel="1" x14ac:dyDescent="0.2">
      <c r="A865" s="101">
        <v>25</v>
      </c>
      <c r="B865" s="81" t="s">
        <v>32</v>
      </c>
      <c r="C865" s="84">
        <v>0</v>
      </c>
      <c r="D865" s="53">
        <v>0</v>
      </c>
      <c r="E865" s="78">
        <v>0</v>
      </c>
      <c r="F865" s="84">
        <v>0.16</v>
      </c>
      <c r="G865" s="53">
        <v>9.0400000000000008E-2</v>
      </c>
      <c r="H865" s="78">
        <v>565</v>
      </c>
      <c r="I865" s="84">
        <v>0</v>
      </c>
      <c r="J865" s="53">
        <v>0</v>
      </c>
      <c r="K865" s="78">
        <v>0</v>
      </c>
      <c r="L865" s="84">
        <v>0.16</v>
      </c>
      <c r="M865" s="53">
        <v>9.0400000000000008E-2</v>
      </c>
      <c r="N865" s="78">
        <v>565</v>
      </c>
    </row>
    <row r="866" spans="1:14" ht="19.5" customHeight="1" outlineLevel="1" x14ac:dyDescent="0.2">
      <c r="A866" s="101">
        <v>26</v>
      </c>
      <c r="B866" s="81" t="s">
        <v>33</v>
      </c>
      <c r="C866" s="84">
        <v>0</v>
      </c>
      <c r="D866" s="53">
        <v>0</v>
      </c>
      <c r="E866" s="78">
        <v>0</v>
      </c>
      <c r="F866" s="84">
        <v>0</v>
      </c>
      <c r="G866" s="53">
        <v>0</v>
      </c>
      <c r="H866" s="78">
        <v>0</v>
      </c>
      <c r="I866" s="84">
        <v>0</v>
      </c>
      <c r="J866" s="53">
        <v>0</v>
      </c>
      <c r="K866" s="78">
        <v>0</v>
      </c>
      <c r="L866" s="84">
        <v>0</v>
      </c>
      <c r="M866" s="53">
        <v>0</v>
      </c>
      <c r="N866" s="78">
        <v>0</v>
      </c>
    </row>
    <row r="867" spans="1:14" ht="19.5" customHeight="1" outlineLevel="1" x14ac:dyDescent="0.2">
      <c r="A867" s="101">
        <v>27</v>
      </c>
      <c r="B867" s="81" t="s">
        <v>34</v>
      </c>
      <c r="C867" s="84">
        <v>0</v>
      </c>
      <c r="D867" s="53">
        <v>0</v>
      </c>
      <c r="E867" s="78">
        <v>0</v>
      </c>
      <c r="F867" s="84">
        <v>0</v>
      </c>
      <c r="G867" s="53">
        <v>0</v>
      </c>
      <c r="H867" s="78">
        <v>0</v>
      </c>
      <c r="I867" s="84">
        <v>7.0000000000000007E-2</v>
      </c>
      <c r="J867" s="53">
        <v>4.9000000000000009E-2</v>
      </c>
      <c r="K867" s="78">
        <v>700</v>
      </c>
      <c r="L867" s="84">
        <v>7.0000000000000007E-2</v>
      </c>
      <c r="M867" s="53">
        <v>4.9000000000000009E-2</v>
      </c>
      <c r="N867" s="78">
        <v>700</v>
      </c>
    </row>
    <row r="868" spans="1:14" ht="19.5" customHeight="1" outlineLevel="1" x14ac:dyDescent="0.2">
      <c r="A868" s="101">
        <v>28</v>
      </c>
      <c r="B868" s="81" t="s">
        <v>35</v>
      </c>
      <c r="C868" s="84">
        <v>0</v>
      </c>
      <c r="D868" s="53">
        <v>0</v>
      </c>
      <c r="E868" s="78">
        <v>0</v>
      </c>
      <c r="F868" s="84">
        <v>4.5</v>
      </c>
      <c r="G868" s="53">
        <v>2.5649999999999999</v>
      </c>
      <c r="H868" s="78">
        <v>570</v>
      </c>
      <c r="I868" s="84">
        <v>0</v>
      </c>
      <c r="J868" s="53">
        <v>0</v>
      </c>
      <c r="K868" s="78">
        <v>0</v>
      </c>
      <c r="L868" s="84">
        <v>4.5</v>
      </c>
      <c r="M868" s="53">
        <v>2.5649999999999999</v>
      </c>
      <c r="N868" s="78">
        <v>570</v>
      </c>
    </row>
    <row r="869" spans="1:14" ht="19.5" customHeight="1" outlineLevel="1" x14ac:dyDescent="0.2">
      <c r="A869" s="101">
        <v>29</v>
      </c>
      <c r="B869" s="81" t="s">
        <v>36</v>
      </c>
      <c r="C869" s="84">
        <v>0.41</v>
      </c>
      <c r="D869" s="53">
        <v>0.27879999999999999</v>
      </c>
      <c r="E869" s="78">
        <v>680</v>
      </c>
      <c r="F869" s="84">
        <v>0.25</v>
      </c>
      <c r="G869" s="53">
        <v>0.1605</v>
      </c>
      <c r="H869" s="78">
        <v>642</v>
      </c>
      <c r="I869" s="84">
        <v>0</v>
      </c>
      <c r="J869" s="53">
        <v>0</v>
      </c>
      <c r="K869" s="78">
        <v>0</v>
      </c>
      <c r="L869" s="84">
        <v>0.32999999999999996</v>
      </c>
      <c r="M869" s="53">
        <v>0.21965000000000001</v>
      </c>
      <c r="N869" s="78">
        <v>665.60606060606074</v>
      </c>
    </row>
    <row r="870" spans="1:14" ht="19.5" customHeight="1" outlineLevel="1" x14ac:dyDescent="0.2">
      <c r="A870" s="101">
        <v>30</v>
      </c>
      <c r="B870" s="81" t="s">
        <v>37</v>
      </c>
      <c r="C870" s="84">
        <v>0</v>
      </c>
      <c r="D870" s="53">
        <v>0</v>
      </c>
      <c r="E870" s="78">
        <v>0</v>
      </c>
      <c r="F870" s="84">
        <v>0</v>
      </c>
      <c r="G870" s="53">
        <v>0</v>
      </c>
      <c r="H870" s="78">
        <v>0</v>
      </c>
      <c r="I870" s="84">
        <v>0</v>
      </c>
      <c r="J870" s="53">
        <v>0</v>
      </c>
      <c r="K870" s="78">
        <v>0</v>
      </c>
      <c r="L870" s="84">
        <v>0</v>
      </c>
      <c r="M870" s="53">
        <v>0</v>
      </c>
      <c r="N870" s="78">
        <v>0</v>
      </c>
    </row>
    <row r="871" spans="1:14" ht="19.5" customHeight="1" outlineLevel="1" x14ac:dyDescent="0.2">
      <c r="A871" s="101">
        <v>31</v>
      </c>
      <c r="B871" s="81" t="s">
        <v>38</v>
      </c>
      <c r="C871" s="84">
        <v>0</v>
      </c>
      <c r="D871" s="53">
        <v>0</v>
      </c>
      <c r="E871" s="78">
        <v>0</v>
      </c>
      <c r="F871" s="84">
        <v>0</v>
      </c>
      <c r="G871" s="53">
        <v>0</v>
      </c>
      <c r="H871" s="78">
        <v>0</v>
      </c>
      <c r="I871" s="84">
        <v>0</v>
      </c>
      <c r="J871" s="53">
        <v>0</v>
      </c>
      <c r="K871" s="78">
        <v>0</v>
      </c>
      <c r="L871" s="84">
        <v>0</v>
      </c>
      <c r="M871" s="53">
        <v>0</v>
      </c>
      <c r="N871" s="78">
        <v>0</v>
      </c>
    </row>
    <row r="872" spans="1:14" ht="19.5" customHeight="1" outlineLevel="1" x14ac:dyDescent="0.2">
      <c r="A872" s="101">
        <v>32</v>
      </c>
      <c r="B872" s="81" t="s">
        <v>39</v>
      </c>
      <c r="C872" s="84">
        <v>8.65</v>
      </c>
      <c r="D872" s="53">
        <v>5.9079499999999996</v>
      </c>
      <c r="E872" s="78">
        <v>683</v>
      </c>
      <c r="F872" s="84">
        <v>13.12</v>
      </c>
      <c r="G872" s="53">
        <v>8.9461499999999994</v>
      </c>
      <c r="H872" s="78">
        <v>681.87118902439022</v>
      </c>
      <c r="I872" s="84">
        <v>13.71</v>
      </c>
      <c r="J872" s="53">
        <v>7.9666000000000015</v>
      </c>
      <c r="K872" s="78">
        <v>581.07950401167034</v>
      </c>
      <c r="L872" s="84">
        <v>11.826666666666668</v>
      </c>
      <c r="M872" s="53">
        <v>7.6069000000000004</v>
      </c>
      <c r="N872" s="78">
        <v>643.19898534385561</v>
      </c>
    </row>
    <row r="873" spans="1:14" ht="19.5" customHeight="1" outlineLevel="1" thickBot="1" x14ac:dyDescent="0.25">
      <c r="A873" s="102">
        <v>33</v>
      </c>
      <c r="B873" s="91" t="s">
        <v>40</v>
      </c>
      <c r="C873" s="92">
        <v>0</v>
      </c>
      <c r="D873" s="93">
        <v>0</v>
      </c>
      <c r="E873" s="94">
        <v>0</v>
      </c>
      <c r="F873" s="92">
        <v>0</v>
      </c>
      <c r="G873" s="93">
        <v>0</v>
      </c>
      <c r="H873" s="94">
        <v>0</v>
      </c>
      <c r="I873" s="92">
        <v>0</v>
      </c>
      <c r="J873" s="93">
        <v>0</v>
      </c>
      <c r="K873" s="94">
        <v>0</v>
      </c>
      <c r="L873" s="92">
        <v>0</v>
      </c>
      <c r="M873" s="93">
        <v>0</v>
      </c>
      <c r="N873" s="94">
        <v>0</v>
      </c>
    </row>
    <row r="874" spans="1:14" ht="19.5" customHeight="1" thickBot="1" x14ac:dyDescent="0.25">
      <c r="A874" s="151" t="s">
        <v>41</v>
      </c>
      <c r="B874" s="152"/>
      <c r="C874" s="96">
        <v>14.469999999999999</v>
      </c>
      <c r="D874" s="97">
        <v>9.5691451000000001</v>
      </c>
      <c r="E874" s="98">
        <v>661.30926744989642</v>
      </c>
      <c r="F874" s="96">
        <v>35.67</v>
      </c>
      <c r="G874" s="97">
        <v>24.047179999999997</v>
      </c>
      <c r="H874" s="98">
        <v>674.15699467339493</v>
      </c>
      <c r="I874" s="96">
        <v>103.35999999999999</v>
      </c>
      <c r="J874" s="97">
        <v>135.02627000000004</v>
      </c>
      <c r="K874" s="98">
        <v>1306.3687113003102</v>
      </c>
      <c r="L874" s="96">
        <v>51.166666666666664</v>
      </c>
      <c r="M874" s="97">
        <v>56.214198366666686</v>
      </c>
      <c r="N874" s="98">
        <v>1098.6488280130297</v>
      </c>
    </row>
    <row r="875" spans="1:14" ht="34.5" customHeight="1" x14ac:dyDescent="0.2">
      <c r="A875" s="153" t="s">
        <v>247</v>
      </c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</row>
    <row r="876" spans="1:14" ht="19.5" customHeight="1" thickBot="1" x14ac:dyDescent="0.25">
      <c r="A876" s="50"/>
      <c r="B876" s="51" t="s">
        <v>65</v>
      </c>
      <c r="C876" s="52"/>
      <c r="D876" s="52"/>
      <c r="E876" s="52"/>
      <c r="F876" s="52"/>
      <c r="G876" s="52"/>
      <c r="H876" s="52"/>
      <c r="I876" s="52"/>
      <c r="J876" s="52"/>
      <c r="K876" s="155" t="s">
        <v>1</v>
      </c>
      <c r="L876" s="154"/>
      <c r="M876" s="154"/>
      <c r="N876" s="154"/>
    </row>
    <row r="877" spans="1:14" ht="19.5" customHeight="1" x14ac:dyDescent="0.2">
      <c r="A877" s="156" t="s">
        <v>2</v>
      </c>
      <c r="B877" s="158" t="s">
        <v>3</v>
      </c>
      <c r="C877" s="148" t="s">
        <v>243</v>
      </c>
      <c r="D877" s="149"/>
      <c r="E877" s="150"/>
      <c r="F877" s="148" t="s">
        <v>244</v>
      </c>
      <c r="G877" s="149"/>
      <c r="H877" s="150"/>
      <c r="I877" s="148" t="s">
        <v>246</v>
      </c>
      <c r="J877" s="149"/>
      <c r="K877" s="150"/>
      <c r="L877" s="148" t="s">
        <v>4</v>
      </c>
      <c r="M877" s="149"/>
      <c r="N877" s="150"/>
    </row>
    <row r="878" spans="1:14" ht="19.5" customHeight="1" thickBot="1" x14ac:dyDescent="0.25">
      <c r="A878" s="157"/>
      <c r="B878" s="159"/>
      <c r="C878" s="85" t="s">
        <v>5</v>
      </c>
      <c r="D878" s="79" t="s">
        <v>6</v>
      </c>
      <c r="E878" s="80" t="s">
        <v>7</v>
      </c>
      <c r="F878" s="85" t="s">
        <v>5</v>
      </c>
      <c r="G878" s="79" t="s">
        <v>6</v>
      </c>
      <c r="H878" s="80" t="s">
        <v>7</v>
      </c>
      <c r="I878" s="85" t="s">
        <v>5</v>
      </c>
      <c r="J878" s="79" t="s">
        <v>6</v>
      </c>
      <c r="K878" s="80" t="s">
        <v>7</v>
      </c>
      <c r="L878" s="85" t="s">
        <v>5</v>
      </c>
      <c r="M878" s="79" t="s">
        <v>6</v>
      </c>
      <c r="N878" s="80" t="s">
        <v>7</v>
      </c>
    </row>
    <row r="879" spans="1:14" ht="19.5" customHeight="1" outlineLevel="1" x14ac:dyDescent="0.2">
      <c r="A879" s="100">
        <v>1</v>
      </c>
      <c r="B879" s="86" t="s">
        <v>8</v>
      </c>
      <c r="C879" s="87">
        <v>196.55</v>
      </c>
      <c r="D879" s="88">
        <v>245.05280955158142</v>
      </c>
      <c r="E879" s="89">
        <v>1246.770844831246</v>
      </c>
      <c r="F879" s="87">
        <v>207.04999999999998</v>
      </c>
      <c r="G879" s="88">
        <v>260.06197864015519</v>
      </c>
      <c r="H879" s="89">
        <v>1256.0346710463907</v>
      </c>
      <c r="I879" s="87">
        <v>202.78</v>
      </c>
      <c r="J879" s="88">
        <v>356.01425945770524</v>
      </c>
      <c r="K879" s="89">
        <v>1755.6675187775188</v>
      </c>
      <c r="L879" s="87">
        <v>202.12666666666667</v>
      </c>
      <c r="M879" s="88">
        <v>287.04301588314729</v>
      </c>
      <c r="N879" s="89">
        <v>1420.1145282651835</v>
      </c>
    </row>
    <row r="880" spans="1:14" ht="19.5" customHeight="1" outlineLevel="1" x14ac:dyDescent="0.2">
      <c r="A880" s="101">
        <v>2</v>
      </c>
      <c r="B880" s="81" t="s">
        <v>9</v>
      </c>
      <c r="C880" s="84">
        <v>1421.6799999999998</v>
      </c>
      <c r="D880" s="53">
        <v>2526.538076106533</v>
      </c>
      <c r="E880" s="78">
        <v>1777.1496230561963</v>
      </c>
      <c r="F880" s="84">
        <v>1475.6499999999999</v>
      </c>
      <c r="G880" s="53">
        <v>2715.3625558693971</v>
      </c>
      <c r="H880" s="78">
        <v>1840.1128694943907</v>
      </c>
      <c r="I880" s="84">
        <v>1289.6400000000001</v>
      </c>
      <c r="J880" s="53">
        <v>2419.1185161306307</v>
      </c>
      <c r="K880" s="78">
        <v>1875.8091530431986</v>
      </c>
      <c r="L880" s="84">
        <v>1395.6566666666668</v>
      </c>
      <c r="M880" s="53">
        <v>2553.6730493688538</v>
      </c>
      <c r="N880" s="78">
        <v>1829.7286935675586</v>
      </c>
    </row>
    <row r="881" spans="1:14" ht="19.5" customHeight="1" outlineLevel="1" x14ac:dyDescent="0.2">
      <c r="A881" s="101">
        <v>3</v>
      </c>
      <c r="B881" s="81" t="s">
        <v>10</v>
      </c>
      <c r="C881" s="84">
        <v>31.8</v>
      </c>
      <c r="D881" s="53">
        <v>68.109787096774213</v>
      </c>
      <c r="E881" s="78">
        <v>2141.8172043010754</v>
      </c>
      <c r="F881" s="84">
        <v>58.98</v>
      </c>
      <c r="G881" s="53">
        <v>90.602619397775911</v>
      </c>
      <c r="H881" s="78">
        <v>1536.1583485550341</v>
      </c>
      <c r="I881" s="84">
        <v>77.039999999999992</v>
      </c>
      <c r="J881" s="53">
        <v>82.379462290047272</v>
      </c>
      <c r="K881" s="78">
        <v>1069.307662124186</v>
      </c>
      <c r="L881" s="84">
        <v>55.94</v>
      </c>
      <c r="M881" s="53">
        <v>80.363956261532465</v>
      </c>
      <c r="N881" s="78">
        <v>1436.6098723906412</v>
      </c>
    </row>
    <row r="882" spans="1:14" ht="19.5" customHeight="1" outlineLevel="1" x14ac:dyDescent="0.2">
      <c r="A882" s="101">
        <v>4</v>
      </c>
      <c r="B882" s="81" t="s">
        <v>11</v>
      </c>
      <c r="C882" s="84">
        <v>84.75</v>
      </c>
      <c r="D882" s="53">
        <v>178.52061692639066</v>
      </c>
      <c r="E882" s="78">
        <v>2106.4379578335179</v>
      </c>
      <c r="F882" s="84">
        <v>107.05000000000001</v>
      </c>
      <c r="G882" s="53">
        <v>215.28936851705316</v>
      </c>
      <c r="H882" s="78">
        <v>2011.110401840758</v>
      </c>
      <c r="I882" s="84">
        <v>121.37</v>
      </c>
      <c r="J882" s="53">
        <v>264.42609261238619</v>
      </c>
      <c r="K882" s="78">
        <v>2178.677536560815</v>
      </c>
      <c r="L882" s="84">
        <v>104.39</v>
      </c>
      <c r="M882" s="53">
        <v>219.41202601860996</v>
      </c>
      <c r="N882" s="78">
        <v>2101.8490853396875</v>
      </c>
    </row>
    <row r="883" spans="1:14" ht="19.5" customHeight="1" outlineLevel="1" x14ac:dyDescent="0.2">
      <c r="A883" s="101">
        <v>5</v>
      </c>
      <c r="B883" s="81" t="s">
        <v>12</v>
      </c>
      <c r="C883" s="84">
        <v>192.18</v>
      </c>
      <c r="D883" s="53">
        <v>519.79984355524334</v>
      </c>
      <c r="E883" s="78">
        <v>2704.7551439028166</v>
      </c>
      <c r="F883" s="84">
        <v>181.38</v>
      </c>
      <c r="G883" s="53">
        <v>486.56745634952324</v>
      </c>
      <c r="H883" s="78">
        <v>2682.5860422842829</v>
      </c>
      <c r="I883" s="84">
        <v>158.6</v>
      </c>
      <c r="J883" s="53">
        <v>410.78009501724534</v>
      </c>
      <c r="K883" s="78">
        <v>2590.0384301213453</v>
      </c>
      <c r="L883" s="84">
        <v>177.38666666666666</v>
      </c>
      <c r="M883" s="53">
        <v>472.38246497400399</v>
      </c>
      <c r="N883" s="78">
        <v>2663.0099874511652</v>
      </c>
    </row>
    <row r="884" spans="1:14" ht="19.5" customHeight="1" outlineLevel="1" x14ac:dyDescent="0.2">
      <c r="A884" s="101">
        <v>6</v>
      </c>
      <c r="B884" s="81" t="s">
        <v>13</v>
      </c>
      <c r="C884" s="84">
        <v>325.70999999999998</v>
      </c>
      <c r="D884" s="53">
        <v>845.02399654377996</v>
      </c>
      <c r="E884" s="78">
        <v>2594.4060561351512</v>
      </c>
      <c r="F884" s="84">
        <v>310.36</v>
      </c>
      <c r="G884" s="53">
        <v>864.45026757797166</v>
      </c>
      <c r="H884" s="78">
        <v>2785.3146912552252</v>
      </c>
      <c r="I884" s="84">
        <v>311.18</v>
      </c>
      <c r="J884" s="53">
        <v>811.10366853333358</v>
      </c>
      <c r="K884" s="78">
        <v>2606.5417717505416</v>
      </c>
      <c r="L884" s="84">
        <v>315.75</v>
      </c>
      <c r="M884" s="53">
        <v>840.19264421836181</v>
      </c>
      <c r="N884" s="78">
        <v>2660.9426578570447</v>
      </c>
    </row>
    <row r="885" spans="1:14" ht="19.5" customHeight="1" outlineLevel="1" x14ac:dyDescent="0.2">
      <c r="A885" s="101">
        <v>7</v>
      </c>
      <c r="B885" s="81" t="s">
        <v>14</v>
      </c>
      <c r="C885" s="84">
        <v>138.55000000000001</v>
      </c>
      <c r="D885" s="53">
        <v>333.02668284869594</v>
      </c>
      <c r="E885" s="78">
        <v>2403.6570396874481</v>
      </c>
      <c r="F885" s="84">
        <v>136.34</v>
      </c>
      <c r="G885" s="53">
        <v>315.37167683816477</v>
      </c>
      <c r="H885" s="78">
        <v>2313.1265720857032</v>
      </c>
      <c r="I885" s="84">
        <v>129.63</v>
      </c>
      <c r="J885" s="53">
        <v>292.45353345990446</v>
      </c>
      <c r="K885" s="78">
        <v>2256.0636693659221</v>
      </c>
      <c r="L885" s="84">
        <v>134.84</v>
      </c>
      <c r="M885" s="53">
        <v>313.61729771558839</v>
      </c>
      <c r="N885" s="78">
        <v>2325.8476543725037</v>
      </c>
    </row>
    <row r="886" spans="1:14" ht="19.5" customHeight="1" outlineLevel="1" x14ac:dyDescent="0.2">
      <c r="A886" s="101">
        <v>8</v>
      </c>
      <c r="B886" s="81" t="s">
        <v>15</v>
      </c>
      <c r="C886" s="84">
        <v>1524.05</v>
      </c>
      <c r="D886" s="53">
        <v>4265.7848777661948</v>
      </c>
      <c r="E886" s="78">
        <v>2798.9796120640367</v>
      </c>
      <c r="F886" s="84">
        <v>1457.29</v>
      </c>
      <c r="G886" s="53">
        <v>4022.4866586432477</v>
      </c>
      <c r="H886" s="78">
        <v>2760.2513285915966</v>
      </c>
      <c r="I886" s="84">
        <v>1511.8</v>
      </c>
      <c r="J886" s="53">
        <v>3651.3467025424561</v>
      </c>
      <c r="K886" s="78">
        <v>2415.2313153475702</v>
      </c>
      <c r="L886" s="84">
        <v>1497.7133333333334</v>
      </c>
      <c r="M886" s="53">
        <v>3979.8727463172995</v>
      </c>
      <c r="N886" s="78">
        <v>2657.2994028567769</v>
      </c>
    </row>
    <row r="887" spans="1:14" ht="19.5" customHeight="1" outlineLevel="1" x14ac:dyDescent="0.2">
      <c r="A887" s="101">
        <v>9</v>
      </c>
      <c r="B887" s="81" t="s">
        <v>16</v>
      </c>
      <c r="C887" s="84">
        <v>41.620000000000005</v>
      </c>
      <c r="D887" s="53">
        <v>71.112677143783031</v>
      </c>
      <c r="E887" s="78">
        <v>1708.6179035027155</v>
      </c>
      <c r="F887" s="84">
        <v>51.11</v>
      </c>
      <c r="G887" s="53">
        <v>98.402628751606287</v>
      </c>
      <c r="H887" s="78">
        <v>1925.3106779809486</v>
      </c>
      <c r="I887" s="84">
        <v>38.36</v>
      </c>
      <c r="J887" s="53">
        <v>44.283597450489367</v>
      </c>
      <c r="K887" s="78">
        <v>1154.4212056957604</v>
      </c>
      <c r="L887" s="84">
        <v>43.696666666666665</v>
      </c>
      <c r="M887" s="53">
        <v>71.26630111529289</v>
      </c>
      <c r="N887" s="78">
        <v>1630.9322095192515</v>
      </c>
    </row>
    <row r="888" spans="1:14" ht="19.5" customHeight="1" outlineLevel="1" x14ac:dyDescent="0.2">
      <c r="A888" s="101">
        <v>10</v>
      </c>
      <c r="B888" s="81" t="s">
        <v>17</v>
      </c>
      <c r="C888" s="84">
        <v>2.17</v>
      </c>
      <c r="D888" s="53">
        <v>2.4623333600000001</v>
      </c>
      <c r="E888" s="78">
        <v>1134.7158341013826</v>
      </c>
      <c r="F888" s="84">
        <v>1.5</v>
      </c>
      <c r="G888" s="53">
        <v>2.6650960806448469</v>
      </c>
      <c r="H888" s="78">
        <v>1776.7307204298979</v>
      </c>
      <c r="I888" s="84">
        <v>0.66</v>
      </c>
      <c r="J888" s="53">
        <v>1.2170787627066308</v>
      </c>
      <c r="K888" s="78">
        <v>1844.058731373683</v>
      </c>
      <c r="L888" s="84">
        <v>1.4433333333333334</v>
      </c>
      <c r="M888" s="53">
        <v>2.114836067783826</v>
      </c>
      <c r="N888" s="78">
        <v>1465.2443887647755</v>
      </c>
    </row>
    <row r="889" spans="1:14" ht="19.5" customHeight="1" outlineLevel="1" x14ac:dyDescent="0.2">
      <c r="A889" s="101">
        <v>11</v>
      </c>
      <c r="B889" s="81" t="s">
        <v>18</v>
      </c>
      <c r="C889" s="84">
        <v>2.6</v>
      </c>
      <c r="D889" s="53">
        <v>4.6153874429934216</v>
      </c>
      <c r="E889" s="78">
        <v>1775.1490165359312</v>
      </c>
      <c r="F889" s="84">
        <v>4.37</v>
      </c>
      <c r="G889" s="53">
        <v>7.7643132482786541</v>
      </c>
      <c r="H889" s="78">
        <v>1776.7307204298979</v>
      </c>
      <c r="I889" s="84">
        <v>2.38</v>
      </c>
      <c r="J889" s="53">
        <v>4.2668159112846844</v>
      </c>
      <c r="K889" s="78">
        <v>1792.7797946574303</v>
      </c>
      <c r="L889" s="84">
        <v>3.1166666666666671</v>
      </c>
      <c r="M889" s="53">
        <v>5.5488388675189197</v>
      </c>
      <c r="N889" s="78">
        <v>1780.3761072253217</v>
      </c>
    </row>
    <row r="890" spans="1:14" ht="19.5" customHeight="1" outlineLevel="1" x14ac:dyDescent="0.2">
      <c r="A890" s="101">
        <v>12</v>
      </c>
      <c r="B890" s="81" t="s">
        <v>19</v>
      </c>
      <c r="C890" s="84">
        <v>0</v>
      </c>
      <c r="D890" s="53">
        <v>0</v>
      </c>
      <c r="E890" s="78">
        <v>0</v>
      </c>
      <c r="F890" s="84">
        <v>0</v>
      </c>
      <c r="G890" s="53">
        <v>0</v>
      </c>
      <c r="H890" s="78">
        <v>0</v>
      </c>
      <c r="I890" s="84">
        <v>0.23</v>
      </c>
      <c r="J890" s="53">
        <v>0.42413350821594714</v>
      </c>
      <c r="K890" s="78">
        <v>1844.058731373683</v>
      </c>
      <c r="L890" s="84">
        <v>0.23</v>
      </c>
      <c r="M890" s="53">
        <v>0.42413350821594714</v>
      </c>
      <c r="N890" s="78">
        <v>1844.058731373683</v>
      </c>
    </row>
    <row r="891" spans="1:14" ht="19.5" customHeight="1" outlineLevel="1" x14ac:dyDescent="0.2">
      <c r="A891" s="101">
        <v>13</v>
      </c>
      <c r="B891" s="81" t="s">
        <v>20</v>
      </c>
      <c r="C891" s="84">
        <v>0</v>
      </c>
      <c r="D891" s="53">
        <v>0</v>
      </c>
      <c r="E891" s="78">
        <v>0</v>
      </c>
      <c r="F891" s="84">
        <v>0.19</v>
      </c>
      <c r="G891" s="53">
        <v>0.33757883688168061</v>
      </c>
      <c r="H891" s="78">
        <v>1776.7307204298979</v>
      </c>
      <c r="I891" s="84">
        <v>0</v>
      </c>
      <c r="J891" s="53">
        <v>0</v>
      </c>
      <c r="K891" s="78">
        <v>0</v>
      </c>
      <c r="L891" s="84">
        <v>0.19</v>
      </c>
      <c r="M891" s="53">
        <v>0.33757883688168061</v>
      </c>
      <c r="N891" s="78">
        <v>1776.7307204298979</v>
      </c>
    </row>
    <row r="892" spans="1:14" ht="19.5" customHeight="1" outlineLevel="1" x14ac:dyDescent="0.2">
      <c r="A892" s="101">
        <v>14</v>
      </c>
      <c r="B892" s="81" t="s">
        <v>21</v>
      </c>
      <c r="C892" s="84">
        <v>0</v>
      </c>
      <c r="D892" s="53">
        <v>0</v>
      </c>
      <c r="E892" s="78">
        <v>0</v>
      </c>
      <c r="F892" s="84">
        <v>0</v>
      </c>
      <c r="G892" s="53">
        <v>0</v>
      </c>
      <c r="H892" s="78">
        <v>0</v>
      </c>
      <c r="I892" s="84">
        <v>0</v>
      </c>
      <c r="J892" s="53">
        <v>0</v>
      </c>
      <c r="K892" s="78">
        <v>0</v>
      </c>
      <c r="L892" s="84">
        <v>0</v>
      </c>
      <c r="M892" s="53">
        <v>0</v>
      </c>
      <c r="N892" s="78">
        <v>0</v>
      </c>
    </row>
    <row r="893" spans="1:14" ht="19.5" customHeight="1" outlineLevel="1" x14ac:dyDescent="0.2">
      <c r="A893" s="101">
        <v>15</v>
      </c>
      <c r="B893" s="81" t="s">
        <v>22</v>
      </c>
      <c r="C893" s="84">
        <v>0.15</v>
      </c>
      <c r="D893" s="53">
        <v>0.26627235248038966</v>
      </c>
      <c r="E893" s="78">
        <v>1775.1490165359312</v>
      </c>
      <c r="F893" s="84">
        <v>5.5</v>
      </c>
      <c r="G893" s="53">
        <v>7.1736862206139893</v>
      </c>
      <c r="H893" s="78">
        <v>1304.3065855661798</v>
      </c>
      <c r="I893" s="84">
        <v>0.56999999999999995</v>
      </c>
      <c r="J893" s="53">
        <v>0.77843757318689133</v>
      </c>
      <c r="K893" s="78">
        <v>1365.6799529594587</v>
      </c>
      <c r="L893" s="84">
        <v>2.0733333333333337</v>
      </c>
      <c r="M893" s="53">
        <v>2.7394653820937567</v>
      </c>
      <c r="N893" s="78">
        <v>1321.2855540645126</v>
      </c>
    </row>
    <row r="894" spans="1:14" ht="19.5" customHeight="1" outlineLevel="1" x14ac:dyDescent="0.2">
      <c r="A894" s="101">
        <v>16</v>
      </c>
      <c r="B894" s="81" t="s">
        <v>23</v>
      </c>
      <c r="C894" s="84">
        <v>11.299999999999999</v>
      </c>
      <c r="D894" s="53">
        <v>28.018518328506676</v>
      </c>
      <c r="E894" s="78">
        <v>2479.5148963280249</v>
      </c>
      <c r="F894" s="84">
        <v>8.1000000000000014</v>
      </c>
      <c r="G894" s="53">
        <v>19.611071190623854</v>
      </c>
      <c r="H894" s="78">
        <v>2421.1199000770184</v>
      </c>
      <c r="I894" s="84">
        <v>8.4499999999999993</v>
      </c>
      <c r="J894" s="53">
        <v>23.906867529544026</v>
      </c>
      <c r="K894" s="78">
        <v>2829.2150922537312</v>
      </c>
      <c r="L894" s="84">
        <v>9.2833333333333332</v>
      </c>
      <c r="M894" s="53">
        <v>23.845485682891521</v>
      </c>
      <c r="N894" s="78">
        <v>2568.6340053384047</v>
      </c>
    </row>
    <row r="895" spans="1:14" ht="19.5" customHeight="1" outlineLevel="1" x14ac:dyDescent="0.2">
      <c r="A895" s="101">
        <v>17</v>
      </c>
      <c r="B895" s="81" t="s">
        <v>24</v>
      </c>
      <c r="C895" s="84">
        <v>11.85</v>
      </c>
      <c r="D895" s="53">
        <v>25.806537222586464</v>
      </c>
      <c r="E895" s="78">
        <v>2177.7668542267056</v>
      </c>
      <c r="F895" s="84">
        <v>13.71</v>
      </c>
      <c r="G895" s="53">
        <v>16.621181399999998</v>
      </c>
      <c r="H895" s="78">
        <v>1212.3399999999997</v>
      </c>
      <c r="I895" s="84">
        <v>11.41</v>
      </c>
      <c r="J895" s="53">
        <v>22.484546000000002</v>
      </c>
      <c r="K895" s="78">
        <v>1970.6000000000001</v>
      </c>
      <c r="L895" s="84">
        <v>12.323333333333332</v>
      </c>
      <c r="M895" s="53">
        <v>21.637421540862153</v>
      </c>
      <c r="N895" s="78">
        <v>1755.8091593883273</v>
      </c>
    </row>
    <row r="896" spans="1:14" ht="19.5" customHeight="1" outlineLevel="1" x14ac:dyDescent="0.2">
      <c r="A896" s="101">
        <v>18</v>
      </c>
      <c r="B896" s="81" t="s">
        <v>25</v>
      </c>
      <c r="C896" s="84">
        <v>130.69</v>
      </c>
      <c r="D896" s="53">
        <v>330.23109122066688</v>
      </c>
      <c r="E896" s="78">
        <v>2526.8275401382425</v>
      </c>
      <c r="F896" s="84">
        <v>118.03</v>
      </c>
      <c r="G896" s="53">
        <v>287.75418061507446</v>
      </c>
      <c r="H896" s="78">
        <v>2437.9749268412647</v>
      </c>
      <c r="I896" s="84">
        <v>78.23</v>
      </c>
      <c r="J896" s="53">
        <v>200.64334719613288</v>
      </c>
      <c r="K896" s="78">
        <v>2564.7877693484961</v>
      </c>
      <c r="L896" s="84">
        <v>108.98333333333333</v>
      </c>
      <c r="M896" s="53">
        <v>272.87620634395807</v>
      </c>
      <c r="N896" s="78">
        <v>2503.8342836270813</v>
      </c>
    </row>
    <row r="897" spans="1:14" ht="19.5" customHeight="1" outlineLevel="1" x14ac:dyDescent="0.2">
      <c r="A897" s="101">
        <v>19</v>
      </c>
      <c r="B897" s="81" t="s">
        <v>26</v>
      </c>
      <c r="C897" s="84">
        <v>0.65</v>
      </c>
      <c r="D897" s="53">
        <v>1.1538468607483554</v>
      </c>
      <c r="E897" s="78">
        <v>1775.1490165359312</v>
      </c>
      <c r="F897" s="84">
        <v>0.98</v>
      </c>
      <c r="G897" s="53">
        <v>2.0267141694691002</v>
      </c>
      <c r="H897" s="78">
        <v>2068.0756831317349</v>
      </c>
      <c r="I897" s="84">
        <v>1.24</v>
      </c>
      <c r="J897" s="53">
        <v>2.7045769282624734</v>
      </c>
      <c r="K897" s="78">
        <v>2181.1104260181237</v>
      </c>
      <c r="L897" s="84">
        <v>0.95666666666666667</v>
      </c>
      <c r="M897" s="53">
        <v>1.9617126528266429</v>
      </c>
      <c r="N897" s="78">
        <v>2050.5707172403932</v>
      </c>
    </row>
    <row r="898" spans="1:14" ht="19.5" customHeight="1" outlineLevel="1" x14ac:dyDescent="0.2">
      <c r="A898" s="101">
        <v>20</v>
      </c>
      <c r="B898" s="81" t="s">
        <v>27</v>
      </c>
      <c r="C898" s="84">
        <v>1267.6699999999998</v>
      </c>
      <c r="D898" s="53">
        <v>3313.2850788785236</v>
      </c>
      <c r="E898" s="78">
        <v>2613.6810675321844</v>
      </c>
      <c r="F898" s="84">
        <v>1276.25</v>
      </c>
      <c r="G898" s="53">
        <v>3643.4898468621454</v>
      </c>
      <c r="H898" s="78">
        <v>2854.8402326050109</v>
      </c>
      <c r="I898" s="84">
        <v>1264.8500000000001</v>
      </c>
      <c r="J898" s="53">
        <v>3412.5671291690383</v>
      </c>
      <c r="K898" s="78">
        <v>2698.0014461549099</v>
      </c>
      <c r="L898" s="84">
        <v>1269.5900000000001</v>
      </c>
      <c r="M898" s="53">
        <v>3456.4473516365688</v>
      </c>
      <c r="N898" s="78">
        <v>2722.4910023208822</v>
      </c>
    </row>
    <row r="899" spans="1:14" ht="19.5" customHeight="1" outlineLevel="1" x14ac:dyDescent="0.2">
      <c r="A899" s="101">
        <v>21</v>
      </c>
      <c r="B899" s="81" t="s">
        <v>28</v>
      </c>
      <c r="C899" s="84">
        <v>1206.8900000000001</v>
      </c>
      <c r="D899" s="53">
        <v>3421.7079879473804</v>
      </c>
      <c r="E899" s="78">
        <v>2835.144866514247</v>
      </c>
      <c r="F899" s="84">
        <v>1223.75</v>
      </c>
      <c r="G899" s="53">
        <v>3381.701117617954</v>
      </c>
      <c r="H899" s="78">
        <v>2763.3921287991452</v>
      </c>
      <c r="I899" s="84">
        <v>1213.03</v>
      </c>
      <c r="J899" s="53">
        <v>3126.3446643618945</v>
      </c>
      <c r="K899" s="78">
        <v>2577.3020159121329</v>
      </c>
      <c r="L899" s="84">
        <v>1214.5566666666666</v>
      </c>
      <c r="M899" s="53">
        <v>3309.9179233090763</v>
      </c>
      <c r="N899" s="78">
        <v>2725.2066652378589</v>
      </c>
    </row>
    <row r="900" spans="1:14" ht="19.5" customHeight="1" outlineLevel="1" x14ac:dyDescent="0.2">
      <c r="A900" s="101">
        <v>22</v>
      </c>
      <c r="B900" s="81" t="s">
        <v>29</v>
      </c>
      <c r="C900" s="84">
        <v>1012.59</v>
      </c>
      <c r="D900" s="53">
        <v>1651.7068243498009</v>
      </c>
      <c r="E900" s="78">
        <v>1631.1703891503973</v>
      </c>
      <c r="F900" s="84">
        <v>1037.01</v>
      </c>
      <c r="G900" s="53">
        <v>2223.5724734503092</v>
      </c>
      <c r="H900" s="78">
        <v>2144.2150735772166</v>
      </c>
      <c r="I900" s="84">
        <v>1042.6500000000001</v>
      </c>
      <c r="J900" s="53">
        <v>1594.0028520283586</v>
      </c>
      <c r="K900" s="78">
        <v>1528.7995511709187</v>
      </c>
      <c r="L900" s="84">
        <v>1030.75</v>
      </c>
      <c r="M900" s="53">
        <v>1823.0940499428227</v>
      </c>
      <c r="N900" s="78">
        <v>1768.7063302865124</v>
      </c>
    </row>
    <row r="901" spans="1:14" ht="19.5" customHeight="1" outlineLevel="1" x14ac:dyDescent="0.2">
      <c r="A901" s="101">
        <v>23</v>
      </c>
      <c r="B901" s="81" t="s">
        <v>30</v>
      </c>
      <c r="C901" s="84">
        <v>674.36999999999989</v>
      </c>
      <c r="D901" s="53">
        <v>1518.7566002514177</v>
      </c>
      <c r="E901" s="78">
        <v>2252.1117491160903</v>
      </c>
      <c r="F901" s="84">
        <v>700.34</v>
      </c>
      <c r="G901" s="53">
        <v>1645.6329955609031</v>
      </c>
      <c r="H901" s="78">
        <v>2349.7629659321228</v>
      </c>
      <c r="I901" s="84">
        <v>691.22</v>
      </c>
      <c r="J901" s="53">
        <v>1643.7558840203812</v>
      </c>
      <c r="K901" s="78">
        <v>2378.0502358444214</v>
      </c>
      <c r="L901" s="84">
        <v>688.64333333333343</v>
      </c>
      <c r="M901" s="53">
        <v>1602.7151599442341</v>
      </c>
      <c r="N901" s="78">
        <v>2327.3515946003504</v>
      </c>
    </row>
    <row r="902" spans="1:14" ht="19.5" customHeight="1" outlineLevel="1" x14ac:dyDescent="0.2">
      <c r="A902" s="101">
        <v>24</v>
      </c>
      <c r="B902" s="81" t="s">
        <v>31</v>
      </c>
      <c r="C902" s="84">
        <v>1696.18</v>
      </c>
      <c r="D902" s="53">
        <v>2907.8922994818972</v>
      </c>
      <c r="E902" s="78">
        <v>1714.3771884363082</v>
      </c>
      <c r="F902" s="84">
        <v>1651.82</v>
      </c>
      <c r="G902" s="53">
        <v>2661.9514933400451</v>
      </c>
      <c r="H902" s="78">
        <v>1611.5263729341243</v>
      </c>
      <c r="I902" s="84">
        <v>1626.3200000000002</v>
      </c>
      <c r="J902" s="53">
        <v>2099.2821637477837</v>
      </c>
      <c r="K902" s="78">
        <v>1290.8174060134436</v>
      </c>
      <c r="L902" s="84">
        <v>1658.1066666666666</v>
      </c>
      <c r="M902" s="53">
        <v>2556.3753188565756</v>
      </c>
      <c r="N902" s="78">
        <v>1541.74358637356</v>
      </c>
    </row>
    <row r="903" spans="1:14" ht="19.5" customHeight="1" outlineLevel="1" x14ac:dyDescent="0.2">
      <c r="A903" s="101">
        <v>25</v>
      </c>
      <c r="B903" s="81" t="s">
        <v>32</v>
      </c>
      <c r="C903" s="84">
        <v>303.16000000000003</v>
      </c>
      <c r="D903" s="53">
        <v>626.3809993983424</v>
      </c>
      <c r="E903" s="78">
        <v>2066.17297598081</v>
      </c>
      <c r="F903" s="84">
        <v>340.45</v>
      </c>
      <c r="G903" s="53">
        <v>703.71524074785134</v>
      </c>
      <c r="H903" s="78">
        <v>2067.0149529970668</v>
      </c>
      <c r="I903" s="84">
        <v>334.46</v>
      </c>
      <c r="J903" s="53">
        <v>682.82825732936385</v>
      </c>
      <c r="K903" s="78">
        <v>2041.5842173335045</v>
      </c>
      <c r="L903" s="84">
        <v>326.02333333333331</v>
      </c>
      <c r="M903" s="53">
        <v>670.97483249185257</v>
      </c>
      <c r="N903" s="78">
        <v>2058.0577029001583</v>
      </c>
    </row>
    <row r="904" spans="1:14" ht="19.5" customHeight="1" outlineLevel="1" x14ac:dyDescent="0.2">
      <c r="A904" s="101">
        <v>26</v>
      </c>
      <c r="B904" s="81" t="s">
        <v>33</v>
      </c>
      <c r="C904" s="84">
        <v>307.26</v>
      </c>
      <c r="D904" s="53">
        <v>443.84068338298789</v>
      </c>
      <c r="E904" s="78">
        <v>1444.5117600175354</v>
      </c>
      <c r="F904" s="84">
        <v>264.42999999999995</v>
      </c>
      <c r="G904" s="53">
        <v>376.72413343755119</v>
      </c>
      <c r="H904" s="78">
        <v>1424.6648770470495</v>
      </c>
      <c r="I904" s="84">
        <v>290.91999999999996</v>
      </c>
      <c r="J904" s="53">
        <v>385.25815939583731</v>
      </c>
      <c r="K904" s="78">
        <v>1324.2752626008432</v>
      </c>
      <c r="L904" s="84">
        <v>287.53666666666663</v>
      </c>
      <c r="M904" s="53">
        <v>401.94099207212548</v>
      </c>
      <c r="N904" s="78">
        <v>1397.8773445895324</v>
      </c>
    </row>
    <row r="905" spans="1:14" ht="19.5" customHeight="1" outlineLevel="1" x14ac:dyDescent="0.2">
      <c r="A905" s="101">
        <v>27</v>
      </c>
      <c r="B905" s="81" t="s">
        <v>34</v>
      </c>
      <c r="C905" s="84">
        <v>185.53</v>
      </c>
      <c r="D905" s="53">
        <v>235.23778007906162</v>
      </c>
      <c r="E905" s="78">
        <v>1267.9231395411073</v>
      </c>
      <c r="F905" s="84">
        <v>187.21</v>
      </c>
      <c r="G905" s="53">
        <v>243.07218580653631</v>
      </c>
      <c r="H905" s="78">
        <v>1298.3931724081849</v>
      </c>
      <c r="I905" s="84">
        <v>225.44</v>
      </c>
      <c r="J905" s="53">
        <v>321.763258619407</v>
      </c>
      <c r="K905" s="78">
        <v>1427.2678256716067</v>
      </c>
      <c r="L905" s="84">
        <v>199.39333333333335</v>
      </c>
      <c r="M905" s="53">
        <v>266.69107483500164</v>
      </c>
      <c r="N905" s="78">
        <v>1337.5124954110886</v>
      </c>
    </row>
    <row r="906" spans="1:14" ht="19.5" customHeight="1" outlineLevel="1" x14ac:dyDescent="0.2">
      <c r="A906" s="101">
        <v>28</v>
      </c>
      <c r="B906" s="81" t="s">
        <v>35</v>
      </c>
      <c r="C906" s="84">
        <v>102.30999999999999</v>
      </c>
      <c r="D906" s="53">
        <v>178.28311392604573</v>
      </c>
      <c r="E906" s="78">
        <v>1742.5775967749562</v>
      </c>
      <c r="F906" s="84">
        <v>111.85</v>
      </c>
      <c r="G906" s="53">
        <v>190.27972052212147</v>
      </c>
      <c r="H906" s="78">
        <v>1701.2044749407373</v>
      </c>
      <c r="I906" s="84">
        <v>123.97</v>
      </c>
      <c r="J906" s="53">
        <v>203.84580745794241</v>
      </c>
      <c r="K906" s="78">
        <v>1644.3156203754327</v>
      </c>
      <c r="L906" s="84">
        <v>112.71</v>
      </c>
      <c r="M906" s="53">
        <v>190.80288063536989</v>
      </c>
      <c r="N906" s="78">
        <v>1692.8655898799566</v>
      </c>
    </row>
    <row r="907" spans="1:14" ht="19.5" customHeight="1" outlineLevel="1" x14ac:dyDescent="0.2">
      <c r="A907" s="101">
        <v>29</v>
      </c>
      <c r="B907" s="81" t="s">
        <v>36</v>
      </c>
      <c r="C907" s="84">
        <v>494.21000000000004</v>
      </c>
      <c r="D907" s="53">
        <v>1059.0394776971023</v>
      </c>
      <c r="E907" s="78">
        <v>2142.8936640235979</v>
      </c>
      <c r="F907" s="84">
        <v>513.31000000000006</v>
      </c>
      <c r="G907" s="53">
        <v>1149.8675391845356</v>
      </c>
      <c r="H907" s="78">
        <v>2240.1035225975247</v>
      </c>
      <c r="I907" s="84">
        <v>582.49</v>
      </c>
      <c r="J907" s="53">
        <v>1132.735582641877</v>
      </c>
      <c r="K907" s="78">
        <v>1944.6438267470292</v>
      </c>
      <c r="L907" s="84">
        <v>530.00333333333344</v>
      </c>
      <c r="M907" s="53">
        <v>1113.8808665078384</v>
      </c>
      <c r="N907" s="78">
        <v>2101.6487943619945</v>
      </c>
    </row>
    <row r="908" spans="1:14" ht="19.5" customHeight="1" outlineLevel="1" x14ac:dyDescent="0.2">
      <c r="A908" s="101">
        <v>30</v>
      </c>
      <c r="B908" s="81" t="s">
        <v>37</v>
      </c>
      <c r="C908" s="84">
        <v>389.75</v>
      </c>
      <c r="D908" s="53">
        <v>590.78650865231918</v>
      </c>
      <c r="E908" s="78">
        <v>1515.8088740277594</v>
      </c>
      <c r="F908" s="84">
        <v>409.40999999999997</v>
      </c>
      <c r="G908" s="53">
        <v>713.39397006546528</v>
      </c>
      <c r="H908" s="78">
        <v>1742.4927824563772</v>
      </c>
      <c r="I908" s="84">
        <v>408.65000000000003</v>
      </c>
      <c r="J908" s="53">
        <v>541.09600779363052</v>
      </c>
      <c r="K908" s="78">
        <v>1324.1062224241537</v>
      </c>
      <c r="L908" s="84">
        <v>402.6033333333333</v>
      </c>
      <c r="M908" s="53">
        <v>615.09216217047162</v>
      </c>
      <c r="N908" s="78">
        <v>1527.787057990425</v>
      </c>
    </row>
    <row r="909" spans="1:14" ht="19.5" customHeight="1" outlineLevel="1" x14ac:dyDescent="0.2">
      <c r="A909" s="101">
        <v>31</v>
      </c>
      <c r="B909" s="81" t="s">
        <v>38</v>
      </c>
      <c r="C909" s="84">
        <v>459.47</v>
      </c>
      <c r="D909" s="53">
        <v>1338.9394755050962</v>
      </c>
      <c r="E909" s="78">
        <v>2914.09553508411</v>
      </c>
      <c r="F909" s="84">
        <v>453.79</v>
      </c>
      <c r="G909" s="53">
        <v>1332.7221669522733</v>
      </c>
      <c r="H909" s="78">
        <v>2936.8698449773538</v>
      </c>
      <c r="I909" s="84">
        <v>455.74</v>
      </c>
      <c r="J909" s="53">
        <v>1365.4764271660731</v>
      </c>
      <c r="K909" s="78">
        <v>2996.174193983572</v>
      </c>
      <c r="L909" s="84">
        <v>456.33333333333331</v>
      </c>
      <c r="M909" s="53">
        <v>1345.7126898744809</v>
      </c>
      <c r="N909" s="78">
        <v>2948.9686410689869</v>
      </c>
    </row>
    <row r="910" spans="1:14" ht="19.5" customHeight="1" outlineLevel="1" x14ac:dyDescent="0.2">
      <c r="A910" s="101">
        <v>32</v>
      </c>
      <c r="B910" s="81" t="s">
        <v>39</v>
      </c>
      <c r="C910" s="84">
        <v>776.43</v>
      </c>
      <c r="D910" s="53">
        <v>1969.528072666666</v>
      </c>
      <c r="E910" s="78">
        <v>2536.6460243250081</v>
      </c>
      <c r="F910" s="84">
        <v>775.78</v>
      </c>
      <c r="G910" s="53">
        <v>2116.6643003333334</v>
      </c>
      <c r="H910" s="78">
        <v>2728.4337058616275</v>
      </c>
      <c r="I910" s="84">
        <v>771.2</v>
      </c>
      <c r="J910" s="53">
        <v>1935.2935186666666</v>
      </c>
      <c r="K910" s="78">
        <v>2509.4573634163207</v>
      </c>
      <c r="L910" s="84">
        <v>774.46999999999991</v>
      </c>
      <c r="M910" s="53">
        <v>2007.1619638888887</v>
      </c>
      <c r="N910" s="78">
        <v>2591.6587652057392</v>
      </c>
    </row>
    <row r="911" spans="1:14" ht="19.5" customHeight="1" outlineLevel="1" thickBot="1" x14ac:dyDescent="0.25">
      <c r="A911" s="102">
        <v>33</v>
      </c>
      <c r="B911" s="91" t="s">
        <v>40</v>
      </c>
      <c r="C911" s="92">
        <v>712.47</v>
      </c>
      <c r="D911" s="93">
        <v>2064.976454643383</v>
      </c>
      <c r="E911" s="94">
        <v>2898.334603061719</v>
      </c>
      <c r="F911" s="92">
        <v>762.53</v>
      </c>
      <c r="G911" s="93">
        <v>1961.8697229661598</v>
      </c>
      <c r="H911" s="94">
        <v>2572.8426723750667</v>
      </c>
      <c r="I911" s="92">
        <v>759.73</v>
      </c>
      <c r="J911" s="93">
        <v>2252.3865859550774</v>
      </c>
      <c r="K911" s="94">
        <v>2964.7198161913802</v>
      </c>
      <c r="L911" s="92">
        <v>744.91</v>
      </c>
      <c r="M911" s="93">
        <v>2093.0775878548734</v>
      </c>
      <c r="N911" s="94">
        <v>2809.8395616314365</v>
      </c>
    </row>
    <row r="912" spans="1:14" ht="19.5" customHeight="1" thickBot="1" x14ac:dyDescent="0.25">
      <c r="A912" s="151" t="s">
        <v>41</v>
      </c>
      <c r="B912" s="152"/>
      <c r="C912" s="96">
        <v>13704.59</v>
      </c>
      <c r="D912" s="97">
        <v>30765.88471118698</v>
      </c>
      <c r="E912" s="98">
        <v>2244.9328809681265</v>
      </c>
      <c r="F912" s="96">
        <v>13845.52</v>
      </c>
      <c r="G912" s="97">
        <v>31757.205939193667</v>
      </c>
      <c r="H912" s="98">
        <v>2293.6809841157042</v>
      </c>
      <c r="I912" s="96">
        <v>13734.24</v>
      </c>
      <c r="J912" s="97">
        <v>29284.968029256866</v>
      </c>
      <c r="K912" s="98">
        <v>2132.259814103792</v>
      </c>
      <c r="L912" s="96">
        <v>13761.449999999999</v>
      </c>
      <c r="M912" s="97">
        <v>30602.686226545837</v>
      </c>
      <c r="N912" s="98">
        <v>2223.7980900665148</v>
      </c>
    </row>
    <row r="913" spans="1:14" ht="34.5" customHeight="1" x14ac:dyDescent="0.2">
      <c r="A913" s="153" t="s">
        <v>247</v>
      </c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</row>
    <row r="914" spans="1:14" ht="19.5" customHeight="1" thickBot="1" x14ac:dyDescent="0.25">
      <c r="A914" s="50"/>
      <c r="B914" s="51" t="s">
        <v>66</v>
      </c>
      <c r="C914" s="52"/>
      <c r="D914" s="52"/>
      <c r="E914" s="52"/>
      <c r="F914" s="52"/>
      <c r="G914" s="52"/>
      <c r="H914" s="52"/>
      <c r="I914" s="52"/>
      <c r="J914" s="52"/>
      <c r="K914" s="155" t="s">
        <v>1</v>
      </c>
      <c r="L914" s="154"/>
      <c r="M914" s="154"/>
      <c r="N914" s="154"/>
    </row>
    <row r="915" spans="1:14" ht="19.5" customHeight="1" x14ac:dyDescent="0.2">
      <c r="A915" s="156" t="s">
        <v>2</v>
      </c>
      <c r="B915" s="158" t="s">
        <v>3</v>
      </c>
      <c r="C915" s="148" t="s">
        <v>243</v>
      </c>
      <c r="D915" s="149"/>
      <c r="E915" s="150"/>
      <c r="F915" s="148" t="s">
        <v>244</v>
      </c>
      <c r="G915" s="149"/>
      <c r="H915" s="150"/>
      <c r="I915" s="148" t="s">
        <v>246</v>
      </c>
      <c r="J915" s="149"/>
      <c r="K915" s="150"/>
      <c r="L915" s="148" t="s">
        <v>4</v>
      </c>
      <c r="M915" s="149"/>
      <c r="N915" s="150"/>
    </row>
    <row r="916" spans="1:14" ht="19.5" customHeight="1" thickBot="1" x14ac:dyDescent="0.25">
      <c r="A916" s="157"/>
      <c r="B916" s="159"/>
      <c r="C916" s="85" t="s">
        <v>5</v>
      </c>
      <c r="D916" s="79" t="s">
        <v>6</v>
      </c>
      <c r="E916" s="80" t="s">
        <v>7</v>
      </c>
      <c r="F916" s="85" t="s">
        <v>5</v>
      </c>
      <c r="G916" s="79" t="s">
        <v>6</v>
      </c>
      <c r="H916" s="80" t="s">
        <v>7</v>
      </c>
      <c r="I916" s="85" t="s">
        <v>5</v>
      </c>
      <c r="J916" s="79" t="s">
        <v>6</v>
      </c>
      <c r="K916" s="80" t="s">
        <v>7</v>
      </c>
      <c r="L916" s="85" t="s">
        <v>5</v>
      </c>
      <c r="M916" s="79" t="s">
        <v>6</v>
      </c>
      <c r="N916" s="80" t="s">
        <v>7</v>
      </c>
    </row>
    <row r="917" spans="1:14" ht="19.5" customHeight="1" outlineLevel="1" x14ac:dyDescent="0.2">
      <c r="A917" s="100">
        <v>1</v>
      </c>
      <c r="B917" s="86" t="s">
        <v>8</v>
      </c>
      <c r="C917" s="87">
        <v>461.21999999999997</v>
      </c>
      <c r="D917" s="88">
        <v>256.69063758945998</v>
      </c>
      <c r="E917" s="89">
        <v>556.54706558575083</v>
      </c>
      <c r="F917" s="87">
        <v>444.01</v>
      </c>
      <c r="G917" s="88">
        <v>260.0975620022673</v>
      </c>
      <c r="H917" s="89">
        <v>585.79212630856807</v>
      </c>
      <c r="I917" s="87">
        <v>578.76</v>
      </c>
      <c r="J917" s="88">
        <v>476.01323582227133</v>
      </c>
      <c r="K917" s="89">
        <v>822.47086153547468</v>
      </c>
      <c r="L917" s="87">
        <v>494.66333333333336</v>
      </c>
      <c r="M917" s="88">
        <v>330.93381180466622</v>
      </c>
      <c r="N917" s="89">
        <v>669.00817081920945</v>
      </c>
    </row>
    <row r="918" spans="1:14" ht="19.5" customHeight="1" outlineLevel="1" x14ac:dyDescent="0.2">
      <c r="A918" s="101">
        <v>2</v>
      </c>
      <c r="B918" s="81" t="s">
        <v>9</v>
      </c>
      <c r="C918" s="84">
        <v>74.83</v>
      </c>
      <c r="D918" s="53">
        <v>52.519878355465607</v>
      </c>
      <c r="E918" s="78">
        <v>701.85591815402393</v>
      </c>
      <c r="F918" s="84">
        <v>61.77</v>
      </c>
      <c r="G918" s="53">
        <v>46.539404037341811</v>
      </c>
      <c r="H918" s="78">
        <v>753.43053322554329</v>
      </c>
      <c r="I918" s="84">
        <v>42.18</v>
      </c>
      <c r="J918" s="53">
        <v>29.435075775995173</v>
      </c>
      <c r="K918" s="78">
        <v>697.84437591264043</v>
      </c>
      <c r="L918" s="84">
        <v>59.593333333333334</v>
      </c>
      <c r="M918" s="53">
        <v>42.831452722934195</v>
      </c>
      <c r="N918" s="78">
        <v>718.72893035464028</v>
      </c>
    </row>
    <row r="919" spans="1:14" ht="19.5" customHeight="1" outlineLevel="1" x14ac:dyDescent="0.2">
      <c r="A919" s="101">
        <v>3</v>
      </c>
      <c r="B919" s="81" t="s">
        <v>10</v>
      </c>
      <c r="C919" s="84">
        <v>244.09</v>
      </c>
      <c r="D919" s="53">
        <v>119.19415947678114</v>
      </c>
      <c r="E919" s="78">
        <v>488.32053536310843</v>
      </c>
      <c r="F919" s="84">
        <v>215.57999999999998</v>
      </c>
      <c r="G919" s="53">
        <v>112.72548262352547</v>
      </c>
      <c r="H919" s="78">
        <v>522.89397264832303</v>
      </c>
      <c r="I919" s="84">
        <v>371.96999999999991</v>
      </c>
      <c r="J919" s="53">
        <v>187.61621251638425</v>
      </c>
      <c r="K919" s="78">
        <v>504.38533353868405</v>
      </c>
      <c r="L919" s="84">
        <v>277.21333333333331</v>
      </c>
      <c r="M919" s="53">
        <v>139.84528487223028</v>
      </c>
      <c r="N919" s="78">
        <v>504.46810472883806</v>
      </c>
    </row>
    <row r="920" spans="1:14" ht="19.5" customHeight="1" outlineLevel="1" x14ac:dyDescent="0.2">
      <c r="A920" s="101">
        <v>4</v>
      </c>
      <c r="B920" s="81" t="s">
        <v>11</v>
      </c>
      <c r="C920" s="84">
        <v>142.82999999999998</v>
      </c>
      <c r="D920" s="53">
        <v>86.692396847402932</v>
      </c>
      <c r="E920" s="78">
        <v>606.96210073095949</v>
      </c>
      <c r="F920" s="84">
        <v>141.99</v>
      </c>
      <c r="G920" s="53">
        <v>76.726555127361308</v>
      </c>
      <c r="H920" s="78">
        <v>540.36590694669553</v>
      </c>
      <c r="I920" s="84">
        <v>138.37</v>
      </c>
      <c r="J920" s="53">
        <v>92.364996278016562</v>
      </c>
      <c r="K920" s="78">
        <v>667.52183477644405</v>
      </c>
      <c r="L920" s="84">
        <v>141.06333333333333</v>
      </c>
      <c r="M920" s="53">
        <v>85.261316084260272</v>
      </c>
      <c r="N920" s="78">
        <v>604.41869669127527</v>
      </c>
    </row>
    <row r="921" spans="1:14" ht="19.5" customHeight="1" outlineLevel="1" x14ac:dyDescent="0.2">
      <c r="A921" s="101">
        <v>5</v>
      </c>
      <c r="B921" s="81" t="s">
        <v>12</v>
      </c>
      <c r="C921" s="84">
        <v>152.95000000000002</v>
      </c>
      <c r="D921" s="53">
        <v>138.07480322453898</v>
      </c>
      <c r="E921" s="78">
        <v>902.74470888878045</v>
      </c>
      <c r="F921" s="84">
        <v>76.209999999999994</v>
      </c>
      <c r="G921" s="53">
        <v>63.735156023502824</v>
      </c>
      <c r="H921" s="78">
        <v>836.30961846874197</v>
      </c>
      <c r="I921" s="84">
        <v>67.12</v>
      </c>
      <c r="J921" s="53">
        <v>59.869659566632016</v>
      </c>
      <c r="K921" s="78">
        <v>891.97943335268189</v>
      </c>
      <c r="L921" s="84">
        <v>98.76</v>
      </c>
      <c r="M921" s="53">
        <v>87.226539604891286</v>
      </c>
      <c r="N921" s="78">
        <v>883.21729045049892</v>
      </c>
    </row>
    <row r="922" spans="1:14" ht="19.5" customHeight="1" outlineLevel="1" x14ac:dyDescent="0.2">
      <c r="A922" s="101">
        <v>6</v>
      </c>
      <c r="B922" s="81" t="s">
        <v>13</v>
      </c>
      <c r="C922" s="84">
        <v>136.98000000000002</v>
      </c>
      <c r="D922" s="53">
        <v>101.12945587379363</v>
      </c>
      <c r="E922" s="78">
        <v>738.27898871217417</v>
      </c>
      <c r="F922" s="84">
        <v>95.99</v>
      </c>
      <c r="G922" s="53">
        <v>74.024023423086774</v>
      </c>
      <c r="H922" s="78">
        <v>771.16390689745583</v>
      </c>
      <c r="I922" s="84">
        <v>83.56</v>
      </c>
      <c r="J922" s="53">
        <v>67.028686466233722</v>
      </c>
      <c r="K922" s="78">
        <v>802.16235598652122</v>
      </c>
      <c r="L922" s="84">
        <v>105.51</v>
      </c>
      <c r="M922" s="53">
        <v>80.727388587704709</v>
      </c>
      <c r="N922" s="78">
        <v>765.11599457591421</v>
      </c>
    </row>
    <row r="923" spans="1:14" ht="19.5" customHeight="1" outlineLevel="1" x14ac:dyDescent="0.2">
      <c r="A923" s="101">
        <v>7</v>
      </c>
      <c r="B923" s="81" t="s">
        <v>14</v>
      </c>
      <c r="C923" s="84">
        <v>28.54</v>
      </c>
      <c r="D923" s="53">
        <v>18.194853229167705</v>
      </c>
      <c r="E923" s="78">
        <v>637.52113627076744</v>
      </c>
      <c r="F923" s="84">
        <v>19.03</v>
      </c>
      <c r="G923" s="53">
        <v>12.366987573926064</v>
      </c>
      <c r="H923" s="78">
        <v>649.8679755084637</v>
      </c>
      <c r="I923" s="84">
        <v>19.21</v>
      </c>
      <c r="J923" s="53">
        <v>11.612125582648877</v>
      </c>
      <c r="K923" s="78">
        <v>604.48337233986865</v>
      </c>
      <c r="L923" s="84">
        <v>22.26</v>
      </c>
      <c r="M923" s="53">
        <v>14.057988795247548</v>
      </c>
      <c r="N923" s="78">
        <v>631.53588478201016</v>
      </c>
    </row>
    <row r="924" spans="1:14" ht="19.5" customHeight="1" outlineLevel="1" x14ac:dyDescent="0.2">
      <c r="A924" s="101">
        <v>8</v>
      </c>
      <c r="B924" s="81" t="s">
        <v>15</v>
      </c>
      <c r="C924" s="84">
        <v>316.33999999999997</v>
      </c>
      <c r="D924" s="53">
        <v>216.49615602754085</v>
      </c>
      <c r="E924" s="78">
        <v>684.37806166637438</v>
      </c>
      <c r="F924" s="84">
        <v>292.34999999999997</v>
      </c>
      <c r="G924" s="53">
        <v>288.67851593828652</v>
      </c>
      <c r="H924" s="78">
        <v>987.44147746976751</v>
      </c>
      <c r="I924" s="84">
        <v>350.96</v>
      </c>
      <c r="J924" s="53">
        <v>333.8203353491611</v>
      </c>
      <c r="K924" s="78">
        <v>951.16348116355459</v>
      </c>
      <c r="L924" s="84">
        <v>319.88333333333327</v>
      </c>
      <c r="M924" s="53">
        <v>279.66500243832951</v>
      </c>
      <c r="N924" s="78">
        <v>874.27187757514582</v>
      </c>
    </row>
    <row r="925" spans="1:14" ht="19.5" customHeight="1" outlineLevel="1" x14ac:dyDescent="0.2">
      <c r="A925" s="101">
        <v>9</v>
      </c>
      <c r="B925" s="81" t="s">
        <v>16</v>
      </c>
      <c r="C925" s="84">
        <v>56.61</v>
      </c>
      <c r="D925" s="53">
        <v>40.786711011855829</v>
      </c>
      <c r="E925" s="78">
        <v>720.48597441893355</v>
      </c>
      <c r="F925" s="84">
        <v>67.199999999999989</v>
      </c>
      <c r="G925" s="53">
        <v>44.977114768740712</v>
      </c>
      <c r="H925" s="78">
        <v>669.30230310626075</v>
      </c>
      <c r="I925" s="84">
        <v>260.76</v>
      </c>
      <c r="J925" s="53">
        <v>275.2459373695325</v>
      </c>
      <c r="K925" s="78">
        <v>1055.5527587418794</v>
      </c>
      <c r="L925" s="84">
        <v>128.19</v>
      </c>
      <c r="M925" s="53">
        <v>120.33658771670969</v>
      </c>
      <c r="N925" s="78">
        <v>938.73615505663224</v>
      </c>
    </row>
    <row r="926" spans="1:14" ht="19.5" customHeight="1" outlineLevel="1" x14ac:dyDescent="0.2">
      <c r="A926" s="101">
        <v>10</v>
      </c>
      <c r="B926" s="81" t="s">
        <v>17</v>
      </c>
      <c r="C926" s="84">
        <v>54.230000000000004</v>
      </c>
      <c r="D926" s="53">
        <v>38.13202007996076</v>
      </c>
      <c r="E926" s="78">
        <v>703.1536064901486</v>
      </c>
      <c r="F926" s="84">
        <v>19.55</v>
      </c>
      <c r="G926" s="53">
        <v>21.477423588307417</v>
      </c>
      <c r="H926" s="78">
        <v>1098.589441857157</v>
      </c>
      <c r="I926" s="84">
        <v>43.54</v>
      </c>
      <c r="J926" s="53">
        <v>26.380254552009589</v>
      </c>
      <c r="K926" s="78">
        <v>605.88549729006866</v>
      </c>
      <c r="L926" s="84">
        <v>39.106666666666662</v>
      </c>
      <c r="M926" s="53">
        <v>28.663232740092592</v>
      </c>
      <c r="N926" s="78">
        <v>732.95003597236439</v>
      </c>
    </row>
    <row r="927" spans="1:14" ht="19.5" customHeight="1" outlineLevel="1" x14ac:dyDescent="0.2">
      <c r="A927" s="101">
        <v>11</v>
      </c>
      <c r="B927" s="81" t="s">
        <v>18</v>
      </c>
      <c r="C927" s="84">
        <v>60.430000000000007</v>
      </c>
      <c r="D927" s="53">
        <v>77.839038851616834</v>
      </c>
      <c r="E927" s="78">
        <v>1288.0860309716502</v>
      </c>
      <c r="F927" s="84">
        <v>58.77</v>
      </c>
      <c r="G927" s="53">
        <v>75.476906678234684</v>
      </c>
      <c r="H927" s="78">
        <v>1284.2761047853442</v>
      </c>
      <c r="I927" s="84">
        <v>74.489999999999995</v>
      </c>
      <c r="J927" s="53">
        <v>112.01028968738036</v>
      </c>
      <c r="K927" s="78">
        <v>1503.6956596506964</v>
      </c>
      <c r="L927" s="84">
        <v>64.563333333333333</v>
      </c>
      <c r="M927" s="53">
        <v>88.44207840574397</v>
      </c>
      <c r="N927" s="78">
        <v>1369.849941748319</v>
      </c>
    </row>
    <row r="928" spans="1:14" ht="19.5" customHeight="1" outlineLevel="1" x14ac:dyDescent="0.2">
      <c r="A928" s="101">
        <v>12</v>
      </c>
      <c r="B928" s="81" t="s">
        <v>19</v>
      </c>
      <c r="C928" s="84">
        <v>58.58</v>
      </c>
      <c r="D928" s="53">
        <v>65.459638185241005</v>
      </c>
      <c r="E928" s="78">
        <v>1117.4400509600719</v>
      </c>
      <c r="F928" s="84">
        <v>52.01</v>
      </c>
      <c r="G928" s="53">
        <v>72.062823554830715</v>
      </c>
      <c r="H928" s="78">
        <v>1385.5570766166259</v>
      </c>
      <c r="I928" s="84">
        <v>82.77</v>
      </c>
      <c r="J928" s="53">
        <v>105.16844448281523</v>
      </c>
      <c r="K928" s="78">
        <v>1270.6106618680105</v>
      </c>
      <c r="L928" s="84">
        <v>64.453333333333333</v>
      </c>
      <c r="M928" s="53">
        <v>80.896968740962322</v>
      </c>
      <c r="N928" s="78">
        <v>1255.1246701638754</v>
      </c>
    </row>
    <row r="929" spans="1:14" ht="19.5" customHeight="1" outlineLevel="1" x14ac:dyDescent="0.2">
      <c r="A929" s="101">
        <v>13</v>
      </c>
      <c r="B929" s="81" t="s">
        <v>20</v>
      </c>
      <c r="C929" s="84">
        <v>42.88</v>
      </c>
      <c r="D929" s="53">
        <v>13.2361</v>
      </c>
      <c r="E929" s="78">
        <v>308.67770522388059</v>
      </c>
      <c r="F929" s="84">
        <v>31.19</v>
      </c>
      <c r="G929" s="53">
        <v>16.346172356526207</v>
      </c>
      <c r="H929" s="78">
        <v>524.08375622078256</v>
      </c>
      <c r="I929" s="84">
        <v>10.1</v>
      </c>
      <c r="J929" s="53">
        <v>6.0226737491343485</v>
      </c>
      <c r="K929" s="78">
        <v>596.3043315974603</v>
      </c>
      <c r="L929" s="84">
        <v>28.056666666666668</v>
      </c>
      <c r="M929" s="53">
        <v>11.868315368553519</v>
      </c>
      <c r="N929" s="78">
        <v>423.01230967875205</v>
      </c>
    </row>
    <row r="930" spans="1:14" ht="19.5" customHeight="1" outlineLevel="1" x14ac:dyDescent="0.2">
      <c r="A930" s="101">
        <v>14</v>
      </c>
      <c r="B930" s="81" t="s">
        <v>21</v>
      </c>
      <c r="C930" s="84">
        <v>0.45</v>
      </c>
      <c r="D930" s="53">
        <v>0.37902091196634835</v>
      </c>
      <c r="E930" s="78">
        <v>842.26869325855193</v>
      </c>
      <c r="F930" s="84">
        <v>0.8</v>
      </c>
      <c r="G930" s="53">
        <v>0.8849966081185795</v>
      </c>
      <c r="H930" s="78">
        <v>1106.2457601482242</v>
      </c>
      <c r="I930" s="84">
        <v>1.4499999999999997</v>
      </c>
      <c r="J930" s="53">
        <v>1.246889330508103</v>
      </c>
      <c r="K930" s="78">
        <v>859.92367621248502</v>
      </c>
      <c r="L930" s="84">
        <v>0.89999999999999991</v>
      </c>
      <c r="M930" s="53">
        <v>0.83696895019767703</v>
      </c>
      <c r="N930" s="78">
        <v>929.96550021964129</v>
      </c>
    </row>
    <row r="931" spans="1:14" ht="19.5" customHeight="1" outlineLevel="1" x14ac:dyDescent="0.2">
      <c r="A931" s="101">
        <v>15</v>
      </c>
      <c r="B931" s="81" t="s">
        <v>22</v>
      </c>
      <c r="C931" s="84">
        <v>138.35</v>
      </c>
      <c r="D931" s="53">
        <v>253.86272377110546</v>
      </c>
      <c r="E931" s="78">
        <v>1834.931143990643</v>
      </c>
      <c r="F931" s="84">
        <v>133.44999999999999</v>
      </c>
      <c r="G931" s="53">
        <v>424.90882466537255</v>
      </c>
      <c r="H931" s="78">
        <v>3184.030158601518</v>
      </c>
      <c r="I931" s="84">
        <v>234.39000000000001</v>
      </c>
      <c r="J931" s="53">
        <v>401.22193349228161</v>
      </c>
      <c r="K931" s="78">
        <v>1711.7706962425084</v>
      </c>
      <c r="L931" s="84">
        <v>168.73</v>
      </c>
      <c r="M931" s="53">
        <v>359.99782730958651</v>
      </c>
      <c r="N931" s="78">
        <v>2133.573326080641</v>
      </c>
    </row>
    <row r="932" spans="1:14" ht="19.5" customHeight="1" outlineLevel="1" x14ac:dyDescent="0.2">
      <c r="A932" s="101">
        <v>16</v>
      </c>
      <c r="B932" s="81" t="s">
        <v>23</v>
      </c>
      <c r="C932" s="84">
        <v>15.1</v>
      </c>
      <c r="D932" s="53">
        <v>15.50661265183847</v>
      </c>
      <c r="E932" s="78">
        <v>1026.9279901879781</v>
      </c>
      <c r="F932" s="84">
        <v>21.05</v>
      </c>
      <c r="G932" s="53">
        <v>31.709187412819503</v>
      </c>
      <c r="H932" s="78">
        <v>1506.3746989462945</v>
      </c>
      <c r="I932" s="84">
        <v>20.88</v>
      </c>
      <c r="J932" s="53">
        <v>27.98629873653762</v>
      </c>
      <c r="K932" s="78">
        <v>1340.3399778035259</v>
      </c>
      <c r="L932" s="84">
        <v>19.010000000000002</v>
      </c>
      <c r="M932" s="53">
        <v>25.067366267065196</v>
      </c>
      <c r="N932" s="78">
        <v>1318.6410450849655</v>
      </c>
    </row>
    <row r="933" spans="1:14" ht="19.5" customHeight="1" outlineLevel="1" x14ac:dyDescent="0.2">
      <c r="A933" s="101">
        <v>17</v>
      </c>
      <c r="B933" s="81" t="s">
        <v>24</v>
      </c>
      <c r="C933" s="84">
        <v>69.709999999999994</v>
      </c>
      <c r="D933" s="53">
        <v>50.719069759307104</v>
      </c>
      <c r="E933" s="78">
        <v>727.57236779955679</v>
      </c>
      <c r="F933" s="84">
        <v>37.71</v>
      </c>
      <c r="G933" s="53">
        <v>30.455895261984917</v>
      </c>
      <c r="H933" s="78">
        <v>807.63445404362017</v>
      </c>
      <c r="I933" s="84">
        <v>40.35</v>
      </c>
      <c r="J933" s="53">
        <v>36.706416964890899</v>
      </c>
      <c r="K933" s="78">
        <v>909.70054435913005</v>
      </c>
      <c r="L933" s="84">
        <v>49.256666666666661</v>
      </c>
      <c r="M933" s="53">
        <v>39.29379399539431</v>
      </c>
      <c r="N933" s="78">
        <v>797.73554839401061</v>
      </c>
    </row>
    <row r="934" spans="1:14" ht="19.5" customHeight="1" outlineLevel="1" x14ac:dyDescent="0.2">
      <c r="A934" s="101">
        <v>18</v>
      </c>
      <c r="B934" s="81" t="s">
        <v>25</v>
      </c>
      <c r="C934" s="84">
        <v>50.19</v>
      </c>
      <c r="D934" s="53">
        <v>35.789257436398898</v>
      </c>
      <c r="E934" s="78">
        <v>713.07546197248257</v>
      </c>
      <c r="F934" s="84">
        <v>24.770000000000003</v>
      </c>
      <c r="G934" s="53">
        <v>14.714563387458728</v>
      </c>
      <c r="H934" s="78">
        <v>594.04777502861225</v>
      </c>
      <c r="I934" s="84">
        <v>20.05</v>
      </c>
      <c r="J934" s="53">
        <v>15.32677916505286</v>
      </c>
      <c r="K934" s="78">
        <v>764.42788853131469</v>
      </c>
      <c r="L934" s="84">
        <v>31.67</v>
      </c>
      <c r="M934" s="53">
        <v>21.943533329636825</v>
      </c>
      <c r="N934" s="78">
        <v>692.880749278081</v>
      </c>
    </row>
    <row r="935" spans="1:14" ht="19.5" customHeight="1" outlineLevel="1" x14ac:dyDescent="0.2">
      <c r="A935" s="101">
        <v>19</v>
      </c>
      <c r="B935" s="81" t="s">
        <v>26</v>
      </c>
      <c r="C935" s="84">
        <v>10.559999999999999</v>
      </c>
      <c r="D935" s="53">
        <v>9.1619861457402223</v>
      </c>
      <c r="E935" s="78">
        <v>867.61232440721813</v>
      </c>
      <c r="F935" s="84">
        <v>8.86</v>
      </c>
      <c r="G935" s="53">
        <v>9.3625422442374351</v>
      </c>
      <c r="H935" s="78">
        <v>1056.72034359339</v>
      </c>
      <c r="I935" s="84">
        <v>11.52</v>
      </c>
      <c r="J935" s="53">
        <v>10.842696616948214</v>
      </c>
      <c r="K935" s="78">
        <v>941.20630355453238</v>
      </c>
      <c r="L935" s="84">
        <v>10.313333333333333</v>
      </c>
      <c r="M935" s="53">
        <v>9.789075002308623</v>
      </c>
      <c r="N935" s="78">
        <v>949.16693622901983</v>
      </c>
    </row>
    <row r="936" spans="1:14" ht="19.5" customHeight="1" outlineLevel="1" x14ac:dyDescent="0.2">
      <c r="A936" s="101">
        <v>20</v>
      </c>
      <c r="B936" s="81" t="s">
        <v>27</v>
      </c>
      <c r="C936" s="84">
        <v>0.26</v>
      </c>
      <c r="D936" s="53">
        <v>0.30237105899983663</v>
      </c>
      <c r="E936" s="78">
        <v>1162.9656115378332</v>
      </c>
      <c r="F936" s="84">
        <v>0.24</v>
      </c>
      <c r="G936" s="53">
        <v>0.30693843151062977</v>
      </c>
      <c r="H936" s="78">
        <v>1278.9101312942907</v>
      </c>
      <c r="I936" s="84">
        <v>3.31</v>
      </c>
      <c r="J936" s="53">
        <v>2.7274269782599552</v>
      </c>
      <c r="K936" s="78">
        <v>823.99606593956355</v>
      </c>
      <c r="L936" s="84">
        <v>1.27</v>
      </c>
      <c r="M936" s="53">
        <v>1.1122454895901406</v>
      </c>
      <c r="N936" s="78">
        <v>875.78385007097677</v>
      </c>
    </row>
    <row r="937" spans="1:14" ht="19.5" customHeight="1" outlineLevel="1" x14ac:dyDescent="0.2">
      <c r="A937" s="101">
        <v>21</v>
      </c>
      <c r="B937" s="81" t="s">
        <v>28</v>
      </c>
      <c r="C937" s="84">
        <v>18.170000000000002</v>
      </c>
      <c r="D937" s="53">
        <v>14.190323370068244</v>
      </c>
      <c r="E937" s="78">
        <v>780.97541937634787</v>
      </c>
      <c r="F937" s="84">
        <v>12.79</v>
      </c>
      <c r="G937" s="53">
        <v>11.637625626145809</v>
      </c>
      <c r="H937" s="78">
        <v>909.90036170021972</v>
      </c>
      <c r="I937" s="84">
        <v>8.5399999999999991</v>
      </c>
      <c r="J937" s="53">
        <v>7.4840571876282675</v>
      </c>
      <c r="K937" s="78">
        <v>876.35330065904782</v>
      </c>
      <c r="L937" s="84">
        <v>13.166666666666666</v>
      </c>
      <c r="M937" s="53">
        <v>11.104002061280774</v>
      </c>
      <c r="N937" s="78">
        <v>843.34192870486891</v>
      </c>
    </row>
    <row r="938" spans="1:14" ht="19.5" customHeight="1" outlineLevel="1" x14ac:dyDescent="0.2">
      <c r="A938" s="101">
        <v>22</v>
      </c>
      <c r="B938" s="81" t="s">
        <v>29</v>
      </c>
      <c r="C938" s="84">
        <v>161.28</v>
      </c>
      <c r="D938" s="53">
        <v>246.98572597843571</v>
      </c>
      <c r="E938" s="78">
        <v>1531.4095112750231</v>
      </c>
      <c r="F938" s="84">
        <v>165.99</v>
      </c>
      <c r="G938" s="53">
        <v>284.97203355144592</v>
      </c>
      <c r="H938" s="78">
        <v>1716.8024191303448</v>
      </c>
      <c r="I938" s="84">
        <v>153.14000000000001</v>
      </c>
      <c r="J938" s="53">
        <v>223.76876247826311</v>
      </c>
      <c r="K938" s="78">
        <v>1461.2038819267539</v>
      </c>
      <c r="L938" s="84">
        <v>160.13666666666666</v>
      </c>
      <c r="M938" s="53">
        <v>251.90884066938156</v>
      </c>
      <c r="N938" s="78">
        <v>1573.0865760665779</v>
      </c>
    </row>
    <row r="939" spans="1:14" ht="19.5" customHeight="1" outlineLevel="1" x14ac:dyDescent="0.2">
      <c r="A939" s="101">
        <v>23</v>
      </c>
      <c r="B939" s="81" t="s">
        <v>30</v>
      </c>
      <c r="C939" s="84">
        <v>42.7</v>
      </c>
      <c r="D939" s="53">
        <v>30.44883296312269</v>
      </c>
      <c r="E939" s="78">
        <v>713.08742302395058</v>
      </c>
      <c r="F939" s="84">
        <v>38.21</v>
      </c>
      <c r="G939" s="53">
        <v>25.361246400680987</v>
      </c>
      <c r="H939" s="78">
        <v>663.73322168754214</v>
      </c>
      <c r="I939" s="84">
        <v>30.61</v>
      </c>
      <c r="J939" s="53">
        <v>20.418492912990232</v>
      </c>
      <c r="K939" s="78">
        <v>667.05301904574424</v>
      </c>
      <c r="L939" s="84">
        <v>37.173333333333332</v>
      </c>
      <c r="M939" s="53">
        <v>25.409524092264636</v>
      </c>
      <c r="N939" s="78">
        <v>683.54171697268578</v>
      </c>
    </row>
    <row r="940" spans="1:14" ht="19.5" customHeight="1" outlineLevel="1" x14ac:dyDescent="0.2">
      <c r="A940" s="101">
        <v>24</v>
      </c>
      <c r="B940" s="81" t="s">
        <v>31</v>
      </c>
      <c r="C940" s="84">
        <v>88.83</v>
      </c>
      <c r="D940" s="53">
        <v>49.415340344425076</v>
      </c>
      <c r="E940" s="78">
        <v>556.29112174293675</v>
      </c>
      <c r="F940" s="84">
        <v>73.67</v>
      </c>
      <c r="G940" s="53">
        <v>43.015552019271631</v>
      </c>
      <c r="H940" s="78">
        <v>583.89510003083512</v>
      </c>
      <c r="I940" s="84">
        <v>57.67</v>
      </c>
      <c r="J940" s="53">
        <v>35.702769770155889</v>
      </c>
      <c r="K940" s="78">
        <v>619.0873898067606</v>
      </c>
      <c r="L940" s="84">
        <v>73.39</v>
      </c>
      <c r="M940" s="53">
        <v>42.711220711284199</v>
      </c>
      <c r="N940" s="78">
        <v>581.97602822297586</v>
      </c>
    </row>
    <row r="941" spans="1:14" ht="19.5" customHeight="1" outlineLevel="1" x14ac:dyDescent="0.2">
      <c r="A941" s="101">
        <v>25</v>
      </c>
      <c r="B941" s="81" t="s">
        <v>32</v>
      </c>
      <c r="C941" s="84">
        <v>272.09000000000003</v>
      </c>
      <c r="D941" s="53">
        <v>365.52453326570327</v>
      </c>
      <c r="E941" s="78">
        <v>1343.3956899029849</v>
      </c>
      <c r="F941" s="84">
        <v>198.49</v>
      </c>
      <c r="G941" s="53">
        <v>248.12402056376877</v>
      </c>
      <c r="H941" s="78">
        <v>1250.0580410286098</v>
      </c>
      <c r="I941" s="84">
        <v>169.32</v>
      </c>
      <c r="J941" s="53">
        <v>204.55118999550876</v>
      </c>
      <c r="K941" s="78">
        <v>1208.0745924610724</v>
      </c>
      <c r="L941" s="84">
        <v>213.30000000000004</v>
      </c>
      <c r="M941" s="53">
        <v>272.73324794166024</v>
      </c>
      <c r="N941" s="78">
        <v>1278.6368867400852</v>
      </c>
    </row>
    <row r="942" spans="1:14" ht="19.5" customHeight="1" outlineLevel="1" x14ac:dyDescent="0.2">
      <c r="A942" s="101">
        <v>26</v>
      </c>
      <c r="B942" s="81" t="s">
        <v>33</v>
      </c>
      <c r="C942" s="84">
        <v>217.18</v>
      </c>
      <c r="D942" s="53">
        <v>200.56218174383429</v>
      </c>
      <c r="E942" s="78">
        <v>923.48366214123894</v>
      </c>
      <c r="F942" s="84">
        <v>190.02</v>
      </c>
      <c r="G942" s="53">
        <v>187.74728872044798</v>
      </c>
      <c r="H942" s="78">
        <v>988.03962067386578</v>
      </c>
      <c r="I942" s="84">
        <v>198.92</v>
      </c>
      <c r="J942" s="53">
        <v>164.1434899257365</v>
      </c>
      <c r="K942" s="78">
        <v>825.17338591261068</v>
      </c>
      <c r="L942" s="84">
        <v>202.04</v>
      </c>
      <c r="M942" s="53">
        <v>184.15098679667292</v>
      </c>
      <c r="N942" s="78">
        <v>911.45806175347911</v>
      </c>
    </row>
    <row r="943" spans="1:14" ht="19.5" customHeight="1" outlineLevel="1" x14ac:dyDescent="0.2">
      <c r="A943" s="101">
        <v>27</v>
      </c>
      <c r="B943" s="81" t="s">
        <v>34</v>
      </c>
      <c r="C943" s="84">
        <v>206.73000000000002</v>
      </c>
      <c r="D943" s="53">
        <v>226.02979074650699</v>
      </c>
      <c r="E943" s="78">
        <v>1093.3574747085909</v>
      </c>
      <c r="F943" s="84">
        <v>181.65</v>
      </c>
      <c r="G943" s="53">
        <v>200.14312463151307</v>
      </c>
      <c r="H943" s="78">
        <v>1101.8063563529483</v>
      </c>
      <c r="I943" s="84">
        <v>160.04</v>
      </c>
      <c r="J943" s="53">
        <v>180.22257006919156</v>
      </c>
      <c r="K943" s="78">
        <v>1126.1095355485602</v>
      </c>
      <c r="L943" s="84">
        <v>182.80666666666664</v>
      </c>
      <c r="M943" s="53">
        <v>202.13182848240388</v>
      </c>
      <c r="N943" s="78">
        <v>1105.713660054724</v>
      </c>
    </row>
    <row r="944" spans="1:14" ht="19.5" customHeight="1" outlineLevel="1" x14ac:dyDescent="0.2">
      <c r="A944" s="101">
        <v>28</v>
      </c>
      <c r="B944" s="81" t="s">
        <v>35</v>
      </c>
      <c r="C944" s="84">
        <v>790.95</v>
      </c>
      <c r="D944" s="53">
        <v>888.66804902821661</v>
      </c>
      <c r="E944" s="78">
        <v>1123.5451659753671</v>
      </c>
      <c r="F944" s="84">
        <v>774.2700000000001</v>
      </c>
      <c r="G944" s="53">
        <v>863.67890118439675</v>
      </c>
      <c r="H944" s="78">
        <v>1115.475094197627</v>
      </c>
      <c r="I944" s="84">
        <v>660.51</v>
      </c>
      <c r="J944" s="53">
        <v>731.04924398767162</v>
      </c>
      <c r="K944" s="78">
        <v>1106.7951189045912</v>
      </c>
      <c r="L944" s="84">
        <v>741.9100000000002</v>
      </c>
      <c r="M944" s="53">
        <v>827.79873140009511</v>
      </c>
      <c r="N944" s="78">
        <v>1115.767049103119</v>
      </c>
    </row>
    <row r="945" spans="1:14" ht="19.5" customHeight="1" outlineLevel="1" x14ac:dyDescent="0.2">
      <c r="A945" s="101">
        <v>29</v>
      </c>
      <c r="B945" s="81" t="s">
        <v>36</v>
      </c>
      <c r="C945" s="84">
        <v>103.41999999999999</v>
      </c>
      <c r="D945" s="53">
        <v>119.86988807805686</v>
      </c>
      <c r="E945" s="78">
        <v>1159.0590608978619</v>
      </c>
      <c r="F945" s="84">
        <v>103.07999999999998</v>
      </c>
      <c r="G945" s="53">
        <v>105.5739530497973</v>
      </c>
      <c r="H945" s="78">
        <v>1024.1943446817745</v>
      </c>
      <c r="I945" s="84">
        <v>64.95</v>
      </c>
      <c r="J945" s="53">
        <v>55.463740228685793</v>
      </c>
      <c r="K945" s="78">
        <v>853.94519212757177</v>
      </c>
      <c r="L945" s="84">
        <v>90.483333333333334</v>
      </c>
      <c r="M945" s="53">
        <v>93.635860452179983</v>
      </c>
      <c r="N945" s="78">
        <v>1034.8409701843432</v>
      </c>
    </row>
    <row r="946" spans="1:14" ht="19.5" customHeight="1" outlineLevel="1" x14ac:dyDescent="0.2">
      <c r="A946" s="101">
        <v>30</v>
      </c>
      <c r="B946" s="81" t="s">
        <v>37</v>
      </c>
      <c r="C946" s="84">
        <v>125.95</v>
      </c>
      <c r="D946" s="53">
        <v>91.778140000000008</v>
      </c>
      <c r="E946" s="78">
        <v>728.68709805478375</v>
      </c>
      <c r="F946" s="84">
        <v>128.44999999999999</v>
      </c>
      <c r="G946" s="53">
        <v>108.73251000000002</v>
      </c>
      <c r="H946" s="78">
        <v>846.49676917088391</v>
      </c>
      <c r="I946" s="84">
        <v>102.03</v>
      </c>
      <c r="J946" s="53">
        <v>72.814171999999999</v>
      </c>
      <c r="K946" s="78">
        <v>713.65453298049601</v>
      </c>
      <c r="L946" s="84">
        <v>118.80999999999999</v>
      </c>
      <c r="M946" s="53">
        <v>91.108274000000009</v>
      </c>
      <c r="N946" s="78">
        <v>766.84011446847921</v>
      </c>
    </row>
    <row r="947" spans="1:14" ht="19.5" customHeight="1" outlineLevel="1" x14ac:dyDescent="0.2">
      <c r="A947" s="101">
        <v>31</v>
      </c>
      <c r="B947" s="81" t="s">
        <v>38</v>
      </c>
      <c r="C947" s="84">
        <v>5.41</v>
      </c>
      <c r="D947" s="53">
        <v>5.4469209912830419</v>
      </c>
      <c r="E947" s="78">
        <v>1006.8245824922443</v>
      </c>
      <c r="F947" s="84">
        <v>3.57</v>
      </c>
      <c r="G947" s="53">
        <v>3.9614395767083517</v>
      </c>
      <c r="H947" s="78">
        <v>1109.6469402544403</v>
      </c>
      <c r="I947" s="84">
        <v>5.0299999999999994</v>
      </c>
      <c r="J947" s="53">
        <v>4.8334498726126638</v>
      </c>
      <c r="K947" s="78">
        <v>960.92442795480406</v>
      </c>
      <c r="L947" s="84">
        <v>4.67</v>
      </c>
      <c r="M947" s="53">
        <v>4.7472701468680194</v>
      </c>
      <c r="N947" s="78">
        <v>1016.5460699931519</v>
      </c>
    </row>
    <row r="948" spans="1:14" ht="19.5" customHeight="1" outlineLevel="1" x14ac:dyDescent="0.2">
      <c r="A948" s="101">
        <v>32</v>
      </c>
      <c r="B948" s="81" t="s">
        <v>39</v>
      </c>
      <c r="C948" s="84">
        <v>104.67000000000002</v>
      </c>
      <c r="D948" s="53">
        <v>70.81961508407565</v>
      </c>
      <c r="E948" s="78">
        <v>676.59897854280723</v>
      </c>
      <c r="F948" s="84">
        <v>138.22</v>
      </c>
      <c r="G948" s="53">
        <v>91.484843796006544</v>
      </c>
      <c r="H948" s="78">
        <v>661.87848210104585</v>
      </c>
      <c r="I948" s="84">
        <v>127.99</v>
      </c>
      <c r="J948" s="53">
        <v>81.761567866063686</v>
      </c>
      <c r="K948" s="78">
        <v>638.81215615332212</v>
      </c>
      <c r="L948" s="84">
        <v>123.62666666666667</v>
      </c>
      <c r="M948" s="53">
        <v>81.355342248715303</v>
      </c>
      <c r="N948" s="78">
        <v>658.07276409120448</v>
      </c>
    </row>
    <row r="949" spans="1:14" ht="19.5" customHeight="1" outlineLevel="1" thickBot="1" x14ac:dyDescent="0.25">
      <c r="A949" s="102">
        <v>33</v>
      </c>
      <c r="B949" s="91" t="s">
        <v>40</v>
      </c>
      <c r="C949" s="92">
        <v>108.68</v>
      </c>
      <c r="D949" s="93">
        <v>74.904824487540694</v>
      </c>
      <c r="E949" s="94">
        <v>689.22363348859676</v>
      </c>
      <c r="F949" s="92">
        <v>86.74</v>
      </c>
      <c r="G949" s="93">
        <v>70.290767459919692</v>
      </c>
      <c r="H949" s="94">
        <v>810.36162623841017</v>
      </c>
      <c r="I949" s="92">
        <v>85.09</v>
      </c>
      <c r="J949" s="93">
        <v>63.030628735053973</v>
      </c>
      <c r="K949" s="94">
        <v>740.75248248976345</v>
      </c>
      <c r="L949" s="92">
        <v>93.50333333333333</v>
      </c>
      <c r="M949" s="93">
        <v>69.408740227504794</v>
      </c>
      <c r="N949" s="94">
        <v>742.31300375214573</v>
      </c>
    </row>
    <row r="950" spans="1:14" ht="19.5" customHeight="1" thickBot="1" x14ac:dyDescent="0.25">
      <c r="A950" s="151" t="s">
        <v>41</v>
      </c>
      <c r="B950" s="152"/>
      <c r="C950" s="96">
        <v>4361.1900000000005</v>
      </c>
      <c r="D950" s="97">
        <v>3974.8110565694501</v>
      </c>
      <c r="E950" s="98">
        <v>911.40515697996409</v>
      </c>
      <c r="F950" s="96">
        <v>3897.6799999999989</v>
      </c>
      <c r="G950" s="97">
        <v>3922.300382287543</v>
      </c>
      <c r="H950" s="98">
        <v>1006.3166761477453</v>
      </c>
      <c r="I950" s="96">
        <v>4279.58</v>
      </c>
      <c r="J950" s="97">
        <v>4123.8905035122561</v>
      </c>
      <c r="K950" s="98">
        <v>963.62037945598786</v>
      </c>
      <c r="L950" s="96">
        <v>4179.4833333333327</v>
      </c>
      <c r="M950" s="97">
        <v>4007.0006474564166</v>
      </c>
      <c r="N950" s="98">
        <v>958.73109853046037</v>
      </c>
    </row>
    <row r="951" spans="1:14" ht="34.5" customHeight="1" x14ac:dyDescent="0.2">
      <c r="A951" s="153" t="s">
        <v>247</v>
      </c>
      <c r="B951" s="154"/>
      <c r="C951" s="154"/>
      <c r="D951" s="154"/>
      <c r="E951" s="154"/>
      <c r="F951" s="154"/>
      <c r="G951" s="154"/>
      <c r="H951" s="154"/>
      <c r="I951" s="154"/>
      <c r="J951" s="154"/>
      <c r="K951" s="154"/>
      <c r="L951" s="154"/>
      <c r="M951" s="154"/>
      <c r="N951" s="154"/>
    </row>
    <row r="952" spans="1:14" ht="19.5" customHeight="1" thickBot="1" x14ac:dyDescent="0.25">
      <c r="A952" s="50"/>
      <c r="B952" s="51" t="s">
        <v>67</v>
      </c>
      <c r="C952" s="52"/>
      <c r="D952" s="52"/>
      <c r="E952" s="52"/>
      <c r="F952" s="52"/>
      <c r="G952" s="52"/>
      <c r="H952" s="52"/>
      <c r="I952" s="52"/>
      <c r="J952" s="52"/>
      <c r="K952" s="155" t="s">
        <v>1</v>
      </c>
      <c r="L952" s="154"/>
      <c r="M952" s="154"/>
      <c r="N952" s="154"/>
    </row>
    <row r="953" spans="1:14" ht="19.5" customHeight="1" x14ac:dyDescent="0.2">
      <c r="A953" s="156" t="s">
        <v>2</v>
      </c>
      <c r="B953" s="158" t="s">
        <v>3</v>
      </c>
      <c r="C953" s="148" t="s">
        <v>243</v>
      </c>
      <c r="D953" s="149"/>
      <c r="E953" s="150"/>
      <c r="F953" s="148" t="s">
        <v>244</v>
      </c>
      <c r="G953" s="149"/>
      <c r="H953" s="150"/>
      <c r="I953" s="148" t="s">
        <v>246</v>
      </c>
      <c r="J953" s="149"/>
      <c r="K953" s="150"/>
      <c r="L953" s="148" t="s">
        <v>4</v>
      </c>
      <c r="M953" s="149"/>
      <c r="N953" s="150"/>
    </row>
    <row r="954" spans="1:14" ht="19.5" customHeight="1" thickBot="1" x14ac:dyDescent="0.25">
      <c r="A954" s="157"/>
      <c r="B954" s="159"/>
      <c r="C954" s="85" t="s">
        <v>5</v>
      </c>
      <c r="D954" s="79" t="s">
        <v>6</v>
      </c>
      <c r="E954" s="80" t="s">
        <v>7</v>
      </c>
      <c r="F954" s="85" t="s">
        <v>5</v>
      </c>
      <c r="G954" s="79" t="s">
        <v>6</v>
      </c>
      <c r="H954" s="80" t="s">
        <v>7</v>
      </c>
      <c r="I954" s="85" t="s">
        <v>5</v>
      </c>
      <c r="J954" s="79" t="s">
        <v>6</v>
      </c>
      <c r="K954" s="80" t="s">
        <v>7</v>
      </c>
      <c r="L954" s="85" t="s">
        <v>5</v>
      </c>
      <c r="M954" s="79" t="s">
        <v>6</v>
      </c>
      <c r="N954" s="80" t="s">
        <v>7</v>
      </c>
    </row>
    <row r="955" spans="1:14" ht="19.5" customHeight="1" outlineLevel="1" x14ac:dyDescent="0.2">
      <c r="A955" s="100">
        <v>1</v>
      </c>
      <c r="B955" s="86" t="s">
        <v>8</v>
      </c>
      <c r="C955" s="87">
        <v>657.77</v>
      </c>
      <c r="D955" s="88">
        <v>501.74344714104143</v>
      </c>
      <c r="E955" s="89">
        <v>762.79466552296617</v>
      </c>
      <c r="F955" s="87">
        <v>651.05999999999995</v>
      </c>
      <c r="G955" s="88">
        <v>520.15954064242248</v>
      </c>
      <c r="H955" s="89">
        <v>798.94255620437832</v>
      </c>
      <c r="I955" s="87">
        <v>781.54</v>
      </c>
      <c r="J955" s="88">
        <v>832.02749527997662</v>
      </c>
      <c r="K955" s="89">
        <v>1064.6000144330126</v>
      </c>
      <c r="L955" s="87">
        <v>696.79</v>
      </c>
      <c r="M955" s="88">
        <v>617.97682768781351</v>
      </c>
      <c r="N955" s="89">
        <v>886.89106859715775</v>
      </c>
    </row>
    <row r="956" spans="1:14" ht="19.5" customHeight="1" outlineLevel="1" x14ac:dyDescent="0.2">
      <c r="A956" s="101">
        <v>2</v>
      </c>
      <c r="B956" s="81" t="s">
        <v>9</v>
      </c>
      <c r="C956" s="84">
        <v>1496.5099999999998</v>
      </c>
      <c r="D956" s="53">
        <v>2579.0579544619986</v>
      </c>
      <c r="E956" s="78">
        <v>1723.3817044069197</v>
      </c>
      <c r="F956" s="84">
        <v>1537.4199999999998</v>
      </c>
      <c r="G956" s="53">
        <v>2761.9019599067387</v>
      </c>
      <c r="H956" s="78">
        <v>1796.4524722631024</v>
      </c>
      <c r="I956" s="84">
        <v>1331.8200000000002</v>
      </c>
      <c r="J956" s="53">
        <v>2448.553591906626</v>
      </c>
      <c r="K956" s="78">
        <v>1838.5018935791818</v>
      </c>
      <c r="L956" s="84">
        <v>1455.25</v>
      </c>
      <c r="M956" s="53">
        <v>2596.5045020917878</v>
      </c>
      <c r="N956" s="78">
        <v>1784.2326075188371</v>
      </c>
    </row>
    <row r="957" spans="1:14" ht="19.5" customHeight="1" outlineLevel="1" x14ac:dyDescent="0.2">
      <c r="A957" s="101">
        <v>3</v>
      </c>
      <c r="B957" s="81" t="s">
        <v>10</v>
      </c>
      <c r="C957" s="84">
        <v>275.89</v>
      </c>
      <c r="D957" s="53">
        <v>187.30394657355535</v>
      </c>
      <c r="E957" s="78">
        <v>678.90806688736586</v>
      </c>
      <c r="F957" s="84">
        <v>274.56</v>
      </c>
      <c r="G957" s="53">
        <v>203.32810202130139</v>
      </c>
      <c r="H957" s="78">
        <v>740.55981214052088</v>
      </c>
      <c r="I957" s="84">
        <v>449.00999999999988</v>
      </c>
      <c r="J957" s="53">
        <v>269.99567480643151</v>
      </c>
      <c r="K957" s="78">
        <v>601.31327766960999</v>
      </c>
      <c r="L957" s="84">
        <v>333.15333333333331</v>
      </c>
      <c r="M957" s="53">
        <v>220.20924113376273</v>
      </c>
      <c r="N957" s="78">
        <v>660.98465511505037</v>
      </c>
    </row>
    <row r="958" spans="1:14" ht="19.5" customHeight="1" outlineLevel="1" x14ac:dyDescent="0.2">
      <c r="A958" s="101">
        <v>4</v>
      </c>
      <c r="B958" s="81" t="s">
        <v>11</v>
      </c>
      <c r="C958" s="84">
        <v>227.57999999999998</v>
      </c>
      <c r="D958" s="53">
        <v>265.21301377379359</v>
      </c>
      <c r="E958" s="78">
        <v>1165.3616915976518</v>
      </c>
      <c r="F958" s="84">
        <v>249.04000000000002</v>
      </c>
      <c r="G958" s="53">
        <v>292.01592364441444</v>
      </c>
      <c r="H958" s="78">
        <v>1172.5663493591971</v>
      </c>
      <c r="I958" s="84">
        <v>259.74</v>
      </c>
      <c r="J958" s="53">
        <v>356.79108889040276</v>
      </c>
      <c r="K958" s="78">
        <v>1373.6470658751164</v>
      </c>
      <c r="L958" s="84">
        <v>245.45333333333335</v>
      </c>
      <c r="M958" s="53">
        <v>304.67334210287027</v>
      </c>
      <c r="N958" s="78">
        <v>1241.2678938407992</v>
      </c>
    </row>
    <row r="959" spans="1:14" ht="19.5" customHeight="1" outlineLevel="1" x14ac:dyDescent="0.2">
      <c r="A959" s="101">
        <v>5</v>
      </c>
      <c r="B959" s="81" t="s">
        <v>12</v>
      </c>
      <c r="C959" s="84">
        <v>345.13</v>
      </c>
      <c r="D959" s="53">
        <v>657.87464677978232</v>
      </c>
      <c r="E959" s="78">
        <v>1906.1647691588166</v>
      </c>
      <c r="F959" s="84">
        <v>257.58999999999997</v>
      </c>
      <c r="G959" s="53">
        <v>550.30261237302602</v>
      </c>
      <c r="H959" s="78">
        <v>2136.3508380489384</v>
      </c>
      <c r="I959" s="84">
        <v>225.72</v>
      </c>
      <c r="J959" s="53">
        <v>470.64975458387738</v>
      </c>
      <c r="K959" s="78">
        <v>2085.1043531095047</v>
      </c>
      <c r="L959" s="84">
        <v>276.1466666666667</v>
      </c>
      <c r="M959" s="53">
        <v>559.60900457889522</v>
      </c>
      <c r="N959" s="78">
        <v>2026.4919773751694</v>
      </c>
    </row>
    <row r="960" spans="1:14" ht="19.5" customHeight="1" outlineLevel="1" x14ac:dyDescent="0.2">
      <c r="A960" s="101">
        <v>6</v>
      </c>
      <c r="B960" s="81" t="s">
        <v>13</v>
      </c>
      <c r="C960" s="84">
        <v>462.69</v>
      </c>
      <c r="D960" s="53">
        <v>946.15345241757359</v>
      </c>
      <c r="E960" s="78">
        <v>2044.8971285689631</v>
      </c>
      <c r="F960" s="84">
        <v>406.35</v>
      </c>
      <c r="G960" s="53">
        <v>938.47429100105842</v>
      </c>
      <c r="H960" s="78">
        <v>2309.5220647251344</v>
      </c>
      <c r="I960" s="84">
        <v>394.74</v>
      </c>
      <c r="J960" s="53">
        <v>878.13235499956727</v>
      </c>
      <c r="K960" s="78">
        <v>2224.5841693255493</v>
      </c>
      <c r="L960" s="84">
        <v>421.26</v>
      </c>
      <c r="M960" s="53">
        <v>920.92003280606639</v>
      </c>
      <c r="N960" s="78">
        <v>2186.108419517795</v>
      </c>
    </row>
    <row r="961" spans="1:14" ht="19.5" customHeight="1" outlineLevel="1" x14ac:dyDescent="0.2">
      <c r="A961" s="101">
        <v>7</v>
      </c>
      <c r="B961" s="81" t="s">
        <v>14</v>
      </c>
      <c r="C961" s="84">
        <v>167.09</v>
      </c>
      <c r="D961" s="53">
        <v>351.22153607786368</v>
      </c>
      <c r="E961" s="78">
        <v>2101.9901614570808</v>
      </c>
      <c r="F961" s="84">
        <v>155.37</v>
      </c>
      <c r="G961" s="53">
        <v>327.73866441209083</v>
      </c>
      <c r="H961" s="78">
        <v>2109.4076360435788</v>
      </c>
      <c r="I961" s="84">
        <v>148.84</v>
      </c>
      <c r="J961" s="53">
        <v>304.06565904255336</v>
      </c>
      <c r="K961" s="78">
        <v>2042.9028422638628</v>
      </c>
      <c r="L961" s="84">
        <v>157.10000000000002</v>
      </c>
      <c r="M961" s="53">
        <v>327.67528651083597</v>
      </c>
      <c r="N961" s="78">
        <v>2085.7752164916355</v>
      </c>
    </row>
    <row r="962" spans="1:14" ht="19.5" customHeight="1" outlineLevel="1" x14ac:dyDescent="0.2">
      <c r="A962" s="101">
        <v>8</v>
      </c>
      <c r="B962" s="81" t="s">
        <v>15</v>
      </c>
      <c r="C962" s="84">
        <v>1840.3899999999999</v>
      </c>
      <c r="D962" s="53">
        <v>4482.2810337937353</v>
      </c>
      <c r="E962" s="78">
        <v>2435.5060795775544</v>
      </c>
      <c r="F962" s="84">
        <v>1749.6399999999999</v>
      </c>
      <c r="G962" s="53">
        <v>4311.1651745815343</v>
      </c>
      <c r="H962" s="78">
        <v>2464.0298430428743</v>
      </c>
      <c r="I962" s="84">
        <v>1862.76</v>
      </c>
      <c r="J962" s="53">
        <v>3985.1670378916174</v>
      </c>
      <c r="K962" s="78">
        <v>2139.3883473403002</v>
      </c>
      <c r="L962" s="84">
        <v>1817.5966666666666</v>
      </c>
      <c r="M962" s="53">
        <v>4259.5377487556289</v>
      </c>
      <c r="N962" s="78">
        <v>2343.4999782252548</v>
      </c>
    </row>
    <row r="963" spans="1:14" ht="19.5" customHeight="1" outlineLevel="1" x14ac:dyDescent="0.2">
      <c r="A963" s="101">
        <v>9</v>
      </c>
      <c r="B963" s="81" t="s">
        <v>16</v>
      </c>
      <c r="C963" s="84">
        <v>98.23</v>
      </c>
      <c r="D963" s="53">
        <v>111.89938815563886</v>
      </c>
      <c r="E963" s="78">
        <v>1139.1569597438549</v>
      </c>
      <c r="F963" s="84">
        <v>118.30999999999999</v>
      </c>
      <c r="G963" s="53">
        <v>143.37974352034701</v>
      </c>
      <c r="H963" s="78">
        <v>1211.8987703520161</v>
      </c>
      <c r="I963" s="84">
        <v>299.12</v>
      </c>
      <c r="J963" s="53">
        <v>319.52953482002187</v>
      </c>
      <c r="K963" s="78">
        <v>1068.2319297272729</v>
      </c>
      <c r="L963" s="84">
        <v>171.88666666666666</v>
      </c>
      <c r="M963" s="53">
        <v>191.60288883200258</v>
      </c>
      <c r="N963" s="78">
        <v>1114.7047793042077</v>
      </c>
    </row>
    <row r="964" spans="1:14" ht="19.5" customHeight="1" outlineLevel="1" x14ac:dyDescent="0.2">
      <c r="A964" s="101">
        <v>10</v>
      </c>
      <c r="B964" s="81" t="s">
        <v>17</v>
      </c>
      <c r="C964" s="84">
        <v>56.400000000000006</v>
      </c>
      <c r="D964" s="53">
        <v>40.594353439960763</v>
      </c>
      <c r="E964" s="78">
        <v>719.75803971561618</v>
      </c>
      <c r="F964" s="84">
        <v>21.05</v>
      </c>
      <c r="G964" s="53">
        <v>24.142519668952264</v>
      </c>
      <c r="H964" s="78">
        <v>1146.9130484062832</v>
      </c>
      <c r="I964" s="84">
        <v>44.199999999999996</v>
      </c>
      <c r="J964" s="53">
        <v>27.59733331471622</v>
      </c>
      <c r="K964" s="78">
        <v>624.37405689403215</v>
      </c>
      <c r="L964" s="84">
        <v>40.550000000000004</v>
      </c>
      <c r="M964" s="53">
        <v>30.778068807876419</v>
      </c>
      <c r="N964" s="78">
        <v>759.01526036686596</v>
      </c>
    </row>
    <row r="965" spans="1:14" ht="19.5" customHeight="1" outlineLevel="1" x14ac:dyDescent="0.2">
      <c r="A965" s="101">
        <v>11</v>
      </c>
      <c r="B965" s="81" t="s">
        <v>18</v>
      </c>
      <c r="C965" s="84">
        <v>63.030000000000008</v>
      </c>
      <c r="D965" s="53">
        <v>82.454426294610258</v>
      </c>
      <c r="E965" s="78">
        <v>1308.1774757196611</v>
      </c>
      <c r="F965" s="84">
        <v>63.14</v>
      </c>
      <c r="G965" s="53">
        <v>83.241219926513338</v>
      </c>
      <c r="H965" s="78">
        <v>1318.3595173663816</v>
      </c>
      <c r="I965" s="84">
        <v>76.86999999999999</v>
      </c>
      <c r="J965" s="53">
        <v>116.27710559866505</v>
      </c>
      <c r="K965" s="78">
        <v>1512.6460985906733</v>
      </c>
      <c r="L965" s="84">
        <v>67.680000000000007</v>
      </c>
      <c r="M965" s="53">
        <v>93.99091727326288</v>
      </c>
      <c r="N965" s="78">
        <v>1388.7546878437186</v>
      </c>
    </row>
    <row r="966" spans="1:14" ht="19.5" customHeight="1" outlineLevel="1" x14ac:dyDescent="0.2">
      <c r="A966" s="101">
        <v>12</v>
      </c>
      <c r="B966" s="81" t="s">
        <v>19</v>
      </c>
      <c r="C966" s="84">
        <v>58.58</v>
      </c>
      <c r="D966" s="53">
        <v>65.459638185241005</v>
      </c>
      <c r="E966" s="78">
        <v>1117.4400509600719</v>
      </c>
      <c r="F966" s="84">
        <v>52.01</v>
      </c>
      <c r="G966" s="53">
        <v>72.062823554830715</v>
      </c>
      <c r="H966" s="78">
        <v>1385.5570766166259</v>
      </c>
      <c r="I966" s="84">
        <v>83</v>
      </c>
      <c r="J966" s="53">
        <v>105.59257799103118</v>
      </c>
      <c r="K966" s="78">
        <v>1272.1997348317011</v>
      </c>
      <c r="L966" s="84">
        <v>64.53</v>
      </c>
      <c r="M966" s="53">
        <v>81.038346577034304</v>
      </c>
      <c r="N966" s="78">
        <v>1255.8243697045452</v>
      </c>
    </row>
    <row r="967" spans="1:14" ht="19.5" customHeight="1" outlineLevel="1" x14ac:dyDescent="0.2">
      <c r="A967" s="101">
        <v>13</v>
      </c>
      <c r="B967" s="81" t="s">
        <v>20</v>
      </c>
      <c r="C967" s="84">
        <v>42.88</v>
      </c>
      <c r="D967" s="53">
        <v>13.2361</v>
      </c>
      <c r="E967" s="78">
        <v>308.67770522388059</v>
      </c>
      <c r="F967" s="84">
        <v>31.380000000000003</v>
      </c>
      <c r="G967" s="53">
        <v>16.683751193407886</v>
      </c>
      <c r="H967" s="78">
        <v>531.66829806908493</v>
      </c>
      <c r="I967" s="84">
        <v>10.1</v>
      </c>
      <c r="J967" s="53">
        <v>6.0226737491343485</v>
      </c>
      <c r="K967" s="78">
        <v>596.3043315974603</v>
      </c>
      <c r="L967" s="84">
        <v>28.12</v>
      </c>
      <c r="M967" s="53">
        <v>11.980841647514078</v>
      </c>
      <c r="N967" s="78">
        <v>426.06122501828156</v>
      </c>
    </row>
    <row r="968" spans="1:14" ht="19.5" customHeight="1" outlineLevel="1" x14ac:dyDescent="0.2">
      <c r="A968" s="101">
        <v>14</v>
      </c>
      <c r="B968" s="81" t="s">
        <v>21</v>
      </c>
      <c r="C968" s="84">
        <v>0.45</v>
      </c>
      <c r="D968" s="53">
        <v>0.37902091196634835</v>
      </c>
      <c r="E968" s="78">
        <v>842.26869325855193</v>
      </c>
      <c r="F968" s="84">
        <v>0.8</v>
      </c>
      <c r="G968" s="53">
        <v>0.8849966081185795</v>
      </c>
      <c r="H968" s="78">
        <v>1106.2457601482242</v>
      </c>
      <c r="I968" s="84">
        <v>1.4499999999999997</v>
      </c>
      <c r="J968" s="53">
        <v>1.246889330508103</v>
      </c>
      <c r="K968" s="78">
        <v>859.92367621248502</v>
      </c>
      <c r="L968" s="84">
        <v>0.89999999999999991</v>
      </c>
      <c r="M968" s="53">
        <v>0.83696895019767703</v>
      </c>
      <c r="N968" s="78">
        <v>929.96550021964129</v>
      </c>
    </row>
    <row r="969" spans="1:14" ht="19.5" customHeight="1" outlineLevel="1" x14ac:dyDescent="0.2">
      <c r="A969" s="101">
        <v>15</v>
      </c>
      <c r="B969" s="81" t="s">
        <v>22</v>
      </c>
      <c r="C969" s="84">
        <v>138.5</v>
      </c>
      <c r="D969" s="53">
        <v>254.12899612358586</v>
      </c>
      <c r="E969" s="78">
        <v>1834.8663980042299</v>
      </c>
      <c r="F969" s="84">
        <v>138.94999999999999</v>
      </c>
      <c r="G969" s="53">
        <v>432.08251088598655</v>
      </c>
      <c r="H969" s="78">
        <v>3109.6258430081798</v>
      </c>
      <c r="I969" s="84">
        <v>234.96</v>
      </c>
      <c r="J969" s="53">
        <v>402.00037106546847</v>
      </c>
      <c r="K969" s="78">
        <v>1710.9310991890895</v>
      </c>
      <c r="L969" s="84">
        <v>170.80333333333331</v>
      </c>
      <c r="M969" s="53">
        <v>362.7372926916803</v>
      </c>
      <c r="N969" s="78">
        <v>2123.7131946586542</v>
      </c>
    </row>
    <row r="970" spans="1:14" ht="19.5" customHeight="1" outlineLevel="1" x14ac:dyDescent="0.2">
      <c r="A970" s="101">
        <v>16</v>
      </c>
      <c r="B970" s="81" t="s">
        <v>23</v>
      </c>
      <c r="C970" s="84">
        <v>26.4</v>
      </c>
      <c r="D970" s="53">
        <v>43.525130980345146</v>
      </c>
      <c r="E970" s="78">
        <v>1648.6792038009526</v>
      </c>
      <c r="F970" s="84">
        <v>29.150000000000002</v>
      </c>
      <c r="G970" s="53">
        <v>51.320258603443357</v>
      </c>
      <c r="H970" s="78">
        <v>1760.5577565503722</v>
      </c>
      <c r="I970" s="84">
        <v>29.33</v>
      </c>
      <c r="J970" s="53">
        <v>51.89316626608165</v>
      </c>
      <c r="K970" s="78">
        <v>1769.2862688742466</v>
      </c>
      <c r="L970" s="84">
        <v>28.293333333333333</v>
      </c>
      <c r="M970" s="53">
        <v>48.912851949956718</v>
      </c>
      <c r="N970" s="78">
        <v>1728.7765769306097</v>
      </c>
    </row>
    <row r="971" spans="1:14" ht="19.5" customHeight="1" outlineLevel="1" x14ac:dyDescent="0.2">
      <c r="A971" s="101">
        <v>17</v>
      </c>
      <c r="B971" s="81" t="s">
        <v>24</v>
      </c>
      <c r="C971" s="84">
        <v>81.559999999999988</v>
      </c>
      <c r="D971" s="53">
        <v>76.52560698189356</v>
      </c>
      <c r="E971" s="78">
        <v>938.27374916495307</v>
      </c>
      <c r="F971" s="84">
        <v>51.42</v>
      </c>
      <c r="G971" s="53">
        <v>47.077076661984918</v>
      </c>
      <c r="H971" s="78">
        <v>915.54019179278328</v>
      </c>
      <c r="I971" s="84">
        <v>51.760000000000005</v>
      </c>
      <c r="J971" s="53">
        <v>59.1909629648909</v>
      </c>
      <c r="K971" s="78">
        <v>1143.5657450713079</v>
      </c>
      <c r="L971" s="84">
        <v>61.580000000000005</v>
      </c>
      <c r="M971" s="53">
        <v>60.931215536256467</v>
      </c>
      <c r="N971" s="78">
        <v>989.46436401845506</v>
      </c>
    </row>
    <row r="972" spans="1:14" ht="19.5" customHeight="1" outlineLevel="1" x14ac:dyDescent="0.2">
      <c r="A972" s="101">
        <v>18</v>
      </c>
      <c r="B972" s="81" t="s">
        <v>25</v>
      </c>
      <c r="C972" s="84">
        <v>180.88</v>
      </c>
      <c r="D972" s="53">
        <v>366.02034865706577</v>
      </c>
      <c r="E972" s="78">
        <v>2023.5534534335791</v>
      </c>
      <c r="F972" s="84">
        <v>142.80000000000001</v>
      </c>
      <c r="G972" s="53">
        <v>302.46874400253319</v>
      </c>
      <c r="H972" s="78">
        <v>2118.1284594014928</v>
      </c>
      <c r="I972" s="84">
        <v>98.28</v>
      </c>
      <c r="J972" s="53">
        <v>215.97012636118575</v>
      </c>
      <c r="K972" s="78">
        <v>2197.498233223298</v>
      </c>
      <c r="L972" s="84">
        <v>140.65333333333334</v>
      </c>
      <c r="M972" s="53">
        <v>294.81973967359494</v>
      </c>
      <c r="N972" s="78">
        <v>2096.0736065522437</v>
      </c>
    </row>
    <row r="973" spans="1:14" ht="19.5" customHeight="1" outlineLevel="1" x14ac:dyDescent="0.2">
      <c r="A973" s="101">
        <v>19</v>
      </c>
      <c r="B973" s="81" t="s">
        <v>26</v>
      </c>
      <c r="C973" s="84">
        <v>11.209999999999999</v>
      </c>
      <c r="D973" s="53">
        <v>10.315833006488578</v>
      </c>
      <c r="E973" s="78">
        <v>920.2348801506314</v>
      </c>
      <c r="F973" s="84">
        <v>9.84</v>
      </c>
      <c r="G973" s="53">
        <v>11.389256413706535</v>
      </c>
      <c r="H973" s="78">
        <v>1157.4447574905016</v>
      </c>
      <c r="I973" s="84">
        <v>12.76</v>
      </c>
      <c r="J973" s="53">
        <v>13.547273545210686</v>
      </c>
      <c r="K973" s="78">
        <v>1061.698553699897</v>
      </c>
      <c r="L973" s="84">
        <v>11.269999999999998</v>
      </c>
      <c r="M973" s="53">
        <v>11.750787655135268</v>
      </c>
      <c r="N973" s="78">
        <v>1042.660838964975</v>
      </c>
    </row>
    <row r="974" spans="1:14" ht="19.5" customHeight="1" outlineLevel="1" x14ac:dyDescent="0.2">
      <c r="A974" s="101">
        <v>20</v>
      </c>
      <c r="B974" s="81" t="s">
        <v>27</v>
      </c>
      <c r="C974" s="84">
        <v>1267.9299999999998</v>
      </c>
      <c r="D974" s="53">
        <v>3313.5874499375236</v>
      </c>
      <c r="E974" s="78">
        <v>2613.3835857953704</v>
      </c>
      <c r="F974" s="84">
        <v>1276.49</v>
      </c>
      <c r="G974" s="53">
        <v>3643.7967852936563</v>
      </c>
      <c r="H974" s="78">
        <v>2854.5439332024976</v>
      </c>
      <c r="I974" s="84">
        <v>1268.1600000000001</v>
      </c>
      <c r="J974" s="53">
        <v>3415.2945561472984</v>
      </c>
      <c r="K974" s="78">
        <v>2693.1101407924066</v>
      </c>
      <c r="L974" s="84">
        <v>1270.8599999999999</v>
      </c>
      <c r="M974" s="53">
        <v>3457.5595971261596</v>
      </c>
      <c r="N974" s="78">
        <v>2720.6455448484962</v>
      </c>
    </row>
    <row r="975" spans="1:14" ht="19.5" customHeight="1" outlineLevel="1" x14ac:dyDescent="0.2">
      <c r="A975" s="101">
        <v>21</v>
      </c>
      <c r="B975" s="81" t="s">
        <v>28</v>
      </c>
      <c r="C975" s="84">
        <v>1225.0600000000002</v>
      </c>
      <c r="D975" s="53">
        <v>3435.8983113174486</v>
      </c>
      <c r="E975" s="78">
        <v>2804.6775760513347</v>
      </c>
      <c r="F975" s="84">
        <v>1236.54</v>
      </c>
      <c r="G975" s="53">
        <v>3393.3387432441</v>
      </c>
      <c r="H975" s="78">
        <v>2744.2207637796596</v>
      </c>
      <c r="I975" s="84">
        <v>1221.57</v>
      </c>
      <c r="J975" s="53">
        <v>3133.8287215495229</v>
      </c>
      <c r="K975" s="78">
        <v>2565.4106776930698</v>
      </c>
      <c r="L975" s="84">
        <v>1227.7233333333334</v>
      </c>
      <c r="M975" s="53">
        <v>3321.0219253703567</v>
      </c>
      <c r="N975" s="78">
        <v>2705.0246869167236</v>
      </c>
    </row>
    <row r="976" spans="1:14" ht="19.5" customHeight="1" outlineLevel="1" x14ac:dyDescent="0.2">
      <c r="A976" s="101">
        <v>22</v>
      </c>
      <c r="B976" s="81" t="s">
        <v>29</v>
      </c>
      <c r="C976" s="84">
        <v>1173.8700000000001</v>
      </c>
      <c r="D976" s="53">
        <v>1898.6925503282366</v>
      </c>
      <c r="E976" s="78">
        <v>1617.464072110401</v>
      </c>
      <c r="F976" s="84">
        <v>1203</v>
      </c>
      <c r="G976" s="53">
        <v>2508.5445070017549</v>
      </c>
      <c r="H976" s="78">
        <v>2085.2406541992973</v>
      </c>
      <c r="I976" s="84">
        <v>1195.7900000000002</v>
      </c>
      <c r="J976" s="53">
        <v>1817.7716145066217</v>
      </c>
      <c r="K976" s="78">
        <v>1520.1428465755873</v>
      </c>
      <c r="L976" s="84">
        <v>1190.8866666666665</v>
      </c>
      <c r="M976" s="53">
        <v>2075.0028906122043</v>
      </c>
      <c r="N976" s="78">
        <v>1742.4016480260125</v>
      </c>
    </row>
    <row r="977" spans="1:14" ht="19.5" customHeight="1" outlineLevel="1" x14ac:dyDescent="0.2">
      <c r="A977" s="101">
        <v>23</v>
      </c>
      <c r="B977" s="81" t="s">
        <v>30</v>
      </c>
      <c r="C977" s="84">
        <v>717.06999999999994</v>
      </c>
      <c r="D977" s="53">
        <v>1549.2054332145403</v>
      </c>
      <c r="E977" s="78">
        <v>2160.4661096051159</v>
      </c>
      <c r="F977" s="84">
        <v>738.55000000000007</v>
      </c>
      <c r="G977" s="53">
        <v>1670.9942419615841</v>
      </c>
      <c r="H977" s="78">
        <v>2262.5336699770955</v>
      </c>
      <c r="I977" s="84">
        <v>721.83</v>
      </c>
      <c r="J977" s="53">
        <v>1664.1743769333714</v>
      </c>
      <c r="K977" s="78">
        <v>2305.493505303702</v>
      </c>
      <c r="L977" s="84">
        <v>725.81666666666661</v>
      </c>
      <c r="M977" s="53">
        <v>1628.1246840364986</v>
      </c>
      <c r="N977" s="78">
        <v>2243.1624386826315</v>
      </c>
    </row>
    <row r="978" spans="1:14" ht="19.5" customHeight="1" outlineLevel="1" x14ac:dyDescent="0.2">
      <c r="A978" s="101">
        <v>24</v>
      </c>
      <c r="B978" s="81" t="s">
        <v>31</v>
      </c>
      <c r="C978" s="84">
        <v>1785.01</v>
      </c>
      <c r="D978" s="53">
        <v>2957.3076398263224</v>
      </c>
      <c r="E978" s="78">
        <v>1656.7456988063498</v>
      </c>
      <c r="F978" s="84">
        <v>1725.49</v>
      </c>
      <c r="G978" s="53">
        <v>2704.9670453593167</v>
      </c>
      <c r="H978" s="78">
        <v>1567.6515339754601</v>
      </c>
      <c r="I978" s="84">
        <v>1683.9900000000002</v>
      </c>
      <c r="J978" s="53">
        <v>2134.9849335179397</v>
      </c>
      <c r="K978" s="78">
        <v>1267.813308581369</v>
      </c>
      <c r="L978" s="84">
        <v>1731.4966666666667</v>
      </c>
      <c r="M978" s="53">
        <v>2599.0865395678597</v>
      </c>
      <c r="N978" s="78">
        <v>1501.0635536315556</v>
      </c>
    </row>
    <row r="979" spans="1:14" ht="19.5" customHeight="1" outlineLevel="1" x14ac:dyDescent="0.2">
      <c r="A979" s="101">
        <v>25</v>
      </c>
      <c r="B979" s="81" t="s">
        <v>32</v>
      </c>
      <c r="C979" s="84">
        <v>575.25</v>
      </c>
      <c r="D979" s="53">
        <v>991.90553266404572</v>
      </c>
      <c r="E979" s="78">
        <v>1724.303403153491</v>
      </c>
      <c r="F979" s="84">
        <v>538.94000000000005</v>
      </c>
      <c r="G979" s="53">
        <v>951.83926131162013</v>
      </c>
      <c r="H979" s="78">
        <v>1766.1321507247931</v>
      </c>
      <c r="I979" s="84">
        <v>503.78</v>
      </c>
      <c r="J979" s="53">
        <v>887.37944732487267</v>
      </c>
      <c r="K979" s="78">
        <v>1761.4423901799848</v>
      </c>
      <c r="L979" s="84">
        <v>539.32333333333338</v>
      </c>
      <c r="M979" s="53">
        <v>943.70808043351281</v>
      </c>
      <c r="N979" s="78">
        <v>1749.8002072353247</v>
      </c>
    </row>
    <row r="980" spans="1:14" ht="19.5" customHeight="1" outlineLevel="1" x14ac:dyDescent="0.2">
      <c r="A980" s="101">
        <v>26</v>
      </c>
      <c r="B980" s="81" t="s">
        <v>33</v>
      </c>
      <c r="C980" s="84">
        <v>524.44000000000005</v>
      </c>
      <c r="D980" s="53">
        <v>644.40286512682223</v>
      </c>
      <c r="E980" s="78">
        <v>1228.7446898154644</v>
      </c>
      <c r="F980" s="84">
        <v>454.44999999999993</v>
      </c>
      <c r="G980" s="53">
        <v>564.4714221579992</v>
      </c>
      <c r="H980" s="78">
        <v>1242.0979693211559</v>
      </c>
      <c r="I980" s="84">
        <v>489.83999999999992</v>
      </c>
      <c r="J980" s="53">
        <v>549.40164932157381</v>
      </c>
      <c r="K980" s="78">
        <v>1121.5940905633959</v>
      </c>
      <c r="L980" s="84">
        <v>489.57666666666665</v>
      </c>
      <c r="M980" s="53">
        <v>586.09197886879849</v>
      </c>
      <c r="N980" s="78">
        <v>1197.1403434303074</v>
      </c>
    </row>
    <row r="981" spans="1:14" ht="19.5" customHeight="1" outlineLevel="1" x14ac:dyDescent="0.2">
      <c r="A981" s="101">
        <v>27</v>
      </c>
      <c r="B981" s="81" t="s">
        <v>34</v>
      </c>
      <c r="C981" s="84">
        <v>392.26</v>
      </c>
      <c r="D981" s="53">
        <v>461.26757082556861</v>
      </c>
      <c r="E981" s="78">
        <v>1175.9230378462464</v>
      </c>
      <c r="F981" s="84">
        <v>368.86</v>
      </c>
      <c r="G981" s="53">
        <v>443.21531043804941</v>
      </c>
      <c r="H981" s="78">
        <v>1201.5813870792426</v>
      </c>
      <c r="I981" s="84">
        <v>385.48</v>
      </c>
      <c r="J981" s="53">
        <v>501.98582868859853</v>
      </c>
      <c r="K981" s="78">
        <v>1302.2357286723009</v>
      </c>
      <c r="L981" s="84">
        <v>382.2</v>
      </c>
      <c r="M981" s="53">
        <v>468.82290331740552</v>
      </c>
      <c r="N981" s="78">
        <v>1226.6428658226205</v>
      </c>
    </row>
    <row r="982" spans="1:14" ht="19.5" customHeight="1" outlineLevel="1" x14ac:dyDescent="0.2">
      <c r="A982" s="101">
        <v>28</v>
      </c>
      <c r="B982" s="81" t="s">
        <v>35</v>
      </c>
      <c r="C982" s="84">
        <v>893.26</v>
      </c>
      <c r="D982" s="53">
        <v>1066.9511629542624</v>
      </c>
      <c r="E982" s="78">
        <v>1194.4463683073936</v>
      </c>
      <c r="F982" s="84">
        <v>886.12000000000012</v>
      </c>
      <c r="G982" s="53">
        <v>1053.9586217065182</v>
      </c>
      <c r="H982" s="78">
        <v>1189.4084567626483</v>
      </c>
      <c r="I982" s="84">
        <v>784.48</v>
      </c>
      <c r="J982" s="53">
        <v>934.89505144561406</v>
      </c>
      <c r="K982" s="78">
        <v>1191.7385420222492</v>
      </c>
      <c r="L982" s="84">
        <v>854.62</v>
      </c>
      <c r="M982" s="53">
        <v>1018.6016120354649</v>
      </c>
      <c r="N982" s="78">
        <v>1191.876637611412</v>
      </c>
    </row>
    <row r="983" spans="1:14" ht="19.5" customHeight="1" outlineLevel="1" x14ac:dyDescent="0.2">
      <c r="A983" s="101">
        <v>29</v>
      </c>
      <c r="B983" s="81" t="s">
        <v>36</v>
      </c>
      <c r="C983" s="84">
        <v>597.63</v>
      </c>
      <c r="D983" s="53">
        <v>1178.9093657751591</v>
      </c>
      <c r="E983" s="78">
        <v>1972.6408744125281</v>
      </c>
      <c r="F983" s="84">
        <v>616.3900000000001</v>
      </c>
      <c r="G983" s="53">
        <v>1255.4414922343331</v>
      </c>
      <c r="H983" s="78">
        <v>2036.7648602902914</v>
      </c>
      <c r="I983" s="84">
        <v>647.44000000000005</v>
      </c>
      <c r="J983" s="53">
        <v>1188.1993228705628</v>
      </c>
      <c r="K983" s="78">
        <v>1835.2269289363689</v>
      </c>
      <c r="L983" s="84">
        <v>620.48666666666668</v>
      </c>
      <c r="M983" s="53">
        <v>1207.5167269600183</v>
      </c>
      <c r="N983" s="78">
        <v>1946.0800559131299</v>
      </c>
    </row>
    <row r="984" spans="1:14" ht="19.5" customHeight="1" outlineLevel="1" x14ac:dyDescent="0.2">
      <c r="A984" s="101">
        <v>30</v>
      </c>
      <c r="B984" s="81" t="s">
        <v>37</v>
      </c>
      <c r="C984" s="84">
        <v>515.70000000000005</v>
      </c>
      <c r="D984" s="53">
        <v>682.56464865231919</v>
      </c>
      <c r="E984" s="78">
        <v>1323.5692236810532</v>
      </c>
      <c r="F984" s="84">
        <v>537.8599999999999</v>
      </c>
      <c r="G984" s="53">
        <v>822.12648006546533</v>
      </c>
      <c r="H984" s="78">
        <v>1528.5138884941537</v>
      </c>
      <c r="I984" s="84">
        <v>510.68000000000006</v>
      </c>
      <c r="J984" s="53">
        <v>613.9101797936305</v>
      </c>
      <c r="K984" s="78">
        <v>1202.1425937840338</v>
      </c>
      <c r="L984" s="84">
        <v>521.4133333333333</v>
      </c>
      <c r="M984" s="53">
        <v>706.20043617047168</v>
      </c>
      <c r="N984" s="78">
        <v>1354.396581414243</v>
      </c>
    </row>
    <row r="985" spans="1:14" ht="19.5" customHeight="1" outlineLevel="1" x14ac:dyDescent="0.2">
      <c r="A985" s="101">
        <v>31</v>
      </c>
      <c r="B985" s="81" t="s">
        <v>38</v>
      </c>
      <c r="C985" s="84">
        <v>464.88000000000005</v>
      </c>
      <c r="D985" s="53">
        <v>1344.3863964963793</v>
      </c>
      <c r="E985" s="78">
        <v>2891.8998375847082</v>
      </c>
      <c r="F985" s="84">
        <v>457.36</v>
      </c>
      <c r="G985" s="53">
        <v>1336.6836065289815</v>
      </c>
      <c r="H985" s="78">
        <v>2922.6071508854766</v>
      </c>
      <c r="I985" s="84">
        <v>460.77</v>
      </c>
      <c r="J985" s="53">
        <v>1370.3098770386857</v>
      </c>
      <c r="K985" s="78">
        <v>2973.9563709414369</v>
      </c>
      <c r="L985" s="84">
        <v>461.00333333333333</v>
      </c>
      <c r="M985" s="53">
        <v>1350.4599600213489</v>
      </c>
      <c r="N985" s="78">
        <v>2929.3930485419824</v>
      </c>
    </row>
    <row r="986" spans="1:14" ht="19.5" customHeight="1" outlineLevel="1" x14ac:dyDescent="0.2">
      <c r="A986" s="101">
        <v>32</v>
      </c>
      <c r="B986" s="81" t="s">
        <v>39</v>
      </c>
      <c r="C986" s="84">
        <v>881.09999999999991</v>
      </c>
      <c r="D986" s="53">
        <v>2040.3476877507417</v>
      </c>
      <c r="E986" s="78">
        <v>2315.6823150048144</v>
      </c>
      <c r="F986" s="84">
        <v>914</v>
      </c>
      <c r="G986" s="53">
        <v>2208.1491441293401</v>
      </c>
      <c r="H986" s="78">
        <v>2415.9181007979651</v>
      </c>
      <c r="I986" s="84">
        <v>899.19</v>
      </c>
      <c r="J986" s="53">
        <v>2017.0550865327302</v>
      </c>
      <c r="K986" s="78">
        <v>2243.1911904410972</v>
      </c>
      <c r="L986" s="84">
        <v>898.09666666666669</v>
      </c>
      <c r="M986" s="53">
        <v>2088.517306137604</v>
      </c>
      <c r="N986" s="78">
        <v>2325.4927711615346</v>
      </c>
    </row>
    <row r="987" spans="1:14" ht="19.5" customHeight="1" outlineLevel="1" thickBot="1" x14ac:dyDescent="0.25">
      <c r="A987" s="102">
        <v>33</v>
      </c>
      <c r="B987" s="91" t="s">
        <v>40</v>
      </c>
      <c r="C987" s="92">
        <v>821.15000000000009</v>
      </c>
      <c r="D987" s="93">
        <v>2139.8812791309238</v>
      </c>
      <c r="E987" s="94">
        <v>2605.9566207525095</v>
      </c>
      <c r="F987" s="92">
        <v>849.27</v>
      </c>
      <c r="G987" s="93">
        <v>2032.1604904260794</v>
      </c>
      <c r="H987" s="94">
        <v>2392.8320680420588</v>
      </c>
      <c r="I987" s="92">
        <v>844.82</v>
      </c>
      <c r="J987" s="93">
        <v>2315.4172146901315</v>
      </c>
      <c r="K987" s="94">
        <v>2740.7225381621311</v>
      </c>
      <c r="L987" s="92">
        <v>838.41333333333341</v>
      </c>
      <c r="M987" s="93">
        <v>2162.4863280823779</v>
      </c>
      <c r="N987" s="94">
        <v>2579.2604221653337</v>
      </c>
    </row>
    <row r="988" spans="1:14" ht="19.5" customHeight="1" thickBot="1" x14ac:dyDescent="0.25">
      <c r="A988" s="151" t="s">
        <v>41</v>
      </c>
      <c r="B988" s="152"/>
      <c r="C988" s="96">
        <v>18065.78</v>
      </c>
      <c r="D988" s="97">
        <v>34740.695767756435</v>
      </c>
      <c r="E988" s="98">
        <v>1923.0111164730465</v>
      </c>
      <c r="F988" s="96">
        <v>17743.2</v>
      </c>
      <c r="G988" s="97">
        <v>35679.506321481203</v>
      </c>
      <c r="H988" s="98">
        <v>2010.883398793972</v>
      </c>
      <c r="I988" s="96">
        <v>18013.82</v>
      </c>
      <c r="J988" s="97">
        <v>33408.858532769118</v>
      </c>
      <c r="K988" s="98">
        <v>1854.6237573579128</v>
      </c>
      <c r="L988" s="96">
        <v>17940.933333333331</v>
      </c>
      <c r="M988" s="97">
        <v>34609.686874002247</v>
      </c>
      <c r="N988" s="98">
        <v>1929.0906571565722</v>
      </c>
    </row>
    <row r="989" spans="1:14" ht="34.5" customHeight="1" x14ac:dyDescent="0.2">
      <c r="A989" s="153" t="s">
        <v>247</v>
      </c>
      <c r="B989" s="154"/>
      <c r="C989" s="154"/>
      <c r="D989" s="154"/>
      <c r="E989" s="154"/>
      <c r="F989" s="154"/>
      <c r="G989" s="154"/>
      <c r="H989" s="154"/>
      <c r="I989" s="154"/>
      <c r="J989" s="154"/>
      <c r="K989" s="154"/>
      <c r="L989" s="154"/>
      <c r="M989" s="154"/>
      <c r="N989" s="154"/>
    </row>
    <row r="990" spans="1:14" ht="19.5" customHeight="1" thickBot="1" x14ac:dyDescent="0.25">
      <c r="A990" s="50"/>
      <c r="B990" s="138" t="s">
        <v>68</v>
      </c>
      <c r="C990" s="52"/>
      <c r="D990" s="52"/>
      <c r="E990" s="52"/>
      <c r="F990" s="52"/>
      <c r="G990" s="52"/>
      <c r="H990" s="52"/>
      <c r="I990" s="52"/>
      <c r="J990" s="52"/>
      <c r="K990" s="155" t="s">
        <v>1</v>
      </c>
      <c r="L990" s="154"/>
      <c r="M990" s="154"/>
      <c r="N990" s="154"/>
    </row>
    <row r="991" spans="1:14" ht="19.5" customHeight="1" x14ac:dyDescent="0.2">
      <c r="A991" s="156" t="s">
        <v>2</v>
      </c>
      <c r="B991" s="158" t="s">
        <v>3</v>
      </c>
      <c r="C991" s="148" t="s">
        <v>243</v>
      </c>
      <c r="D991" s="149"/>
      <c r="E991" s="150"/>
      <c r="F991" s="148" t="s">
        <v>244</v>
      </c>
      <c r="G991" s="149"/>
      <c r="H991" s="150"/>
      <c r="I991" s="148" t="s">
        <v>246</v>
      </c>
      <c r="J991" s="149"/>
      <c r="K991" s="150"/>
      <c r="L991" s="148" t="s">
        <v>4</v>
      </c>
      <c r="M991" s="149"/>
      <c r="N991" s="150"/>
    </row>
    <row r="992" spans="1:14" ht="19.5" customHeight="1" thickBot="1" x14ac:dyDescent="0.25">
      <c r="A992" s="157"/>
      <c r="B992" s="159"/>
      <c r="C992" s="85" t="s">
        <v>5</v>
      </c>
      <c r="D992" s="79" t="s">
        <v>6</v>
      </c>
      <c r="E992" s="80" t="s">
        <v>7</v>
      </c>
      <c r="F992" s="85" t="s">
        <v>5</v>
      </c>
      <c r="G992" s="79" t="s">
        <v>6</v>
      </c>
      <c r="H992" s="80" t="s">
        <v>7</v>
      </c>
      <c r="I992" s="85" t="s">
        <v>5</v>
      </c>
      <c r="J992" s="79" t="s">
        <v>6</v>
      </c>
      <c r="K992" s="80" t="s">
        <v>7</v>
      </c>
      <c r="L992" s="85" t="s">
        <v>5</v>
      </c>
      <c r="M992" s="79" t="s">
        <v>6</v>
      </c>
      <c r="N992" s="80" t="s">
        <v>7</v>
      </c>
    </row>
    <row r="993" spans="1:14" ht="19.5" customHeight="1" outlineLevel="1" x14ac:dyDescent="0.2">
      <c r="A993" s="100">
        <v>1</v>
      </c>
      <c r="B993" s="86" t="s">
        <v>8</v>
      </c>
      <c r="C993" s="87">
        <v>318.08</v>
      </c>
      <c r="D993" s="88">
        <v>861.95466797988524</v>
      </c>
      <c r="E993" s="89">
        <v>2709.8675426933014</v>
      </c>
      <c r="F993" s="87">
        <v>352.46</v>
      </c>
      <c r="G993" s="88">
        <v>1019.6119849748352</v>
      </c>
      <c r="H993" s="89">
        <v>2892.8445354787359</v>
      </c>
      <c r="I993" s="87">
        <v>378.11</v>
      </c>
      <c r="J993" s="88">
        <v>1158.1749533013813</v>
      </c>
      <c r="K993" s="89">
        <v>3063.0635352182735</v>
      </c>
      <c r="L993" s="87">
        <v>349.55</v>
      </c>
      <c r="M993" s="88">
        <v>1013.2472020853671</v>
      </c>
      <c r="N993" s="89">
        <v>2898.7189302971451</v>
      </c>
    </row>
    <row r="994" spans="1:14" ht="19.5" customHeight="1" outlineLevel="1" x14ac:dyDescent="0.2">
      <c r="A994" s="101">
        <v>2</v>
      </c>
      <c r="B994" s="81" t="s">
        <v>9</v>
      </c>
      <c r="C994" s="84">
        <v>649.29999999999995</v>
      </c>
      <c r="D994" s="53">
        <v>1991.59557</v>
      </c>
      <c r="E994" s="78">
        <v>3067.2964269213003</v>
      </c>
      <c r="F994" s="84">
        <v>698.37</v>
      </c>
      <c r="G994" s="53">
        <v>2182.0332699999999</v>
      </c>
      <c r="H994" s="78">
        <v>3124.4659278033137</v>
      </c>
      <c r="I994" s="84">
        <v>676.02</v>
      </c>
      <c r="J994" s="53">
        <v>2081.68226</v>
      </c>
      <c r="K994" s="78">
        <v>3079.3205230614481</v>
      </c>
      <c r="L994" s="84">
        <v>674.56333333333339</v>
      </c>
      <c r="M994" s="53">
        <v>2085.1036999999997</v>
      </c>
      <c r="N994" s="78">
        <v>3091.042155666134</v>
      </c>
    </row>
    <row r="995" spans="1:14" ht="19.5" customHeight="1" outlineLevel="1" x14ac:dyDescent="0.2">
      <c r="A995" s="101">
        <v>3</v>
      </c>
      <c r="B995" s="81" t="s">
        <v>10</v>
      </c>
      <c r="C995" s="84">
        <v>450.33</v>
      </c>
      <c r="D995" s="53">
        <v>1256.1444200000001</v>
      </c>
      <c r="E995" s="78">
        <v>2789.3864943485892</v>
      </c>
      <c r="F995" s="84">
        <v>387.2</v>
      </c>
      <c r="G995" s="53">
        <v>1085.2588600000001</v>
      </c>
      <c r="H995" s="78">
        <v>2802.8379648760333</v>
      </c>
      <c r="I995" s="84">
        <v>403.31</v>
      </c>
      <c r="J995" s="53">
        <v>1124.4691099999998</v>
      </c>
      <c r="K995" s="78">
        <v>2788.1012372616592</v>
      </c>
      <c r="L995" s="84">
        <v>413.61333333333329</v>
      </c>
      <c r="M995" s="53">
        <v>1155.2907966666669</v>
      </c>
      <c r="N995" s="78">
        <v>2793.1662341639544</v>
      </c>
    </row>
    <row r="996" spans="1:14" ht="19.5" customHeight="1" outlineLevel="1" x14ac:dyDescent="0.2">
      <c r="A996" s="101">
        <v>4</v>
      </c>
      <c r="B996" s="81" t="s">
        <v>11</v>
      </c>
      <c r="C996" s="84">
        <v>668.78</v>
      </c>
      <c r="D996" s="53">
        <v>2119.5866826000006</v>
      </c>
      <c r="E996" s="78">
        <v>3169.3332375370082</v>
      </c>
      <c r="F996" s="84">
        <v>664.32</v>
      </c>
      <c r="G996" s="53">
        <v>2194.3295751000005</v>
      </c>
      <c r="H996" s="78">
        <v>3303.1213498013008</v>
      </c>
      <c r="I996" s="84">
        <v>676.59</v>
      </c>
      <c r="J996" s="53">
        <v>2273.1741317999999</v>
      </c>
      <c r="K996" s="78">
        <v>3359.7512996053738</v>
      </c>
      <c r="L996" s="84">
        <v>669.89666666666665</v>
      </c>
      <c r="M996" s="53">
        <v>2195.6967965000003</v>
      </c>
      <c r="N996" s="78">
        <v>3277.6649082694348</v>
      </c>
    </row>
    <row r="997" spans="1:14" ht="19.5" customHeight="1" outlineLevel="1" x14ac:dyDescent="0.2">
      <c r="A997" s="101">
        <v>5</v>
      </c>
      <c r="B997" s="81" t="s">
        <v>12</v>
      </c>
      <c r="C997" s="84">
        <v>860.99</v>
      </c>
      <c r="D997" s="53">
        <v>2785.2124444999999</v>
      </c>
      <c r="E997" s="78">
        <v>3234.8952304904815</v>
      </c>
      <c r="F997" s="84">
        <v>845.27</v>
      </c>
      <c r="G997" s="53">
        <v>2656.9825139999998</v>
      </c>
      <c r="H997" s="78">
        <v>3143.3536195535153</v>
      </c>
      <c r="I997" s="84">
        <v>836.09</v>
      </c>
      <c r="J997" s="53">
        <v>2692.6391607999999</v>
      </c>
      <c r="K997" s="78">
        <v>3220.5135341889027</v>
      </c>
      <c r="L997" s="84">
        <v>847.44999999999993</v>
      </c>
      <c r="M997" s="53">
        <v>2711.6113731</v>
      </c>
      <c r="N997" s="78">
        <v>3199.7302178299606</v>
      </c>
    </row>
    <row r="998" spans="1:14" ht="19.5" customHeight="1" outlineLevel="1" x14ac:dyDescent="0.2">
      <c r="A998" s="101">
        <v>6</v>
      </c>
      <c r="B998" s="81" t="s">
        <v>13</v>
      </c>
      <c r="C998" s="84">
        <v>795.17</v>
      </c>
      <c r="D998" s="53">
        <v>2291.9524900000001</v>
      </c>
      <c r="E998" s="78">
        <v>2882.3427568947523</v>
      </c>
      <c r="F998" s="84">
        <v>813.5</v>
      </c>
      <c r="G998" s="53">
        <v>2372.6938400000004</v>
      </c>
      <c r="H998" s="78">
        <v>2916.6488506453597</v>
      </c>
      <c r="I998" s="84">
        <v>848.12</v>
      </c>
      <c r="J998" s="53">
        <v>2445.1718190000001</v>
      </c>
      <c r="K998" s="78">
        <v>2883.0493550440979</v>
      </c>
      <c r="L998" s="84">
        <v>818.93</v>
      </c>
      <c r="M998" s="53">
        <v>2369.9393830000004</v>
      </c>
      <c r="N998" s="78">
        <v>2893.9462261731778</v>
      </c>
    </row>
    <row r="999" spans="1:14" ht="19.5" customHeight="1" outlineLevel="1" x14ac:dyDescent="0.2">
      <c r="A999" s="101">
        <v>7</v>
      </c>
      <c r="B999" s="81" t="s">
        <v>14</v>
      </c>
      <c r="C999" s="84">
        <v>323.64</v>
      </c>
      <c r="D999" s="53">
        <v>1186.2925849999999</v>
      </c>
      <c r="E999" s="78">
        <v>3665.4696112965025</v>
      </c>
      <c r="F999" s="84">
        <v>300.83999999999997</v>
      </c>
      <c r="G999" s="53">
        <v>1077.7382839999998</v>
      </c>
      <c r="H999" s="78">
        <v>3582.4301422683152</v>
      </c>
      <c r="I999" s="84">
        <v>291.08999999999997</v>
      </c>
      <c r="J999" s="53">
        <v>1030.6395170000001</v>
      </c>
      <c r="K999" s="78">
        <v>3540.6215156824351</v>
      </c>
      <c r="L999" s="84">
        <v>305.19</v>
      </c>
      <c r="M999" s="53">
        <v>1098.2234619999999</v>
      </c>
      <c r="N999" s="78">
        <v>3598.4909793898878</v>
      </c>
    </row>
    <row r="1000" spans="1:14" ht="19.5" customHeight="1" outlineLevel="1" x14ac:dyDescent="0.2">
      <c r="A1000" s="101">
        <v>8</v>
      </c>
      <c r="B1000" s="81" t="s">
        <v>15</v>
      </c>
      <c r="C1000" s="84">
        <v>1322.29</v>
      </c>
      <c r="D1000" s="53">
        <v>3443.2827599999991</v>
      </c>
      <c r="E1000" s="78">
        <v>2604.0299480446797</v>
      </c>
      <c r="F1000" s="84">
        <v>1257.1300000000001</v>
      </c>
      <c r="G1000" s="53">
        <v>3131.901170000001</v>
      </c>
      <c r="H1000" s="78">
        <v>2491.3105009028504</v>
      </c>
      <c r="I1000" s="84">
        <v>1291.7</v>
      </c>
      <c r="J1000" s="53">
        <v>3476.5455600000005</v>
      </c>
      <c r="K1000" s="78">
        <v>2691.4496864597045</v>
      </c>
      <c r="L1000" s="84">
        <v>1290.3733333333332</v>
      </c>
      <c r="M1000" s="53">
        <v>3350.576496666667</v>
      </c>
      <c r="N1000" s="78">
        <v>2596.5946521936808</v>
      </c>
    </row>
    <row r="1001" spans="1:14" ht="19.5" customHeight="1" outlineLevel="1" x14ac:dyDescent="0.2">
      <c r="A1001" s="101">
        <v>9</v>
      </c>
      <c r="B1001" s="81" t="s">
        <v>16</v>
      </c>
      <c r="C1001" s="84">
        <v>441.18</v>
      </c>
      <c r="D1001" s="53">
        <v>1361.9938910699998</v>
      </c>
      <c r="E1001" s="78">
        <v>3087.1614558003535</v>
      </c>
      <c r="F1001" s="84">
        <v>325.94</v>
      </c>
      <c r="G1001" s="53">
        <v>889.07664160000002</v>
      </c>
      <c r="H1001" s="78">
        <v>2727.7309983432533</v>
      </c>
      <c r="I1001" s="84">
        <v>494.01</v>
      </c>
      <c r="J1001" s="53">
        <v>1424.4660674999998</v>
      </c>
      <c r="K1001" s="78">
        <v>2883.4761796319913</v>
      </c>
      <c r="L1001" s="84">
        <v>420.37666666666672</v>
      </c>
      <c r="M1001" s="53">
        <v>1225.1788667233332</v>
      </c>
      <c r="N1001" s="78">
        <v>2914.4787612458663</v>
      </c>
    </row>
    <row r="1002" spans="1:14" ht="19.5" customHeight="1" outlineLevel="1" x14ac:dyDescent="0.2">
      <c r="A1002" s="101">
        <v>10</v>
      </c>
      <c r="B1002" s="81" t="s">
        <v>17</v>
      </c>
      <c r="C1002" s="84">
        <v>443.25</v>
      </c>
      <c r="D1002" s="53">
        <v>1557.9632770000001</v>
      </c>
      <c r="E1002" s="78">
        <v>3514.8635690919346</v>
      </c>
      <c r="F1002" s="84">
        <v>328.85</v>
      </c>
      <c r="G1002" s="53">
        <v>1080.7557910000003</v>
      </c>
      <c r="H1002" s="78">
        <v>3286.4703998783643</v>
      </c>
      <c r="I1002" s="84">
        <v>651.70000000000005</v>
      </c>
      <c r="J1002" s="53">
        <v>2405.7437930000006</v>
      </c>
      <c r="K1002" s="78">
        <v>3691.4896317323928</v>
      </c>
      <c r="L1002" s="84">
        <v>474.60000000000008</v>
      </c>
      <c r="M1002" s="53">
        <v>1681.4876203333336</v>
      </c>
      <c r="N1002" s="78">
        <v>3542.9574806854894</v>
      </c>
    </row>
    <row r="1003" spans="1:14" ht="19.5" customHeight="1" outlineLevel="1" x14ac:dyDescent="0.2">
      <c r="A1003" s="101">
        <v>11</v>
      </c>
      <c r="B1003" s="81" t="s">
        <v>18</v>
      </c>
      <c r="C1003" s="84">
        <v>900.77</v>
      </c>
      <c r="D1003" s="53">
        <v>3471.8684515</v>
      </c>
      <c r="E1003" s="78">
        <v>3854.3340158975102</v>
      </c>
      <c r="F1003" s="84">
        <v>857.84</v>
      </c>
      <c r="G1003" s="53">
        <v>3516.6588891000006</v>
      </c>
      <c r="H1003" s="78">
        <v>4099.4344972255903</v>
      </c>
      <c r="I1003" s="84">
        <v>1096.3599999999999</v>
      </c>
      <c r="J1003" s="53">
        <v>4598.3967287639998</v>
      </c>
      <c r="K1003" s="78">
        <v>4194.2397832500274</v>
      </c>
      <c r="L1003" s="84">
        <v>951.65666666666675</v>
      </c>
      <c r="M1003" s="53">
        <v>3862.3080231213335</v>
      </c>
      <c r="N1003" s="78">
        <v>4058.5099210723756</v>
      </c>
    </row>
    <row r="1004" spans="1:14" ht="19.5" customHeight="1" outlineLevel="1" x14ac:dyDescent="0.2">
      <c r="A1004" s="101">
        <v>12</v>
      </c>
      <c r="B1004" s="81" t="s">
        <v>19</v>
      </c>
      <c r="C1004" s="84">
        <v>326</v>
      </c>
      <c r="D1004" s="53">
        <v>1385.38095744</v>
      </c>
      <c r="E1004" s="78">
        <v>4249.6348387730059</v>
      </c>
      <c r="F1004" s="84">
        <v>275.48</v>
      </c>
      <c r="G1004" s="53">
        <v>1170.5663808000004</v>
      </c>
      <c r="H1004" s="78">
        <v>4249.1882561347475</v>
      </c>
      <c r="I1004" s="84">
        <v>364.46</v>
      </c>
      <c r="J1004" s="53">
        <v>1504.3033581999998</v>
      </c>
      <c r="K1004" s="78">
        <v>4127.4854804368106</v>
      </c>
      <c r="L1004" s="84">
        <v>321.98</v>
      </c>
      <c r="M1004" s="53">
        <v>1353.4168988133333</v>
      </c>
      <c r="N1004" s="78">
        <v>4203.4191527838166</v>
      </c>
    </row>
    <row r="1005" spans="1:14" ht="19.5" customHeight="1" outlineLevel="1" x14ac:dyDescent="0.2">
      <c r="A1005" s="101">
        <v>13</v>
      </c>
      <c r="B1005" s="81" t="s">
        <v>20</v>
      </c>
      <c r="C1005" s="84">
        <v>80.3</v>
      </c>
      <c r="D1005" s="53">
        <v>323.26260750956521</v>
      </c>
      <c r="E1005" s="78">
        <v>4025.6862703557308</v>
      </c>
      <c r="F1005" s="84">
        <v>50.9</v>
      </c>
      <c r="G1005" s="53">
        <v>188.96903052707745</v>
      </c>
      <c r="H1005" s="78">
        <v>3712.5546272510305</v>
      </c>
      <c r="I1005" s="84">
        <v>134.72999999999999</v>
      </c>
      <c r="J1005" s="53">
        <v>533.65329462064381</v>
      </c>
      <c r="K1005" s="78">
        <v>3960.9091859321898</v>
      </c>
      <c r="L1005" s="84">
        <v>88.643333333333317</v>
      </c>
      <c r="M1005" s="53">
        <v>348.62831088576212</v>
      </c>
      <c r="N1005" s="78">
        <v>3932.9332255002687</v>
      </c>
    </row>
    <row r="1006" spans="1:14" ht="19.5" customHeight="1" outlineLevel="1" x14ac:dyDescent="0.2">
      <c r="A1006" s="101">
        <v>14</v>
      </c>
      <c r="B1006" s="81" t="s">
        <v>21</v>
      </c>
      <c r="C1006" s="84">
        <v>231.2</v>
      </c>
      <c r="D1006" s="53">
        <v>892.09944999999993</v>
      </c>
      <c r="E1006" s="78">
        <v>3858.561634948097</v>
      </c>
      <c r="F1006" s="84">
        <v>165.15</v>
      </c>
      <c r="G1006" s="53">
        <v>579.98996999999997</v>
      </c>
      <c r="H1006" s="78">
        <v>3511.8980926430513</v>
      </c>
      <c r="I1006" s="84">
        <v>299.02</v>
      </c>
      <c r="J1006" s="53">
        <v>1030.4371999999998</v>
      </c>
      <c r="K1006" s="78">
        <v>3446.0477560029431</v>
      </c>
      <c r="L1006" s="84">
        <v>231.79</v>
      </c>
      <c r="M1006" s="53">
        <v>834.17553999999984</v>
      </c>
      <c r="N1006" s="78">
        <v>3598.8417964536857</v>
      </c>
    </row>
    <row r="1007" spans="1:14" ht="19.5" customHeight="1" outlineLevel="1" x14ac:dyDescent="0.2">
      <c r="A1007" s="101">
        <v>15</v>
      </c>
      <c r="B1007" s="81" t="s">
        <v>22</v>
      </c>
      <c r="C1007" s="84">
        <v>933.1</v>
      </c>
      <c r="D1007" s="53">
        <v>3730.4387999999999</v>
      </c>
      <c r="E1007" s="78">
        <v>3997.8981888329222</v>
      </c>
      <c r="F1007" s="84">
        <v>933.4</v>
      </c>
      <c r="G1007" s="53">
        <v>3668.0352000000003</v>
      </c>
      <c r="H1007" s="78">
        <v>3929.7570173559034</v>
      </c>
      <c r="I1007" s="84">
        <v>1074.78</v>
      </c>
      <c r="J1007" s="53">
        <v>4350.4303699999991</v>
      </c>
      <c r="K1007" s="78">
        <v>4047.7403468616826</v>
      </c>
      <c r="L1007" s="84">
        <v>980.42666666666662</v>
      </c>
      <c r="M1007" s="53">
        <v>3916.3014566666666</v>
      </c>
      <c r="N1007" s="78">
        <v>3994.486879861829</v>
      </c>
    </row>
    <row r="1008" spans="1:14" ht="19.5" customHeight="1" outlineLevel="1" x14ac:dyDescent="0.2">
      <c r="A1008" s="101">
        <v>16</v>
      </c>
      <c r="B1008" s="81" t="s">
        <v>23</v>
      </c>
      <c r="C1008" s="84">
        <v>462.3</v>
      </c>
      <c r="D1008" s="53">
        <v>1869.9492699999998</v>
      </c>
      <c r="E1008" s="78">
        <v>4044.8826952195541</v>
      </c>
      <c r="F1008" s="84">
        <v>468.08</v>
      </c>
      <c r="G1008" s="53">
        <v>1801.9613225999997</v>
      </c>
      <c r="H1008" s="78">
        <v>3849.6866403178938</v>
      </c>
      <c r="I1008" s="84">
        <v>473.55</v>
      </c>
      <c r="J1008" s="53">
        <v>2018.9167782000002</v>
      </c>
      <c r="K1008" s="78">
        <v>4263.3655964523286</v>
      </c>
      <c r="L1008" s="84">
        <v>467.97666666666669</v>
      </c>
      <c r="M1008" s="53">
        <v>1896.9424569333332</v>
      </c>
      <c r="N1008" s="78">
        <v>4053.4979456240694</v>
      </c>
    </row>
    <row r="1009" spans="1:14" ht="19.5" customHeight="1" outlineLevel="1" x14ac:dyDescent="0.2">
      <c r="A1009" s="101">
        <v>17</v>
      </c>
      <c r="B1009" s="81" t="s">
        <v>24</v>
      </c>
      <c r="C1009" s="84">
        <v>282.75</v>
      </c>
      <c r="D1009" s="53">
        <v>1058.1873089999999</v>
      </c>
      <c r="E1009" s="78">
        <v>3742.4838514588855</v>
      </c>
      <c r="F1009" s="84">
        <v>391.85</v>
      </c>
      <c r="G1009" s="53">
        <v>1444.2419080000002</v>
      </c>
      <c r="H1009" s="78">
        <v>3685.7009263748887</v>
      </c>
      <c r="I1009" s="84">
        <v>453.96</v>
      </c>
      <c r="J1009" s="53">
        <v>1746.1561431599996</v>
      </c>
      <c r="K1009" s="78">
        <v>3846.4978041237105</v>
      </c>
      <c r="L1009" s="84">
        <v>376.18666666666667</v>
      </c>
      <c r="M1009" s="53">
        <v>1416.1951200533331</v>
      </c>
      <c r="N1009" s="78">
        <v>3764.6074290777619</v>
      </c>
    </row>
    <row r="1010" spans="1:14" ht="19.5" customHeight="1" outlineLevel="1" x14ac:dyDescent="0.2">
      <c r="A1010" s="101">
        <v>18</v>
      </c>
      <c r="B1010" s="81" t="s">
        <v>25</v>
      </c>
      <c r="C1010" s="84">
        <v>222.07</v>
      </c>
      <c r="D1010" s="53">
        <v>695.10594506952248</v>
      </c>
      <c r="E1010" s="78">
        <v>3130.1208856195008</v>
      </c>
      <c r="F1010" s="84">
        <v>190.05</v>
      </c>
      <c r="G1010" s="53">
        <v>634.34199972444389</v>
      </c>
      <c r="H1010" s="78">
        <v>3337.7637449326171</v>
      </c>
      <c r="I1010" s="84">
        <v>340.62</v>
      </c>
      <c r="J1010" s="53">
        <v>1270.4446400000002</v>
      </c>
      <c r="K1010" s="78">
        <v>3729.8004814749575</v>
      </c>
      <c r="L1010" s="84">
        <v>250.91333333333333</v>
      </c>
      <c r="M1010" s="53">
        <v>866.63086159798877</v>
      </c>
      <c r="N1010" s="78">
        <v>3453.9051794696261</v>
      </c>
    </row>
    <row r="1011" spans="1:14" ht="19.5" customHeight="1" outlineLevel="1" x14ac:dyDescent="0.2">
      <c r="A1011" s="101">
        <v>19</v>
      </c>
      <c r="B1011" s="81" t="s">
        <v>26</v>
      </c>
      <c r="C1011" s="84">
        <v>120.03</v>
      </c>
      <c r="D1011" s="53">
        <v>438.97667994000005</v>
      </c>
      <c r="E1011" s="78">
        <v>3657.2246933266688</v>
      </c>
      <c r="F1011" s="84">
        <v>182.78</v>
      </c>
      <c r="G1011" s="53">
        <v>688.10490000000004</v>
      </c>
      <c r="H1011" s="78">
        <v>3764.6618886092569</v>
      </c>
      <c r="I1011" s="84">
        <v>230.79</v>
      </c>
      <c r="J1011" s="53">
        <v>855.39763000000016</v>
      </c>
      <c r="K1011" s="78">
        <v>3706.3894882793888</v>
      </c>
      <c r="L1011" s="84">
        <v>177.86666666666667</v>
      </c>
      <c r="M1011" s="53">
        <v>660.82640331333346</v>
      </c>
      <c r="N1011" s="78">
        <v>3715.2908732008996</v>
      </c>
    </row>
    <row r="1012" spans="1:14" ht="19.5" customHeight="1" outlineLevel="1" x14ac:dyDescent="0.2">
      <c r="A1012" s="101">
        <v>20</v>
      </c>
      <c r="B1012" s="81" t="s">
        <v>27</v>
      </c>
      <c r="C1012" s="84">
        <v>549.83000000000004</v>
      </c>
      <c r="D1012" s="53">
        <v>1686.9101989999999</v>
      </c>
      <c r="E1012" s="78">
        <v>3068.0577614899148</v>
      </c>
      <c r="F1012" s="84">
        <v>491.22</v>
      </c>
      <c r="G1012" s="53">
        <v>1466.4748239486175</v>
      </c>
      <c r="H1012" s="78">
        <v>2985.3727941627326</v>
      </c>
      <c r="I1012" s="84">
        <v>349.69</v>
      </c>
      <c r="J1012" s="53">
        <v>1077.2970698577176</v>
      </c>
      <c r="K1012" s="78">
        <v>3080.7202661148949</v>
      </c>
      <c r="L1012" s="84">
        <v>463.5800000000001</v>
      </c>
      <c r="M1012" s="53">
        <v>1410.2273642687785</v>
      </c>
      <c r="N1012" s="78">
        <v>3042.0366803330135</v>
      </c>
    </row>
    <row r="1013" spans="1:14" ht="19.5" customHeight="1" outlineLevel="1" x14ac:dyDescent="0.2">
      <c r="A1013" s="101">
        <v>21</v>
      </c>
      <c r="B1013" s="81" t="s">
        <v>28</v>
      </c>
      <c r="C1013" s="84">
        <v>748.77</v>
      </c>
      <c r="D1013" s="53">
        <v>2281.3792290000001</v>
      </c>
      <c r="E1013" s="78">
        <v>3046.8357826836018</v>
      </c>
      <c r="F1013" s="84">
        <v>731.25</v>
      </c>
      <c r="G1013" s="53">
        <v>2127.2775200000001</v>
      </c>
      <c r="H1013" s="78">
        <v>2909.0974632478633</v>
      </c>
      <c r="I1013" s="84">
        <v>570.11</v>
      </c>
      <c r="J1013" s="53">
        <v>1699.9777260000005</v>
      </c>
      <c r="K1013" s="78">
        <v>2981.8416200382389</v>
      </c>
      <c r="L1013" s="84">
        <v>683.37666666666667</v>
      </c>
      <c r="M1013" s="53">
        <v>2036.2114916666669</v>
      </c>
      <c r="N1013" s="78">
        <v>2979.6327428016762</v>
      </c>
    </row>
    <row r="1014" spans="1:14" ht="19.5" customHeight="1" outlineLevel="1" x14ac:dyDescent="0.2">
      <c r="A1014" s="101">
        <v>22</v>
      </c>
      <c r="B1014" s="81" t="s">
        <v>29</v>
      </c>
      <c r="C1014" s="84">
        <v>117.8</v>
      </c>
      <c r="D1014" s="53">
        <v>269.61949543498343</v>
      </c>
      <c r="E1014" s="78">
        <v>2288.7902838283826</v>
      </c>
      <c r="F1014" s="84">
        <v>150.13</v>
      </c>
      <c r="G1014" s="53">
        <v>401.67606846918756</v>
      </c>
      <c r="H1014" s="78">
        <v>2675.5216710130389</v>
      </c>
      <c r="I1014" s="84">
        <v>145.37</v>
      </c>
      <c r="J1014" s="53">
        <v>397.85487144874219</v>
      </c>
      <c r="K1014" s="78">
        <v>2736.8430312220003</v>
      </c>
      <c r="L1014" s="84">
        <v>137.76666666666668</v>
      </c>
      <c r="M1014" s="53">
        <v>356.38347845097104</v>
      </c>
      <c r="N1014" s="78">
        <v>2586.8628970551972</v>
      </c>
    </row>
    <row r="1015" spans="1:14" ht="19.5" customHeight="1" outlineLevel="1" x14ac:dyDescent="0.2">
      <c r="A1015" s="101">
        <v>23</v>
      </c>
      <c r="B1015" s="81" t="s">
        <v>30</v>
      </c>
      <c r="C1015" s="84">
        <v>274.18</v>
      </c>
      <c r="D1015" s="53">
        <v>826.90352899999993</v>
      </c>
      <c r="E1015" s="78">
        <v>3015.9148333211756</v>
      </c>
      <c r="F1015" s="84">
        <v>262.14999999999998</v>
      </c>
      <c r="G1015" s="53">
        <v>560.25057499999991</v>
      </c>
      <c r="H1015" s="78">
        <v>2137.1374213236695</v>
      </c>
      <c r="I1015" s="84">
        <v>262.8</v>
      </c>
      <c r="J1015" s="53">
        <v>740.40470000000016</v>
      </c>
      <c r="K1015" s="78">
        <v>2817.3694824961954</v>
      </c>
      <c r="L1015" s="84">
        <v>266.37666666666661</v>
      </c>
      <c r="M1015" s="53">
        <v>709.18626799999993</v>
      </c>
      <c r="N1015" s="78">
        <v>2662.3438038867271</v>
      </c>
    </row>
    <row r="1016" spans="1:14" ht="19.5" customHeight="1" outlineLevel="1" x14ac:dyDescent="0.2">
      <c r="A1016" s="101">
        <v>24</v>
      </c>
      <c r="B1016" s="81" t="s">
        <v>31</v>
      </c>
      <c r="C1016" s="84">
        <v>584.55999999999995</v>
      </c>
      <c r="D1016" s="53">
        <v>1576.6322979999998</v>
      </c>
      <c r="E1016" s="78">
        <v>2697.1265533050496</v>
      </c>
      <c r="F1016" s="84">
        <v>592.97</v>
      </c>
      <c r="G1016" s="53">
        <v>1558.2013320000001</v>
      </c>
      <c r="H1016" s="78">
        <v>2627.7911732465386</v>
      </c>
      <c r="I1016" s="84">
        <v>589.79</v>
      </c>
      <c r="J1016" s="53">
        <v>1452.0303419999998</v>
      </c>
      <c r="K1016" s="78">
        <v>2461.9446616592345</v>
      </c>
      <c r="L1016" s="84">
        <v>589.10666666666668</v>
      </c>
      <c r="M1016" s="53">
        <v>1528.9546573333334</v>
      </c>
      <c r="N1016" s="78">
        <v>2595.3782970825887</v>
      </c>
    </row>
    <row r="1017" spans="1:14" ht="19.5" customHeight="1" outlineLevel="1" x14ac:dyDescent="0.2">
      <c r="A1017" s="101">
        <v>25</v>
      </c>
      <c r="B1017" s="81" t="s">
        <v>32</v>
      </c>
      <c r="C1017" s="84">
        <v>277.31</v>
      </c>
      <c r="D1017" s="53">
        <v>784.46651366972276</v>
      </c>
      <c r="E1017" s="78">
        <v>2828.8432211954951</v>
      </c>
      <c r="F1017" s="84">
        <v>236.77</v>
      </c>
      <c r="G1017" s="53">
        <v>651.79443948959567</v>
      </c>
      <c r="H1017" s="78">
        <v>2752.8590593808153</v>
      </c>
      <c r="I1017" s="84">
        <v>219.87</v>
      </c>
      <c r="J1017" s="53">
        <v>608.84095667246083</v>
      </c>
      <c r="K1017" s="78">
        <v>2769.0951774796968</v>
      </c>
      <c r="L1017" s="84">
        <v>244.65</v>
      </c>
      <c r="M1017" s="53">
        <v>681.70063661059305</v>
      </c>
      <c r="N1017" s="78">
        <v>2786.4321954244556</v>
      </c>
    </row>
    <row r="1018" spans="1:14" ht="19.5" customHeight="1" outlineLevel="1" x14ac:dyDescent="0.2">
      <c r="A1018" s="101">
        <v>26</v>
      </c>
      <c r="B1018" s="81" t="s">
        <v>33</v>
      </c>
      <c r="C1018" s="84">
        <v>8.86</v>
      </c>
      <c r="D1018" s="53">
        <v>29.379759999999997</v>
      </c>
      <c r="E1018" s="78">
        <v>3316</v>
      </c>
      <c r="F1018" s="84">
        <v>7.08</v>
      </c>
      <c r="G1018" s="53">
        <v>18.26286</v>
      </c>
      <c r="H1018" s="78">
        <v>2579.5</v>
      </c>
      <c r="I1018" s="84">
        <v>6.21</v>
      </c>
      <c r="J1018" s="53">
        <v>20.648707665608903</v>
      </c>
      <c r="K1018" s="78">
        <v>3325.0736981656851</v>
      </c>
      <c r="L1018" s="84">
        <v>7.3833333333333329</v>
      </c>
      <c r="M1018" s="53">
        <v>22.763775888536298</v>
      </c>
      <c r="N1018" s="78">
        <v>3083.1299171832457</v>
      </c>
    </row>
    <row r="1019" spans="1:14" ht="19.5" customHeight="1" outlineLevel="1" x14ac:dyDescent="0.2">
      <c r="A1019" s="101">
        <v>27</v>
      </c>
      <c r="B1019" s="81" t="s">
        <v>34</v>
      </c>
      <c r="C1019" s="84">
        <v>17.23</v>
      </c>
      <c r="D1019" s="53">
        <v>47.503109999999992</v>
      </c>
      <c r="E1019" s="78">
        <v>2756.9999999999995</v>
      </c>
      <c r="F1019" s="84">
        <v>15.86</v>
      </c>
      <c r="G1019" s="53">
        <v>43.879861999999996</v>
      </c>
      <c r="H1019" s="78">
        <v>2766.7</v>
      </c>
      <c r="I1019" s="84">
        <v>29.31</v>
      </c>
      <c r="J1019" s="53">
        <v>80.872151999999986</v>
      </c>
      <c r="K1019" s="78">
        <v>2759.2</v>
      </c>
      <c r="L1019" s="84">
        <v>20.8</v>
      </c>
      <c r="M1019" s="53">
        <v>57.418374666666658</v>
      </c>
      <c r="N1019" s="78">
        <v>2760.4987820512815</v>
      </c>
    </row>
    <row r="1020" spans="1:14" ht="19.5" customHeight="1" outlineLevel="1" x14ac:dyDescent="0.2">
      <c r="A1020" s="101">
        <v>28</v>
      </c>
      <c r="B1020" s="81" t="s">
        <v>35</v>
      </c>
      <c r="C1020" s="84">
        <v>166.95</v>
      </c>
      <c r="D1020" s="53">
        <v>366.87261000000012</v>
      </c>
      <c r="E1020" s="78">
        <v>2197.499910152741</v>
      </c>
      <c r="F1020" s="84">
        <v>161.87</v>
      </c>
      <c r="G1020" s="53">
        <v>359.58982799999995</v>
      </c>
      <c r="H1020" s="78">
        <v>2221.4729597825412</v>
      </c>
      <c r="I1020" s="84">
        <v>182.4</v>
      </c>
      <c r="J1020" s="53">
        <v>405.19742500000012</v>
      </c>
      <c r="K1020" s="78">
        <v>2221.4771107456145</v>
      </c>
      <c r="L1020" s="84">
        <v>170.40666666666667</v>
      </c>
      <c r="M1020" s="53">
        <v>377.21995433333336</v>
      </c>
      <c r="N1020" s="78">
        <v>2213.6455205195416</v>
      </c>
    </row>
    <row r="1021" spans="1:14" ht="19.5" customHeight="1" outlineLevel="1" x14ac:dyDescent="0.2">
      <c r="A1021" s="101">
        <v>29</v>
      </c>
      <c r="B1021" s="81" t="s">
        <v>36</v>
      </c>
      <c r="C1021" s="84">
        <v>42.36</v>
      </c>
      <c r="D1021" s="53">
        <v>108.72607664174269</v>
      </c>
      <c r="E1021" s="78">
        <v>2566.7156903149835</v>
      </c>
      <c r="F1021" s="84">
        <v>32.770000000000003</v>
      </c>
      <c r="G1021" s="53">
        <v>83.97778353456998</v>
      </c>
      <c r="H1021" s="78">
        <v>2562.6421585160201</v>
      </c>
      <c r="I1021" s="84">
        <v>34.770000000000003</v>
      </c>
      <c r="J1021" s="53">
        <v>93.379984657481202</v>
      </c>
      <c r="K1021" s="78">
        <v>2685.6481063411329</v>
      </c>
      <c r="L1021" s="84">
        <v>36.633333333333333</v>
      </c>
      <c r="M1021" s="53">
        <v>95.36128161126463</v>
      </c>
      <c r="N1021" s="78">
        <v>2603.1287064039479</v>
      </c>
    </row>
    <row r="1022" spans="1:14" ht="19.5" customHeight="1" outlineLevel="1" x14ac:dyDescent="0.2">
      <c r="A1022" s="101">
        <v>30</v>
      </c>
      <c r="B1022" s="81" t="s">
        <v>37</v>
      </c>
      <c r="C1022" s="84">
        <v>0.35</v>
      </c>
      <c r="D1022" s="53">
        <v>1.1285676116712717</v>
      </c>
      <c r="E1022" s="78">
        <v>3224.4788904893485</v>
      </c>
      <c r="F1022" s="84">
        <v>0</v>
      </c>
      <c r="G1022" s="53">
        <v>0</v>
      </c>
      <c r="H1022" s="78">
        <v>0</v>
      </c>
      <c r="I1022" s="84">
        <v>0</v>
      </c>
      <c r="J1022" s="53">
        <v>0</v>
      </c>
      <c r="K1022" s="78">
        <v>0</v>
      </c>
      <c r="L1022" s="84">
        <v>0.35</v>
      </c>
      <c r="M1022" s="53">
        <v>1.1285676116712717</v>
      </c>
      <c r="N1022" s="78">
        <v>3224.4788904893485</v>
      </c>
    </row>
    <row r="1023" spans="1:14" ht="19.5" customHeight="1" outlineLevel="1" x14ac:dyDescent="0.2">
      <c r="A1023" s="101">
        <v>31</v>
      </c>
      <c r="B1023" s="81" t="s">
        <v>38</v>
      </c>
      <c r="C1023" s="84">
        <v>0.33</v>
      </c>
      <c r="D1023" s="53">
        <v>1.064078033861485</v>
      </c>
      <c r="E1023" s="78">
        <v>3224.4788904893485</v>
      </c>
      <c r="F1023" s="84">
        <v>0.1</v>
      </c>
      <c r="G1023" s="53">
        <v>0.31762318096123637</v>
      </c>
      <c r="H1023" s="78">
        <v>3176.2318096123636</v>
      </c>
      <c r="I1023" s="84">
        <v>0.11</v>
      </c>
      <c r="J1023" s="53">
        <v>0.36575810679822535</v>
      </c>
      <c r="K1023" s="78">
        <v>3325.0736981656851</v>
      </c>
      <c r="L1023" s="84">
        <v>0.18000000000000002</v>
      </c>
      <c r="M1023" s="53">
        <v>0.58248644054031562</v>
      </c>
      <c r="N1023" s="78">
        <v>3236.0357807795308</v>
      </c>
    </row>
    <row r="1024" spans="1:14" ht="19.5" customHeight="1" outlineLevel="1" x14ac:dyDescent="0.2">
      <c r="A1024" s="101">
        <v>32</v>
      </c>
      <c r="B1024" s="81" t="s">
        <v>39</v>
      </c>
      <c r="C1024" s="84">
        <v>0</v>
      </c>
      <c r="D1024" s="53">
        <v>0</v>
      </c>
      <c r="E1024" s="78">
        <v>0</v>
      </c>
      <c r="F1024" s="84">
        <v>0</v>
      </c>
      <c r="G1024" s="53">
        <v>0</v>
      </c>
      <c r="H1024" s="78">
        <v>0</v>
      </c>
      <c r="I1024" s="84">
        <v>0</v>
      </c>
      <c r="J1024" s="53">
        <v>0</v>
      </c>
      <c r="K1024" s="78">
        <v>0</v>
      </c>
      <c r="L1024" s="84">
        <v>0</v>
      </c>
      <c r="M1024" s="53">
        <v>0</v>
      </c>
      <c r="N1024" s="78">
        <v>0</v>
      </c>
    </row>
    <row r="1025" spans="1:14" ht="19.5" customHeight="1" outlineLevel="1" thickBot="1" x14ac:dyDescent="0.25">
      <c r="A1025" s="102">
        <v>33</v>
      </c>
      <c r="B1025" s="91" t="s">
        <v>40</v>
      </c>
      <c r="C1025" s="92">
        <v>40.24</v>
      </c>
      <c r="D1025" s="93">
        <v>121.03637225666758</v>
      </c>
      <c r="E1025" s="94">
        <v>3007.862133614999</v>
      </c>
      <c r="F1025" s="92">
        <v>40.119999999999997</v>
      </c>
      <c r="G1025" s="93">
        <v>132.23574198019801</v>
      </c>
      <c r="H1025" s="94">
        <v>3296.0055329062316</v>
      </c>
      <c r="I1025" s="92">
        <v>41.4</v>
      </c>
      <c r="J1025" s="93">
        <v>114.02179870152256</v>
      </c>
      <c r="K1025" s="94">
        <v>2754.1497270899167</v>
      </c>
      <c r="L1025" s="92">
        <v>40.586666666666666</v>
      </c>
      <c r="M1025" s="93">
        <v>122.43130431279606</v>
      </c>
      <c r="N1025" s="94">
        <v>3016.5400208474716</v>
      </c>
    </row>
    <row r="1026" spans="1:14" ht="19.5" customHeight="1" thickBot="1" x14ac:dyDescent="0.25">
      <c r="A1026" s="151" t="s">
        <v>41</v>
      </c>
      <c r="B1026" s="152"/>
      <c r="C1026" s="96">
        <v>12660.300000000001</v>
      </c>
      <c r="D1026" s="97">
        <v>40822.870097257612</v>
      </c>
      <c r="E1026" s="98">
        <v>3224.4788904889783</v>
      </c>
      <c r="F1026" s="96">
        <v>12211.7</v>
      </c>
      <c r="G1026" s="97">
        <v>38787.189989029481</v>
      </c>
      <c r="H1026" s="98">
        <v>3176.2318095784763</v>
      </c>
      <c r="I1026" s="96">
        <v>13446.84</v>
      </c>
      <c r="J1026" s="97">
        <v>44711.734007456347</v>
      </c>
      <c r="K1026" s="98">
        <v>3325.0736981667328</v>
      </c>
      <c r="L1026" s="96">
        <v>12772.946666666665</v>
      </c>
      <c r="M1026" s="97">
        <v>41440.598031247813</v>
      </c>
      <c r="N1026" s="98">
        <v>3244.4039040258904</v>
      </c>
    </row>
    <row r="1027" spans="1:14" ht="34.5" customHeight="1" x14ac:dyDescent="0.2">
      <c r="A1027" s="153" t="s">
        <v>247</v>
      </c>
      <c r="B1027" s="154"/>
      <c r="C1027" s="154"/>
      <c r="D1027" s="154"/>
      <c r="E1027" s="154"/>
      <c r="F1027" s="154"/>
      <c r="G1027" s="154"/>
      <c r="H1027" s="154"/>
      <c r="I1027" s="154"/>
      <c r="J1027" s="154"/>
      <c r="K1027" s="154"/>
      <c r="L1027" s="154"/>
      <c r="M1027" s="154"/>
      <c r="N1027" s="154"/>
    </row>
    <row r="1028" spans="1:14" ht="19.5" customHeight="1" thickBot="1" x14ac:dyDescent="0.25">
      <c r="A1028" s="50"/>
      <c r="B1028" s="138" t="s">
        <v>69</v>
      </c>
      <c r="C1028" s="52"/>
      <c r="D1028" s="52"/>
      <c r="E1028" s="52"/>
      <c r="F1028" s="52"/>
      <c r="G1028" s="52"/>
      <c r="H1028" s="52"/>
      <c r="I1028" s="52"/>
      <c r="J1028" s="52"/>
      <c r="K1028" s="155" t="s">
        <v>1</v>
      </c>
      <c r="L1028" s="154"/>
      <c r="M1028" s="154"/>
      <c r="N1028" s="154"/>
    </row>
    <row r="1029" spans="1:14" ht="19.5" customHeight="1" x14ac:dyDescent="0.2">
      <c r="A1029" s="156" t="s">
        <v>2</v>
      </c>
      <c r="B1029" s="158" t="s">
        <v>3</v>
      </c>
      <c r="C1029" s="148" t="s">
        <v>243</v>
      </c>
      <c r="D1029" s="149"/>
      <c r="E1029" s="150"/>
      <c r="F1029" s="148" t="s">
        <v>244</v>
      </c>
      <c r="G1029" s="149"/>
      <c r="H1029" s="150"/>
      <c r="I1029" s="148" t="s">
        <v>246</v>
      </c>
      <c r="J1029" s="149"/>
      <c r="K1029" s="150"/>
      <c r="L1029" s="148" t="s">
        <v>4</v>
      </c>
      <c r="M1029" s="149"/>
      <c r="N1029" s="150"/>
    </row>
    <row r="1030" spans="1:14" ht="19.5" customHeight="1" thickBot="1" x14ac:dyDescent="0.25">
      <c r="A1030" s="157"/>
      <c r="B1030" s="159"/>
      <c r="C1030" s="85" t="s">
        <v>5</v>
      </c>
      <c r="D1030" s="79" t="s">
        <v>6</v>
      </c>
      <c r="E1030" s="80" t="s">
        <v>7</v>
      </c>
      <c r="F1030" s="85" t="s">
        <v>5</v>
      </c>
      <c r="G1030" s="79" t="s">
        <v>6</v>
      </c>
      <c r="H1030" s="80" t="s">
        <v>7</v>
      </c>
      <c r="I1030" s="85" t="s">
        <v>5</v>
      </c>
      <c r="J1030" s="79" t="s">
        <v>6</v>
      </c>
      <c r="K1030" s="80" t="s">
        <v>7</v>
      </c>
      <c r="L1030" s="85" t="s">
        <v>5</v>
      </c>
      <c r="M1030" s="79" t="s">
        <v>6</v>
      </c>
      <c r="N1030" s="80" t="s">
        <v>7</v>
      </c>
    </row>
    <row r="1031" spans="1:14" ht="19.5" customHeight="1" outlineLevel="1" x14ac:dyDescent="0.2">
      <c r="A1031" s="100">
        <v>1</v>
      </c>
      <c r="B1031" s="86" t="s">
        <v>8</v>
      </c>
      <c r="C1031" s="87">
        <v>0</v>
      </c>
      <c r="D1031" s="88">
        <v>0</v>
      </c>
      <c r="E1031" s="89">
        <v>0</v>
      </c>
      <c r="F1031" s="87">
        <v>0</v>
      </c>
      <c r="G1031" s="88">
        <v>0</v>
      </c>
      <c r="H1031" s="89">
        <v>0</v>
      </c>
      <c r="I1031" s="87">
        <v>0</v>
      </c>
      <c r="J1031" s="88">
        <v>0</v>
      </c>
      <c r="K1031" s="89">
        <v>0</v>
      </c>
      <c r="L1031" s="87">
        <v>0</v>
      </c>
      <c r="M1031" s="88">
        <v>0</v>
      </c>
      <c r="N1031" s="89">
        <v>0</v>
      </c>
    </row>
    <row r="1032" spans="1:14" ht="19.5" customHeight="1" outlineLevel="1" x14ac:dyDescent="0.2">
      <c r="A1032" s="101">
        <v>2</v>
      </c>
      <c r="B1032" s="81" t="s">
        <v>9</v>
      </c>
      <c r="C1032" s="84">
        <v>0</v>
      </c>
      <c r="D1032" s="53">
        <v>0</v>
      </c>
      <c r="E1032" s="78">
        <v>0</v>
      </c>
      <c r="F1032" s="84">
        <v>0</v>
      </c>
      <c r="G1032" s="53">
        <v>0</v>
      </c>
      <c r="H1032" s="78">
        <v>0</v>
      </c>
      <c r="I1032" s="84">
        <v>0</v>
      </c>
      <c r="J1032" s="53">
        <v>0</v>
      </c>
      <c r="K1032" s="78">
        <v>0</v>
      </c>
      <c r="L1032" s="84">
        <v>0</v>
      </c>
      <c r="M1032" s="53">
        <v>0</v>
      </c>
      <c r="N1032" s="78">
        <v>0</v>
      </c>
    </row>
    <row r="1033" spans="1:14" ht="19.5" customHeight="1" outlineLevel="1" x14ac:dyDescent="0.2">
      <c r="A1033" s="101">
        <v>3</v>
      </c>
      <c r="B1033" s="81" t="s">
        <v>10</v>
      </c>
      <c r="C1033" s="84">
        <v>1.6</v>
      </c>
      <c r="D1033" s="53">
        <v>1.6175999999999999</v>
      </c>
      <c r="E1033" s="78">
        <v>1010.9999999999999</v>
      </c>
      <c r="F1033" s="84">
        <v>1.8</v>
      </c>
      <c r="G1033" s="53">
        <v>2.4083999999999999</v>
      </c>
      <c r="H1033" s="78">
        <v>1338</v>
      </c>
      <c r="I1033" s="84">
        <v>0.35</v>
      </c>
      <c r="J1033" s="53">
        <v>0.34890853808579325</v>
      </c>
      <c r="K1033" s="78">
        <v>996.88153738798064</v>
      </c>
      <c r="L1033" s="84">
        <v>1.2500000000000002</v>
      </c>
      <c r="M1033" s="53">
        <v>1.4583028460285978</v>
      </c>
      <c r="N1033" s="78">
        <v>1166.6422768228779</v>
      </c>
    </row>
    <row r="1034" spans="1:14" ht="19.5" customHeight="1" outlineLevel="1" x14ac:dyDescent="0.2">
      <c r="A1034" s="101">
        <v>4</v>
      </c>
      <c r="B1034" s="81" t="s">
        <v>11</v>
      </c>
      <c r="C1034" s="84">
        <v>0</v>
      </c>
      <c r="D1034" s="53">
        <v>0</v>
      </c>
      <c r="E1034" s="78">
        <v>0</v>
      </c>
      <c r="F1034" s="84">
        <v>0</v>
      </c>
      <c r="G1034" s="53">
        <v>0</v>
      </c>
      <c r="H1034" s="78">
        <v>0</v>
      </c>
      <c r="I1034" s="84">
        <v>0</v>
      </c>
      <c r="J1034" s="53">
        <v>0</v>
      </c>
      <c r="K1034" s="78">
        <v>0</v>
      </c>
      <c r="L1034" s="84">
        <v>0</v>
      </c>
      <c r="M1034" s="53">
        <v>0</v>
      </c>
      <c r="N1034" s="78">
        <v>0</v>
      </c>
    </row>
    <row r="1035" spans="1:14" ht="19.5" customHeight="1" outlineLevel="1" x14ac:dyDescent="0.2">
      <c r="A1035" s="101">
        <v>5</v>
      </c>
      <c r="B1035" s="81" t="s">
        <v>12</v>
      </c>
      <c r="C1035" s="84">
        <v>0</v>
      </c>
      <c r="D1035" s="53">
        <v>0</v>
      </c>
      <c r="E1035" s="78">
        <v>0</v>
      </c>
      <c r="F1035" s="84">
        <v>0</v>
      </c>
      <c r="G1035" s="53">
        <v>0</v>
      </c>
      <c r="H1035" s="78">
        <v>0</v>
      </c>
      <c r="I1035" s="84">
        <v>0</v>
      </c>
      <c r="J1035" s="53">
        <v>0</v>
      </c>
      <c r="K1035" s="78">
        <v>0</v>
      </c>
      <c r="L1035" s="84">
        <v>0</v>
      </c>
      <c r="M1035" s="53">
        <v>0</v>
      </c>
      <c r="N1035" s="78">
        <v>0</v>
      </c>
    </row>
    <row r="1036" spans="1:14" ht="19.5" customHeight="1" outlineLevel="1" x14ac:dyDescent="0.2">
      <c r="A1036" s="101">
        <v>6</v>
      </c>
      <c r="B1036" s="81" t="s">
        <v>13</v>
      </c>
      <c r="C1036" s="84">
        <v>0</v>
      </c>
      <c r="D1036" s="53">
        <v>0</v>
      </c>
      <c r="E1036" s="78">
        <v>0</v>
      </c>
      <c r="F1036" s="84">
        <v>0</v>
      </c>
      <c r="G1036" s="53">
        <v>0</v>
      </c>
      <c r="H1036" s="78">
        <v>0</v>
      </c>
      <c r="I1036" s="84">
        <v>0</v>
      </c>
      <c r="J1036" s="53">
        <v>0</v>
      </c>
      <c r="K1036" s="78">
        <v>0</v>
      </c>
      <c r="L1036" s="84">
        <v>0</v>
      </c>
      <c r="M1036" s="53">
        <v>0</v>
      </c>
      <c r="N1036" s="78">
        <v>0</v>
      </c>
    </row>
    <row r="1037" spans="1:14" ht="19.5" customHeight="1" outlineLevel="1" x14ac:dyDescent="0.2">
      <c r="A1037" s="101">
        <v>7</v>
      </c>
      <c r="B1037" s="81" t="s">
        <v>14</v>
      </c>
      <c r="C1037" s="84">
        <v>0</v>
      </c>
      <c r="D1037" s="53">
        <v>0</v>
      </c>
      <c r="E1037" s="78">
        <v>0</v>
      </c>
      <c r="F1037" s="84">
        <v>0</v>
      </c>
      <c r="G1037" s="53">
        <v>0</v>
      </c>
      <c r="H1037" s="78">
        <v>0</v>
      </c>
      <c r="I1037" s="84">
        <v>0</v>
      </c>
      <c r="J1037" s="53">
        <v>0</v>
      </c>
      <c r="K1037" s="78">
        <v>0</v>
      </c>
      <c r="L1037" s="84">
        <v>0</v>
      </c>
      <c r="M1037" s="53">
        <v>0</v>
      </c>
      <c r="N1037" s="78">
        <v>0</v>
      </c>
    </row>
    <row r="1038" spans="1:14" ht="19.5" customHeight="1" outlineLevel="1" x14ac:dyDescent="0.2">
      <c r="A1038" s="101">
        <v>8</v>
      </c>
      <c r="B1038" s="81" t="s">
        <v>15</v>
      </c>
      <c r="C1038" s="84">
        <v>210.45</v>
      </c>
      <c r="D1038" s="53">
        <v>158.42210626379014</v>
      </c>
      <c r="E1038" s="78">
        <v>752.77788673694533</v>
      </c>
      <c r="F1038" s="84">
        <v>201.65</v>
      </c>
      <c r="G1038" s="53">
        <v>187.50396866599036</v>
      </c>
      <c r="H1038" s="78">
        <v>929.84859244230279</v>
      </c>
      <c r="I1038" s="84">
        <v>217.8</v>
      </c>
      <c r="J1038" s="53">
        <v>222.07624795539033</v>
      </c>
      <c r="K1038" s="78">
        <v>1019.6338289962825</v>
      </c>
      <c r="L1038" s="84">
        <v>209.9666666666667</v>
      </c>
      <c r="M1038" s="53">
        <v>189.33410762839026</v>
      </c>
      <c r="N1038" s="78">
        <v>901.73412110679578</v>
      </c>
    </row>
    <row r="1039" spans="1:14" ht="19.5" customHeight="1" outlineLevel="1" x14ac:dyDescent="0.2">
      <c r="A1039" s="101">
        <v>9</v>
      </c>
      <c r="B1039" s="81" t="s">
        <v>16</v>
      </c>
      <c r="C1039" s="84">
        <v>23.99</v>
      </c>
      <c r="D1039" s="53">
        <v>31.548769199999992</v>
      </c>
      <c r="E1039" s="78">
        <v>1315.0799999999997</v>
      </c>
      <c r="F1039" s="84">
        <v>22.16</v>
      </c>
      <c r="G1039" s="53">
        <v>31.391856000000001</v>
      </c>
      <c r="H1039" s="78">
        <v>1416.6</v>
      </c>
      <c r="I1039" s="84">
        <v>23.34</v>
      </c>
      <c r="J1039" s="53">
        <v>23.173819199999997</v>
      </c>
      <c r="K1039" s="78">
        <v>992.87999999999988</v>
      </c>
      <c r="L1039" s="84">
        <v>23.16333333333333</v>
      </c>
      <c r="M1039" s="53">
        <v>28.704814799999998</v>
      </c>
      <c r="N1039" s="78">
        <v>1239.235061159879</v>
      </c>
    </row>
    <row r="1040" spans="1:14" ht="19.5" customHeight="1" outlineLevel="1" x14ac:dyDescent="0.2">
      <c r="A1040" s="101">
        <v>10</v>
      </c>
      <c r="B1040" s="81" t="s">
        <v>17</v>
      </c>
      <c r="C1040" s="84">
        <v>0</v>
      </c>
      <c r="D1040" s="53">
        <v>0</v>
      </c>
      <c r="E1040" s="78">
        <v>0</v>
      </c>
      <c r="F1040" s="84">
        <v>0</v>
      </c>
      <c r="G1040" s="53">
        <v>0</v>
      </c>
      <c r="H1040" s="78">
        <v>0</v>
      </c>
      <c r="I1040" s="84">
        <v>0</v>
      </c>
      <c r="J1040" s="53">
        <v>0</v>
      </c>
      <c r="K1040" s="78">
        <v>0</v>
      </c>
      <c r="L1040" s="84">
        <v>0</v>
      </c>
      <c r="M1040" s="53">
        <v>0</v>
      </c>
      <c r="N1040" s="78">
        <v>0</v>
      </c>
    </row>
    <row r="1041" spans="1:14" ht="19.5" customHeight="1" outlineLevel="1" x14ac:dyDescent="0.2">
      <c r="A1041" s="101">
        <v>11</v>
      </c>
      <c r="B1041" s="81" t="s">
        <v>18</v>
      </c>
      <c r="C1041" s="84">
        <v>0</v>
      </c>
      <c r="D1041" s="53">
        <v>0</v>
      </c>
      <c r="E1041" s="78">
        <v>0</v>
      </c>
      <c r="F1041" s="84">
        <v>0</v>
      </c>
      <c r="G1041" s="53">
        <v>0</v>
      </c>
      <c r="H1041" s="78">
        <v>0</v>
      </c>
      <c r="I1041" s="84">
        <v>0</v>
      </c>
      <c r="J1041" s="53">
        <v>0</v>
      </c>
      <c r="K1041" s="78">
        <v>0</v>
      </c>
      <c r="L1041" s="84">
        <v>0</v>
      </c>
      <c r="M1041" s="53">
        <v>0</v>
      </c>
      <c r="N1041" s="78">
        <v>0</v>
      </c>
    </row>
    <row r="1042" spans="1:14" ht="19.5" customHeight="1" outlineLevel="1" x14ac:dyDescent="0.2">
      <c r="A1042" s="101">
        <v>12</v>
      </c>
      <c r="B1042" s="81" t="s">
        <v>19</v>
      </c>
      <c r="C1042" s="84">
        <v>0.15</v>
      </c>
      <c r="D1042" s="53">
        <v>0.12119127727731169</v>
      </c>
      <c r="E1042" s="78">
        <v>807.94184851541127</v>
      </c>
      <c r="F1042" s="84">
        <v>0.1</v>
      </c>
      <c r="G1042" s="53">
        <v>9.6616347942888411E-2</v>
      </c>
      <c r="H1042" s="78">
        <v>966.1634794288841</v>
      </c>
      <c r="I1042" s="84">
        <v>0.15</v>
      </c>
      <c r="J1042" s="53">
        <v>0.14953223060819709</v>
      </c>
      <c r="K1042" s="78">
        <v>996.88153738798064</v>
      </c>
      <c r="L1042" s="84">
        <v>0.13333333333333333</v>
      </c>
      <c r="M1042" s="53">
        <v>0.12244661860946572</v>
      </c>
      <c r="N1042" s="78">
        <v>918.34963957099285</v>
      </c>
    </row>
    <row r="1043" spans="1:14" ht="19.5" customHeight="1" outlineLevel="1" x14ac:dyDescent="0.2">
      <c r="A1043" s="101">
        <v>13</v>
      </c>
      <c r="B1043" s="81" t="s">
        <v>20</v>
      </c>
      <c r="C1043" s="84">
        <v>0</v>
      </c>
      <c r="D1043" s="53">
        <v>0</v>
      </c>
      <c r="E1043" s="78">
        <v>0</v>
      </c>
      <c r="F1043" s="84">
        <v>0</v>
      </c>
      <c r="G1043" s="53">
        <v>0</v>
      </c>
      <c r="H1043" s="78">
        <v>0</v>
      </c>
      <c r="I1043" s="84">
        <v>0</v>
      </c>
      <c r="J1043" s="53">
        <v>0</v>
      </c>
      <c r="K1043" s="78">
        <v>0</v>
      </c>
      <c r="L1043" s="84">
        <v>0</v>
      </c>
      <c r="M1043" s="53">
        <v>0</v>
      </c>
      <c r="N1043" s="78">
        <v>0</v>
      </c>
    </row>
    <row r="1044" spans="1:14" ht="19.5" customHeight="1" outlineLevel="1" x14ac:dyDescent="0.2">
      <c r="A1044" s="101">
        <v>14</v>
      </c>
      <c r="B1044" s="81" t="s">
        <v>21</v>
      </c>
      <c r="C1044" s="84">
        <v>0</v>
      </c>
      <c r="D1044" s="53">
        <v>0</v>
      </c>
      <c r="E1044" s="78">
        <v>0</v>
      </c>
      <c r="F1044" s="84">
        <v>0</v>
      </c>
      <c r="G1044" s="53">
        <v>0</v>
      </c>
      <c r="H1044" s="78">
        <v>0</v>
      </c>
      <c r="I1044" s="84">
        <v>0</v>
      </c>
      <c r="J1044" s="53">
        <v>0</v>
      </c>
      <c r="K1044" s="78">
        <v>0</v>
      </c>
      <c r="L1044" s="84">
        <v>0</v>
      </c>
      <c r="M1044" s="53">
        <v>0</v>
      </c>
      <c r="N1044" s="78">
        <v>0</v>
      </c>
    </row>
    <row r="1045" spans="1:14" ht="19.5" customHeight="1" outlineLevel="1" x14ac:dyDescent="0.2">
      <c r="A1045" s="101">
        <v>15</v>
      </c>
      <c r="B1045" s="81" t="s">
        <v>22</v>
      </c>
      <c r="C1045" s="84">
        <v>0</v>
      </c>
      <c r="D1045" s="53">
        <v>0</v>
      </c>
      <c r="E1045" s="78">
        <v>0</v>
      </c>
      <c r="F1045" s="84">
        <v>0</v>
      </c>
      <c r="G1045" s="53">
        <v>0</v>
      </c>
      <c r="H1045" s="78">
        <v>0</v>
      </c>
      <c r="I1045" s="84">
        <v>0</v>
      </c>
      <c r="J1045" s="53">
        <v>0</v>
      </c>
      <c r="K1045" s="78">
        <v>0</v>
      </c>
      <c r="L1045" s="84">
        <v>0</v>
      </c>
      <c r="M1045" s="53">
        <v>0</v>
      </c>
      <c r="N1045" s="78">
        <v>0</v>
      </c>
    </row>
    <row r="1046" spans="1:14" ht="19.5" customHeight="1" outlineLevel="1" x14ac:dyDescent="0.2">
      <c r="A1046" s="101">
        <v>16</v>
      </c>
      <c r="B1046" s="81" t="s">
        <v>23</v>
      </c>
      <c r="C1046" s="84">
        <v>0</v>
      </c>
      <c r="D1046" s="53">
        <v>0</v>
      </c>
      <c r="E1046" s="78">
        <v>0</v>
      </c>
      <c r="F1046" s="84">
        <v>0</v>
      </c>
      <c r="G1046" s="53">
        <v>0</v>
      </c>
      <c r="H1046" s="78">
        <v>0</v>
      </c>
      <c r="I1046" s="84">
        <v>0</v>
      </c>
      <c r="J1046" s="53">
        <v>0</v>
      </c>
      <c r="K1046" s="78">
        <v>0</v>
      </c>
      <c r="L1046" s="84">
        <v>0</v>
      </c>
      <c r="M1046" s="53">
        <v>0</v>
      </c>
      <c r="N1046" s="78">
        <v>0</v>
      </c>
    </row>
    <row r="1047" spans="1:14" ht="19.5" customHeight="1" outlineLevel="1" x14ac:dyDescent="0.2">
      <c r="A1047" s="101">
        <v>17</v>
      </c>
      <c r="B1047" s="81" t="s">
        <v>24</v>
      </c>
      <c r="C1047" s="84">
        <v>0</v>
      </c>
      <c r="D1047" s="53">
        <v>0</v>
      </c>
      <c r="E1047" s="78">
        <v>0</v>
      </c>
      <c r="F1047" s="84">
        <v>0</v>
      </c>
      <c r="G1047" s="53">
        <v>0</v>
      </c>
      <c r="H1047" s="78">
        <v>0</v>
      </c>
      <c r="I1047" s="84">
        <v>0</v>
      </c>
      <c r="J1047" s="53">
        <v>0</v>
      </c>
      <c r="K1047" s="78">
        <v>0</v>
      </c>
      <c r="L1047" s="84">
        <v>0</v>
      </c>
      <c r="M1047" s="53">
        <v>0</v>
      </c>
      <c r="N1047" s="78">
        <v>0</v>
      </c>
    </row>
    <row r="1048" spans="1:14" ht="19.5" customHeight="1" outlineLevel="1" x14ac:dyDescent="0.2">
      <c r="A1048" s="101">
        <v>18</v>
      </c>
      <c r="B1048" s="81" t="s">
        <v>25</v>
      </c>
      <c r="C1048" s="84">
        <v>5.0199999999999996</v>
      </c>
      <c r="D1048" s="53">
        <v>4.0558680795473645</v>
      </c>
      <c r="E1048" s="78">
        <v>807.94184851541127</v>
      </c>
      <c r="F1048" s="84">
        <v>2.15</v>
      </c>
      <c r="G1048" s="53">
        <v>2.0772514807721008</v>
      </c>
      <c r="H1048" s="78">
        <v>966.1634794288841</v>
      </c>
      <c r="I1048" s="84">
        <v>2.4700000000000002</v>
      </c>
      <c r="J1048" s="53">
        <v>2.462297397348312</v>
      </c>
      <c r="K1048" s="78">
        <v>996.88153738798064</v>
      </c>
      <c r="L1048" s="84">
        <v>3.2133333333333334</v>
      </c>
      <c r="M1048" s="53">
        <v>2.8651389858892586</v>
      </c>
      <c r="N1048" s="78">
        <v>891.64076324354517</v>
      </c>
    </row>
    <row r="1049" spans="1:14" ht="19.5" customHeight="1" outlineLevel="1" x14ac:dyDescent="0.2">
      <c r="A1049" s="101">
        <v>19</v>
      </c>
      <c r="B1049" s="81" t="s">
        <v>26</v>
      </c>
      <c r="C1049" s="84">
        <v>0</v>
      </c>
      <c r="D1049" s="53">
        <v>0</v>
      </c>
      <c r="E1049" s="78">
        <v>0</v>
      </c>
      <c r="F1049" s="84">
        <v>0</v>
      </c>
      <c r="G1049" s="53">
        <v>0</v>
      </c>
      <c r="H1049" s="78">
        <v>0</v>
      </c>
      <c r="I1049" s="84">
        <v>0</v>
      </c>
      <c r="J1049" s="53">
        <v>0</v>
      </c>
      <c r="K1049" s="78">
        <v>0</v>
      </c>
      <c r="L1049" s="84">
        <v>0</v>
      </c>
      <c r="M1049" s="53">
        <v>0</v>
      </c>
      <c r="N1049" s="78">
        <v>0</v>
      </c>
    </row>
    <row r="1050" spans="1:14" ht="19.5" customHeight="1" outlineLevel="1" x14ac:dyDescent="0.2">
      <c r="A1050" s="101">
        <v>20</v>
      </c>
      <c r="B1050" s="81" t="s">
        <v>27</v>
      </c>
      <c r="C1050" s="84">
        <v>0</v>
      </c>
      <c r="D1050" s="53">
        <v>0</v>
      </c>
      <c r="E1050" s="78">
        <v>0</v>
      </c>
      <c r="F1050" s="84">
        <v>0</v>
      </c>
      <c r="G1050" s="53">
        <v>0</v>
      </c>
      <c r="H1050" s="78">
        <v>0</v>
      </c>
      <c r="I1050" s="84">
        <v>0</v>
      </c>
      <c r="J1050" s="53">
        <v>0</v>
      </c>
      <c r="K1050" s="78">
        <v>0</v>
      </c>
      <c r="L1050" s="84">
        <v>0</v>
      </c>
      <c r="M1050" s="53">
        <v>0</v>
      </c>
      <c r="N1050" s="78">
        <v>0</v>
      </c>
    </row>
    <row r="1051" spans="1:14" ht="19.5" customHeight="1" outlineLevel="1" x14ac:dyDescent="0.2">
      <c r="A1051" s="101">
        <v>21</v>
      </c>
      <c r="B1051" s="81" t="s">
        <v>28</v>
      </c>
      <c r="C1051" s="84">
        <v>0</v>
      </c>
      <c r="D1051" s="53">
        <v>0</v>
      </c>
      <c r="E1051" s="78">
        <v>0</v>
      </c>
      <c r="F1051" s="84">
        <v>0</v>
      </c>
      <c r="G1051" s="53">
        <v>0</v>
      </c>
      <c r="H1051" s="78">
        <v>0</v>
      </c>
      <c r="I1051" s="84">
        <v>0</v>
      </c>
      <c r="J1051" s="53">
        <v>0</v>
      </c>
      <c r="K1051" s="78">
        <v>0</v>
      </c>
      <c r="L1051" s="84">
        <v>0</v>
      </c>
      <c r="M1051" s="53">
        <v>0</v>
      </c>
      <c r="N1051" s="78">
        <v>0</v>
      </c>
    </row>
    <row r="1052" spans="1:14" ht="19.5" customHeight="1" outlineLevel="1" x14ac:dyDescent="0.2">
      <c r="A1052" s="101">
        <v>22</v>
      </c>
      <c r="B1052" s="81" t="s">
        <v>29</v>
      </c>
      <c r="C1052" s="84">
        <v>0</v>
      </c>
      <c r="D1052" s="53">
        <v>0</v>
      </c>
      <c r="E1052" s="78">
        <v>0</v>
      </c>
      <c r="F1052" s="84">
        <v>0</v>
      </c>
      <c r="G1052" s="53">
        <v>0</v>
      </c>
      <c r="H1052" s="78">
        <v>0</v>
      </c>
      <c r="I1052" s="84">
        <v>0</v>
      </c>
      <c r="J1052" s="53">
        <v>0</v>
      </c>
      <c r="K1052" s="78">
        <v>0</v>
      </c>
      <c r="L1052" s="84">
        <v>0</v>
      </c>
      <c r="M1052" s="53">
        <v>0</v>
      </c>
      <c r="N1052" s="78">
        <v>0</v>
      </c>
    </row>
    <row r="1053" spans="1:14" ht="19.5" customHeight="1" outlineLevel="1" x14ac:dyDescent="0.2">
      <c r="A1053" s="101">
        <v>23</v>
      </c>
      <c r="B1053" s="81" t="s">
        <v>30</v>
      </c>
      <c r="C1053" s="84">
        <v>0</v>
      </c>
      <c r="D1053" s="53">
        <v>0</v>
      </c>
      <c r="E1053" s="78">
        <v>0</v>
      </c>
      <c r="F1053" s="84">
        <v>0</v>
      </c>
      <c r="G1053" s="53">
        <v>0</v>
      </c>
      <c r="H1053" s="78">
        <v>0</v>
      </c>
      <c r="I1053" s="84">
        <v>0</v>
      </c>
      <c r="J1053" s="53">
        <v>0</v>
      </c>
      <c r="K1053" s="78">
        <v>0</v>
      </c>
      <c r="L1053" s="84">
        <v>0</v>
      </c>
      <c r="M1053" s="53">
        <v>0</v>
      </c>
      <c r="N1053" s="78">
        <v>0</v>
      </c>
    </row>
    <row r="1054" spans="1:14" ht="19.5" customHeight="1" outlineLevel="1" x14ac:dyDescent="0.2">
      <c r="A1054" s="101">
        <v>24</v>
      </c>
      <c r="B1054" s="81" t="s">
        <v>31</v>
      </c>
      <c r="C1054" s="84">
        <v>0</v>
      </c>
      <c r="D1054" s="53">
        <v>0</v>
      </c>
      <c r="E1054" s="78">
        <v>0</v>
      </c>
      <c r="F1054" s="84">
        <v>0</v>
      </c>
      <c r="G1054" s="53">
        <v>0</v>
      </c>
      <c r="H1054" s="78">
        <v>0</v>
      </c>
      <c r="I1054" s="84">
        <v>0</v>
      </c>
      <c r="J1054" s="53">
        <v>0</v>
      </c>
      <c r="K1054" s="78">
        <v>0</v>
      </c>
      <c r="L1054" s="84">
        <v>0</v>
      </c>
      <c r="M1054" s="53">
        <v>0</v>
      </c>
      <c r="N1054" s="78">
        <v>0</v>
      </c>
    </row>
    <row r="1055" spans="1:14" ht="19.5" customHeight="1" outlineLevel="1" x14ac:dyDescent="0.2">
      <c r="A1055" s="101">
        <v>25</v>
      </c>
      <c r="B1055" s="81" t="s">
        <v>32</v>
      </c>
      <c r="C1055" s="84">
        <v>0</v>
      </c>
      <c r="D1055" s="53">
        <v>0</v>
      </c>
      <c r="E1055" s="78">
        <v>0</v>
      </c>
      <c r="F1055" s="84">
        <v>0</v>
      </c>
      <c r="G1055" s="53">
        <v>0</v>
      </c>
      <c r="H1055" s="78">
        <v>0</v>
      </c>
      <c r="I1055" s="84">
        <v>0</v>
      </c>
      <c r="J1055" s="53">
        <v>0</v>
      </c>
      <c r="K1055" s="78">
        <v>0</v>
      </c>
      <c r="L1055" s="84">
        <v>0</v>
      </c>
      <c r="M1055" s="53">
        <v>0</v>
      </c>
      <c r="N1055" s="78">
        <v>0</v>
      </c>
    </row>
    <row r="1056" spans="1:14" ht="19.5" customHeight="1" outlineLevel="1" x14ac:dyDescent="0.2">
      <c r="A1056" s="101">
        <v>26</v>
      </c>
      <c r="B1056" s="81" t="s">
        <v>33</v>
      </c>
      <c r="C1056" s="84">
        <v>0.11</v>
      </c>
      <c r="D1056" s="53">
        <v>8.8873603336695237E-2</v>
      </c>
      <c r="E1056" s="78">
        <v>807.94184851541127</v>
      </c>
      <c r="F1056" s="84">
        <v>0.11</v>
      </c>
      <c r="G1056" s="53">
        <v>0.10627798273717726</v>
      </c>
      <c r="H1056" s="78">
        <v>966.1634794288841</v>
      </c>
      <c r="I1056" s="84">
        <v>0.35</v>
      </c>
      <c r="J1056" s="53">
        <v>0.34890853808579325</v>
      </c>
      <c r="K1056" s="78">
        <v>996.88153738798064</v>
      </c>
      <c r="L1056" s="84">
        <v>0.18999999999999997</v>
      </c>
      <c r="M1056" s="53">
        <v>0.18135337471988858</v>
      </c>
      <c r="N1056" s="78">
        <v>954.4914458941505</v>
      </c>
    </row>
    <row r="1057" spans="1:14" ht="19.5" customHeight="1" outlineLevel="1" x14ac:dyDescent="0.2">
      <c r="A1057" s="101">
        <v>27</v>
      </c>
      <c r="B1057" s="81" t="s">
        <v>34</v>
      </c>
      <c r="C1057" s="84">
        <v>0</v>
      </c>
      <c r="D1057" s="53">
        <v>0</v>
      </c>
      <c r="E1057" s="78">
        <v>0</v>
      </c>
      <c r="F1057" s="84">
        <v>0</v>
      </c>
      <c r="G1057" s="53">
        <v>0</v>
      </c>
      <c r="H1057" s="78">
        <v>0</v>
      </c>
      <c r="I1057" s="84">
        <v>0</v>
      </c>
      <c r="J1057" s="53">
        <v>0</v>
      </c>
      <c r="K1057" s="78">
        <v>0</v>
      </c>
      <c r="L1057" s="84">
        <v>0</v>
      </c>
      <c r="M1057" s="53">
        <v>0</v>
      </c>
      <c r="N1057" s="78">
        <v>0</v>
      </c>
    </row>
    <row r="1058" spans="1:14" ht="19.5" customHeight="1" outlineLevel="1" x14ac:dyDescent="0.2">
      <c r="A1058" s="101">
        <v>28</v>
      </c>
      <c r="B1058" s="81" t="s">
        <v>35</v>
      </c>
      <c r="C1058" s="84">
        <v>26.8</v>
      </c>
      <c r="D1058" s="53">
        <v>20.770960000000002</v>
      </c>
      <c r="E1058" s="78">
        <v>775.03582089552242</v>
      </c>
      <c r="F1058" s="84">
        <v>24.45</v>
      </c>
      <c r="G1058" s="53">
        <v>20.294614999999997</v>
      </c>
      <c r="H1058" s="78">
        <v>830.04560327198362</v>
      </c>
      <c r="I1058" s="84">
        <v>15.37</v>
      </c>
      <c r="J1058" s="53">
        <v>10.460016</v>
      </c>
      <c r="K1058" s="78">
        <v>680.54756018217313</v>
      </c>
      <c r="L1058" s="84">
        <v>22.206666666666667</v>
      </c>
      <c r="M1058" s="53">
        <v>17.175196999999997</v>
      </c>
      <c r="N1058" s="78">
        <v>773.4252626838786</v>
      </c>
    </row>
    <row r="1059" spans="1:14" ht="19.5" customHeight="1" outlineLevel="1" x14ac:dyDescent="0.2">
      <c r="A1059" s="101">
        <v>29</v>
      </c>
      <c r="B1059" s="81" t="s">
        <v>36</v>
      </c>
      <c r="C1059" s="84">
        <v>0</v>
      </c>
      <c r="D1059" s="53">
        <v>0</v>
      </c>
      <c r="E1059" s="78">
        <v>0</v>
      </c>
      <c r="F1059" s="84">
        <v>0</v>
      </c>
      <c r="G1059" s="53">
        <v>0</v>
      </c>
      <c r="H1059" s="78">
        <v>0</v>
      </c>
      <c r="I1059" s="84">
        <v>0</v>
      </c>
      <c r="J1059" s="53">
        <v>0</v>
      </c>
      <c r="K1059" s="78">
        <v>0</v>
      </c>
      <c r="L1059" s="84">
        <v>0</v>
      </c>
      <c r="M1059" s="53">
        <v>0</v>
      </c>
      <c r="N1059" s="78">
        <v>0</v>
      </c>
    </row>
    <row r="1060" spans="1:14" ht="19.5" customHeight="1" outlineLevel="1" x14ac:dyDescent="0.2">
      <c r="A1060" s="101">
        <v>30</v>
      </c>
      <c r="B1060" s="81" t="s">
        <v>37</v>
      </c>
      <c r="C1060" s="84">
        <v>0</v>
      </c>
      <c r="D1060" s="53">
        <v>0</v>
      </c>
      <c r="E1060" s="78">
        <v>0</v>
      </c>
      <c r="F1060" s="84">
        <v>0</v>
      </c>
      <c r="G1060" s="53">
        <v>0</v>
      </c>
      <c r="H1060" s="78">
        <v>0</v>
      </c>
      <c r="I1060" s="84">
        <v>1.48</v>
      </c>
      <c r="J1060" s="53">
        <v>1.4753846753342112</v>
      </c>
      <c r="K1060" s="78">
        <v>996.88153738798064</v>
      </c>
      <c r="L1060" s="84">
        <v>1.48</v>
      </c>
      <c r="M1060" s="53">
        <v>1.4753846753342112</v>
      </c>
      <c r="N1060" s="78">
        <v>996.88153738798064</v>
      </c>
    </row>
    <row r="1061" spans="1:14" ht="19.5" customHeight="1" outlineLevel="1" x14ac:dyDescent="0.2">
      <c r="A1061" s="101">
        <v>31</v>
      </c>
      <c r="B1061" s="81" t="s">
        <v>38</v>
      </c>
      <c r="C1061" s="84">
        <v>0</v>
      </c>
      <c r="D1061" s="53">
        <v>0</v>
      </c>
      <c r="E1061" s="78">
        <v>0</v>
      </c>
      <c r="F1061" s="84">
        <v>0</v>
      </c>
      <c r="G1061" s="53">
        <v>0</v>
      </c>
      <c r="H1061" s="78">
        <v>0</v>
      </c>
      <c r="I1061" s="84">
        <v>0</v>
      </c>
      <c r="J1061" s="53">
        <v>0</v>
      </c>
      <c r="K1061" s="78">
        <v>0</v>
      </c>
      <c r="L1061" s="84">
        <v>0</v>
      </c>
      <c r="M1061" s="53">
        <v>0</v>
      </c>
      <c r="N1061" s="78">
        <v>0</v>
      </c>
    </row>
    <row r="1062" spans="1:14" ht="19.5" customHeight="1" outlineLevel="1" x14ac:dyDescent="0.2">
      <c r="A1062" s="101">
        <v>32</v>
      </c>
      <c r="B1062" s="81" t="s">
        <v>39</v>
      </c>
      <c r="C1062" s="84">
        <v>0</v>
      </c>
      <c r="D1062" s="53">
        <v>0</v>
      </c>
      <c r="E1062" s="78">
        <v>0</v>
      </c>
      <c r="F1062" s="84">
        <v>0</v>
      </c>
      <c r="G1062" s="53">
        <v>0</v>
      </c>
      <c r="H1062" s="78">
        <v>0</v>
      </c>
      <c r="I1062" s="84">
        <v>0</v>
      </c>
      <c r="J1062" s="53">
        <v>0</v>
      </c>
      <c r="K1062" s="78">
        <v>0</v>
      </c>
      <c r="L1062" s="84">
        <v>0</v>
      </c>
      <c r="M1062" s="53">
        <v>0</v>
      </c>
      <c r="N1062" s="78">
        <v>0</v>
      </c>
    </row>
    <row r="1063" spans="1:14" ht="19.5" customHeight="1" outlineLevel="1" thickBot="1" x14ac:dyDescent="0.25">
      <c r="A1063" s="102">
        <v>33</v>
      </c>
      <c r="B1063" s="91" t="s">
        <v>40</v>
      </c>
      <c r="C1063" s="92">
        <v>0</v>
      </c>
      <c r="D1063" s="93">
        <v>0</v>
      </c>
      <c r="E1063" s="94">
        <v>0</v>
      </c>
      <c r="F1063" s="92">
        <v>0</v>
      </c>
      <c r="G1063" s="93">
        <v>0</v>
      </c>
      <c r="H1063" s="94">
        <v>0</v>
      </c>
      <c r="I1063" s="92">
        <v>0</v>
      </c>
      <c r="J1063" s="93">
        <v>0</v>
      </c>
      <c r="K1063" s="94">
        <v>0</v>
      </c>
      <c r="L1063" s="92">
        <v>0</v>
      </c>
      <c r="M1063" s="93">
        <v>0</v>
      </c>
      <c r="N1063" s="94">
        <v>0</v>
      </c>
    </row>
    <row r="1064" spans="1:14" ht="19.5" customHeight="1" thickBot="1" x14ac:dyDescent="0.25">
      <c r="A1064" s="151" t="s">
        <v>41</v>
      </c>
      <c r="B1064" s="152"/>
      <c r="C1064" s="96">
        <v>268.12</v>
      </c>
      <c r="D1064" s="97">
        <v>216.62536842395153</v>
      </c>
      <c r="E1064" s="98">
        <v>807.94184851540922</v>
      </c>
      <c r="F1064" s="96">
        <v>252.42000000000002</v>
      </c>
      <c r="G1064" s="97">
        <v>243.87898547744251</v>
      </c>
      <c r="H1064" s="98">
        <v>966.1634794288982</v>
      </c>
      <c r="I1064" s="96">
        <v>261.31</v>
      </c>
      <c r="J1064" s="97">
        <v>260.49511453485269</v>
      </c>
      <c r="K1064" s="98">
        <v>996.8815373879786</v>
      </c>
      <c r="L1064" s="96">
        <v>260.61666666666662</v>
      </c>
      <c r="M1064" s="97">
        <v>240.33315614541559</v>
      </c>
      <c r="N1064" s="98">
        <v>922.17109219958672</v>
      </c>
    </row>
    <row r="1065" spans="1:14" ht="34.5" customHeight="1" x14ac:dyDescent="0.2">
      <c r="A1065" s="153" t="s">
        <v>247</v>
      </c>
      <c r="B1065" s="154"/>
      <c r="C1065" s="154"/>
      <c r="D1065" s="154"/>
      <c r="E1065" s="154"/>
      <c r="F1065" s="154"/>
      <c r="G1065" s="154"/>
      <c r="H1065" s="154"/>
      <c r="I1065" s="154"/>
      <c r="J1065" s="154"/>
      <c r="K1065" s="154"/>
      <c r="L1065" s="154"/>
      <c r="M1065" s="154"/>
      <c r="N1065" s="154"/>
    </row>
    <row r="1066" spans="1:14" ht="19.5" customHeight="1" thickBot="1" x14ac:dyDescent="0.25">
      <c r="A1066" s="50"/>
      <c r="B1066" s="51" t="s">
        <v>70</v>
      </c>
      <c r="C1066" s="52"/>
      <c r="D1066" s="52"/>
      <c r="E1066" s="52"/>
      <c r="F1066" s="52"/>
      <c r="G1066" s="52"/>
      <c r="H1066" s="52"/>
      <c r="I1066" s="52"/>
      <c r="J1066" s="52"/>
      <c r="K1066" s="155" t="s">
        <v>1</v>
      </c>
      <c r="L1066" s="154"/>
      <c r="M1066" s="154"/>
      <c r="N1066" s="154"/>
    </row>
    <row r="1067" spans="1:14" ht="19.5" customHeight="1" x14ac:dyDescent="0.2">
      <c r="A1067" s="156" t="s">
        <v>2</v>
      </c>
      <c r="B1067" s="158" t="s">
        <v>3</v>
      </c>
      <c r="C1067" s="148" t="s">
        <v>243</v>
      </c>
      <c r="D1067" s="149"/>
      <c r="E1067" s="150"/>
      <c r="F1067" s="148" t="s">
        <v>244</v>
      </c>
      <c r="G1067" s="149"/>
      <c r="H1067" s="150"/>
      <c r="I1067" s="148" t="s">
        <v>246</v>
      </c>
      <c r="J1067" s="149"/>
      <c r="K1067" s="150"/>
      <c r="L1067" s="148" t="s">
        <v>4</v>
      </c>
      <c r="M1067" s="149"/>
      <c r="N1067" s="150"/>
    </row>
    <row r="1068" spans="1:14" ht="19.5" customHeight="1" thickBot="1" x14ac:dyDescent="0.25">
      <c r="A1068" s="157"/>
      <c r="B1068" s="159"/>
      <c r="C1068" s="85" t="s">
        <v>5</v>
      </c>
      <c r="D1068" s="79" t="s">
        <v>6</v>
      </c>
      <c r="E1068" s="80" t="s">
        <v>7</v>
      </c>
      <c r="F1068" s="85" t="s">
        <v>5</v>
      </c>
      <c r="G1068" s="79" t="s">
        <v>6</v>
      </c>
      <c r="H1068" s="80" t="s">
        <v>7</v>
      </c>
      <c r="I1068" s="85" t="s">
        <v>5</v>
      </c>
      <c r="J1068" s="79" t="s">
        <v>6</v>
      </c>
      <c r="K1068" s="80" t="s">
        <v>7</v>
      </c>
      <c r="L1068" s="85" t="s">
        <v>5</v>
      </c>
      <c r="M1068" s="79" t="s">
        <v>6</v>
      </c>
      <c r="N1068" s="80" t="s">
        <v>7</v>
      </c>
    </row>
    <row r="1069" spans="1:14" ht="19.5" customHeight="1" outlineLevel="1" x14ac:dyDescent="0.2">
      <c r="A1069" s="100">
        <v>1</v>
      </c>
      <c r="B1069" s="86" t="s">
        <v>8</v>
      </c>
      <c r="C1069" s="87">
        <v>318.08</v>
      </c>
      <c r="D1069" s="88">
        <v>861.95466797988524</v>
      </c>
      <c r="E1069" s="89">
        <v>2709.8675426933014</v>
      </c>
      <c r="F1069" s="87">
        <v>352.46</v>
      </c>
      <c r="G1069" s="88">
        <v>1019.6119849748352</v>
      </c>
      <c r="H1069" s="89">
        <v>2892.8445354787359</v>
      </c>
      <c r="I1069" s="87">
        <v>378.11</v>
      </c>
      <c r="J1069" s="88">
        <v>1158.1749533013813</v>
      </c>
      <c r="K1069" s="89">
        <v>3063.063535218273</v>
      </c>
      <c r="L1069" s="87">
        <v>349.55</v>
      </c>
      <c r="M1069" s="88">
        <v>1013.2472020853671</v>
      </c>
      <c r="N1069" s="89">
        <v>2898.7189302971451</v>
      </c>
    </row>
    <row r="1070" spans="1:14" ht="19.5" customHeight="1" outlineLevel="1" x14ac:dyDescent="0.2">
      <c r="A1070" s="101">
        <v>2</v>
      </c>
      <c r="B1070" s="81" t="s">
        <v>9</v>
      </c>
      <c r="C1070" s="84">
        <v>649.29999999999995</v>
      </c>
      <c r="D1070" s="53">
        <v>1991.59557</v>
      </c>
      <c r="E1070" s="78">
        <v>3067.2964269213003</v>
      </c>
      <c r="F1070" s="84">
        <v>698.37</v>
      </c>
      <c r="G1070" s="53">
        <v>2182.0332699999999</v>
      </c>
      <c r="H1070" s="78">
        <v>3124.4659278033137</v>
      </c>
      <c r="I1070" s="84">
        <v>676.02</v>
      </c>
      <c r="J1070" s="53">
        <v>2081.68226</v>
      </c>
      <c r="K1070" s="78">
        <v>3079.3205230614481</v>
      </c>
      <c r="L1070" s="84">
        <v>674.56333333333339</v>
      </c>
      <c r="M1070" s="53">
        <v>2085.1036999999997</v>
      </c>
      <c r="N1070" s="78">
        <v>3091.042155666134</v>
      </c>
    </row>
    <row r="1071" spans="1:14" ht="19.5" customHeight="1" outlineLevel="1" x14ac:dyDescent="0.2">
      <c r="A1071" s="101">
        <v>3</v>
      </c>
      <c r="B1071" s="81" t="s">
        <v>10</v>
      </c>
      <c r="C1071" s="84">
        <v>451.93</v>
      </c>
      <c r="D1071" s="53">
        <v>1257.7620200000001</v>
      </c>
      <c r="E1071" s="78">
        <v>2783.0903458500211</v>
      </c>
      <c r="F1071" s="84">
        <v>389</v>
      </c>
      <c r="G1071" s="53">
        <v>1087.6672600000002</v>
      </c>
      <c r="H1071" s="78">
        <v>2796.0597943444736</v>
      </c>
      <c r="I1071" s="84">
        <v>403.66</v>
      </c>
      <c r="J1071" s="53">
        <v>1124.8180185380857</v>
      </c>
      <c r="K1071" s="78">
        <v>2786.5481309470488</v>
      </c>
      <c r="L1071" s="84">
        <v>414.8633333333334</v>
      </c>
      <c r="M1071" s="53">
        <v>1156.7490995126952</v>
      </c>
      <c r="N1071" s="78">
        <v>2788.2654517054493</v>
      </c>
    </row>
    <row r="1072" spans="1:14" ht="19.5" customHeight="1" outlineLevel="1" x14ac:dyDescent="0.2">
      <c r="A1072" s="101">
        <v>4</v>
      </c>
      <c r="B1072" s="81" t="s">
        <v>11</v>
      </c>
      <c r="C1072" s="84">
        <v>668.78</v>
      </c>
      <c r="D1072" s="53">
        <v>2119.5866826000006</v>
      </c>
      <c r="E1072" s="78">
        <v>3169.3332375370082</v>
      </c>
      <c r="F1072" s="84">
        <v>664.32</v>
      </c>
      <c r="G1072" s="53">
        <v>2194.3295751000005</v>
      </c>
      <c r="H1072" s="78">
        <v>3303.1213498013012</v>
      </c>
      <c r="I1072" s="84">
        <v>676.59</v>
      </c>
      <c r="J1072" s="53">
        <v>2273.1741317999999</v>
      </c>
      <c r="K1072" s="78">
        <v>3359.7512996053738</v>
      </c>
      <c r="L1072" s="84">
        <v>669.89666666666665</v>
      </c>
      <c r="M1072" s="53">
        <v>2195.6967965000003</v>
      </c>
      <c r="N1072" s="78">
        <v>3277.6649082694348</v>
      </c>
    </row>
    <row r="1073" spans="1:14" ht="19.5" customHeight="1" outlineLevel="1" x14ac:dyDescent="0.2">
      <c r="A1073" s="101">
        <v>5</v>
      </c>
      <c r="B1073" s="81" t="s">
        <v>12</v>
      </c>
      <c r="C1073" s="84">
        <v>860.99</v>
      </c>
      <c r="D1073" s="53">
        <v>2785.2124444999999</v>
      </c>
      <c r="E1073" s="78">
        <v>3234.8952304904815</v>
      </c>
      <c r="F1073" s="84">
        <v>845.27</v>
      </c>
      <c r="G1073" s="53">
        <v>2656.9825139999998</v>
      </c>
      <c r="H1073" s="78">
        <v>3143.3536195535153</v>
      </c>
      <c r="I1073" s="84">
        <v>836.09</v>
      </c>
      <c r="J1073" s="53">
        <v>2692.6391607999999</v>
      </c>
      <c r="K1073" s="78">
        <v>3220.5135341889027</v>
      </c>
      <c r="L1073" s="84">
        <v>847.44999999999993</v>
      </c>
      <c r="M1073" s="53">
        <v>2711.6113731</v>
      </c>
      <c r="N1073" s="78">
        <v>3199.7302178299606</v>
      </c>
    </row>
    <row r="1074" spans="1:14" ht="19.5" customHeight="1" outlineLevel="1" x14ac:dyDescent="0.2">
      <c r="A1074" s="101">
        <v>6</v>
      </c>
      <c r="B1074" s="81" t="s">
        <v>13</v>
      </c>
      <c r="C1074" s="84">
        <v>795.17</v>
      </c>
      <c r="D1074" s="53">
        <v>2291.9524900000001</v>
      </c>
      <c r="E1074" s="78">
        <v>2882.3427568947527</v>
      </c>
      <c r="F1074" s="84">
        <v>813.5</v>
      </c>
      <c r="G1074" s="53">
        <v>2372.6938400000004</v>
      </c>
      <c r="H1074" s="78">
        <v>2916.6488506453597</v>
      </c>
      <c r="I1074" s="84">
        <v>848.12</v>
      </c>
      <c r="J1074" s="53">
        <v>2445.1718190000001</v>
      </c>
      <c r="K1074" s="78">
        <v>2883.0493550440979</v>
      </c>
      <c r="L1074" s="84">
        <v>818.93</v>
      </c>
      <c r="M1074" s="53">
        <v>2369.9393830000004</v>
      </c>
      <c r="N1074" s="78">
        <v>2893.9462261731778</v>
      </c>
    </row>
    <row r="1075" spans="1:14" ht="19.5" customHeight="1" outlineLevel="1" x14ac:dyDescent="0.2">
      <c r="A1075" s="101">
        <v>7</v>
      </c>
      <c r="B1075" s="81" t="s">
        <v>14</v>
      </c>
      <c r="C1075" s="84">
        <v>323.64</v>
      </c>
      <c r="D1075" s="53">
        <v>1186.2925849999999</v>
      </c>
      <c r="E1075" s="78">
        <v>3665.4696112965025</v>
      </c>
      <c r="F1075" s="84">
        <v>300.83999999999997</v>
      </c>
      <c r="G1075" s="53">
        <v>1077.7382839999998</v>
      </c>
      <c r="H1075" s="78">
        <v>3582.4301422683147</v>
      </c>
      <c r="I1075" s="84">
        <v>291.08999999999997</v>
      </c>
      <c r="J1075" s="53">
        <v>1030.6395170000001</v>
      </c>
      <c r="K1075" s="78">
        <v>3540.6215156824355</v>
      </c>
      <c r="L1075" s="84">
        <v>305.19</v>
      </c>
      <c r="M1075" s="53">
        <v>1098.2234619999999</v>
      </c>
      <c r="N1075" s="78">
        <v>3598.4909793898878</v>
      </c>
    </row>
    <row r="1076" spans="1:14" ht="19.5" customHeight="1" outlineLevel="1" x14ac:dyDescent="0.2">
      <c r="A1076" s="101">
        <v>8</v>
      </c>
      <c r="B1076" s="81" t="s">
        <v>15</v>
      </c>
      <c r="C1076" s="84">
        <v>1532.74</v>
      </c>
      <c r="D1076" s="53">
        <v>3601.7048662637894</v>
      </c>
      <c r="E1076" s="78">
        <v>2349.8472449755272</v>
      </c>
      <c r="F1076" s="84">
        <v>1458.7800000000002</v>
      </c>
      <c r="G1076" s="53">
        <v>3319.4051386659912</v>
      </c>
      <c r="H1076" s="78">
        <v>2275.4665807496613</v>
      </c>
      <c r="I1076" s="84">
        <v>1509.5</v>
      </c>
      <c r="J1076" s="53">
        <v>3698.621807955391</v>
      </c>
      <c r="K1076" s="78">
        <v>2450.2297502188744</v>
      </c>
      <c r="L1076" s="84">
        <v>1500.3400000000001</v>
      </c>
      <c r="M1076" s="53">
        <v>3539.9106042950571</v>
      </c>
      <c r="N1076" s="78">
        <v>2359.405604259739</v>
      </c>
    </row>
    <row r="1077" spans="1:14" ht="19.5" customHeight="1" outlineLevel="1" x14ac:dyDescent="0.2">
      <c r="A1077" s="101">
        <v>9</v>
      </c>
      <c r="B1077" s="81" t="s">
        <v>16</v>
      </c>
      <c r="C1077" s="84">
        <v>465.17</v>
      </c>
      <c r="D1077" s="53">
        <v>1393.5426602699997</v>
      </c>
      <c r="E1077" s="78">
        <v>2995.7707080637178</v>
      </c>
      <c r="F1077" s="84">
        <v>348.1</v>
      </c>
      <c r="G1077" s="53">
        <v>920.46849759999998</v>
      </c>
      <c r="H1077" s="78">
        <v>2644.2645722493535</v>
      </c>
      <c r="I1077" s="84">
        <v>517.35</v>
      </c>
      <c r="J1077" s="53">
        <v>1447.6398866999998</v>
      </c>
      <c r="K1077" s="78">
        <v>2798.1828292258624</v>
      </c>
      <c r="L1077" s="84">
        <v>443.53999999999996</v>
      </c>
      <c r="M1077" s="53">
        <v>1253.8836815233333</v>
      </c>
      <c r="N1077" s="78">
        <v>2826.9912105409512</v>
      </c>
    </row>
    <row r="1078" spans="1:14" ht="19.5" customHeight="1" outlineLevel="1" x14ac:dyDescent="0.2">
      <c r="A1078" s="101">
        <v>10</v>
      </c>
      <c r="B1078" s="81" t="s">
        <v>17</v>
      </c>
      <c r="C1078" s="84">
        <v>443.25</v>
      </c>
      <c r="D1078" s="53">
        <v>1557.9632770000001</v>
      </c>
      <c r="E1078" s="78">
        <v>3514.8635690919346</v>
      </c>
      <c r="F1078" s="84">
        <v>328.85</v>
      </c>
      <c r="G1078" s="53">
        <v>1080.7557910000003</v>
      </c>
      <c r="H1078" s="78">
        <v>3286.4703998783643</v>
      </c>
      <c r="I1078" s="84">
        <v>651.70000000000005</v>
      </c>
      <c r="J1078" s="53">
        <v>2405.7437930000006</v>
      </c>
      <c r="K1078" s="78">
        <v>3691.4896317323928</v>
      </c>
      <c r="L1078" s="84">
        <v>474.60000000000008</v>
      </c>
      <c r="M1078" s="53">
        <v>1681.4876203333336</v>
      </c>
      <c r="N1078" s="78">
        <v>3542.9574806854894</v>
      </c>
    </row>
    <row r="1079" spans="1:14" ht="19.5" customHeight="1" outlineLevel="1" x14ac:dyDescent="0.2">
      <c r="A1079" s="101">
        <v>11</v>
      </c>
      <c r="B1079" s="81" t="s">
        <v>18</v>
      </c>
      <c r="C1079" s="84">
        <v>900.77</v>
      </c>
      <c r="D1079" s="53">
        <v>3471.8684515</v>
      </c>
      <c r="E1079" s="78">
        <v>3854.3340158975097</v>
      </c>
      <c r="F1079" s="84">
        <v>857.84</v>
      </c>
      <c r="G1079" s="53">
        <v>3516.6588891000006</v>
      </c>
      <c r="H1079" s="78">
        <v>4099.4344972255903</v>
      </c>
      <c r="I1079" s="84">
        <v>1096.3599999999999</v>
      </c>
      <c r="J1079" s="53">
        <v>4598.3967287639998</v>
      </c>
      <c r="K1079" s="78">
        <v>4194.2397832500274</v>
      </c>
      <c r="L1079" s="84">
        <v>951.65666666666675</v>
      </c>
      <c r="M1079" s="53">
        <v>3862.3080231213335</v>
      </c>
      <c r="N1079" s="78">
        <v>4058.5099210723756</v>
      </c>
    </row>
    <row r="1080" spans="1:14" ht="19.5" customHeight="1" outlineLevel="1" x14ac:dyDescent="0.2">
      <c r="A1080" s="101">
        <v>12</v>
      </c>
      <c r="B1080" s="81" t="s">
        <v>19</v>
      </c>
      <c r="C1080" s="84">
        <v>326.14999999999998</v>
      </c>
      <c r="D1080" s="53">
        <v>1385.5021487172774</v>
      </c>
      <c r="E1080" s="78">
        <v>4248.0519660195541</v>
      </c>
      <c r="F1080" s="84">
        <v>275.58000000000004</v>
      </c>
      <c r="G1080" s="53">
        <v>1170.6629971479433</v>
      </c>
      <c r="H1080" s="78">
        <v>4247.9969415340129</v>
      </c>
      <c r="I1080" s="84">
        <v>364.60999999999996</v>
      </c>
      <c r="J1080" s="53">
        <v>1504.452890430608</v>
      </c>
      <c r="K1080" s="78">
        <v>4126.1975547313796</v>
      </c>
      <c r="L1080" s="84">
        <v>322.11333333333329</v>
      </c>
      <c r="M1080" s="53">
        <v>1353.5393454319428</v>
      </c>
      <c r="N1080" s="78">
        <v>4202.059354156745</v>
      </c>
    </row>
    <row r="1081" spans="1:14" ht="19.5" customHeight="1" outlineLevel="1" x14ac:dyDescent="0.2">
      <c r="A1081" s="101">
        <v>13</v>
      </c>
      <c r="B1081" s="81" t="s">
        <v>20</v>
      </c>
      <c r="C1081" s="84">
        <v>80.3</v>
      </c>
      <c r="D1081" s="53">
        <v>323.26260750956521</v>
      </c>
      <c r="E1081" s="78">
        <v>4025.6862703557308</v>
      </c>
      <c r="F1081" s="84">
        <v>50.9</v>
      </c>
      <c r="G1081" s="53">
        <v>188.96903052707745</v>
      </c>
      <c r="H1081" s="78">
        <v>3712.5546272510305</v>
      </c>
      <c r="I1081" s="84">
        <v>134.72999999999999</v>
      </c>
      <c r="J1081" s="53">
        <v>533.65329462064381</v>
      </c>
      <c r="K1081" s="78">
        <v>3960.9091859321893</v>
      </c>
      <c r="L1081" s="84">
        <v>88.643333333333317</v>
      </c>
      <c r="M1081" s="53">
        <v>348.62831088576212</v>
      </c>
      <c r="N1081" s="78">
        <v>3932.9332255002687</v>
      </c>
    </row>
    <row r="1082" spans="1:14" ht="19.5" customHeight="1" outlineLevel="1" x14ac:dyDescent="0.2">
      <c r="A1082" s="101">
        <v>14</v>
      </c>
      <c r="B1082" s="81" t="s">
        <v>21</v>
      </c>
      <c r="C1082" s="84">
        <v>231.2</v>
      </c>
      <c r="D1082" s="53">
        <v>892.09944999999993</v>
      </c>
      <c r="E1082" s="78">
        <v>3858.561634948097</v>
      </c>
      <c r="F1082" s="84">
        <v>165.15</v>
      </c>
      <c r="G1082" s="53">
        <v>579.98996999999997</v>
      </c>
      <c r="H1082" s="78">
        <v>3511.8980926430513</v>
      </c>
      <c r="I1082" s="84">
        <v>299.02</v>
      </c>
      <c r="J1082" s="53">
        <v>1030.4371999999998</v>
      </c>
      <c r="K1082" s="78">
        <v>3446.0477560029426</v>
      </c>
      <c r="L1082" s="84">
        <v>231.79</v>
      </c>
      <c r="M1082" s="53">
        <v>834.17553999999984</v>
      </c>
      <c r="N1082" s="78">
        <v>3598.8417964536857</v>
      </c>
    </row>
    <row r="1083" spans="1:14" ht="19.5" customHeight="1" outlineLevel="1" x14ac:dyDescent="0.2">
      <c r="A1083" s="101">
        <v>15</v>
      </c>
      <c r="B1083" s="81" t="s">
        <v>22</v>
      </c>
      <c r="C1083" s="84">
        <v>933.1</v>
      </c>
      <c r="D1083" s="53">
        <v>3730.4387999999999</v>
      </c>
      <c r="E1083" s="78">
        <v>3997.8981888329222</v>
      </c>
      <c r="F1083" s="84">
        <v>933.4</v>
      </c>
      <c r="G1083" s="53">
        <v>3668.0352000000003</v>
      </c>
      <c r="H1083" s="78">
        <v>3929.7570173559034</v>
      </c>
      <c r="I1083" s="84">
        <v>1074.78</v>
      </c>
      <c r="J1083" s="53">
        <v>4350.4303699999991</v>
      </c>
      <c r="K1083" s="78">
        <v>4047.7403468616826</v>
      </c>
      <c r="L1083" s="84">
        <v>980.42666666666662</v>
      </c>
      <c r="M1083" s="53">
        <v>3916.3014566666666</v>
      </c>
      <c r="N1083" s="78">
        <v>3994.486879861829</v>
      </c>
    </row>
    <row r="1084" spans="1:14" ht="19.5" customHeight="1" outlineLevel="1" x14ac:dyDescent="0.2">
      <c r="A1084" s="101">
        <v>16</v>
      </c>
      <c r="B1084" s="81" t="s">
        <v>23</v>
      </c>
      <c r="C1084" s="84">
        <v>462.3</v>
      </c>
      <c r="D1084" s="53">
        <v>1869.9492699999998</v>
      </c>
      <c r="E1084" s="78">
        <v>4044.8826952195536</v>
      </c>
      <c r="F1084" s="84">
        <v>468.08</v>
      </c>
      <c r="G1084" s="53">
        <v>1801.9613225999997</v>
      </c>
      <c r="H1084" s="78">
        <v>3849.6866403178938</v>
      </c>
      <c r="I1084" s="84">
        <v>473.55</v>
      </c>
      <c r="J1084" s="53">
        <v>2018.9167782000002</v>
      </c>
      <c r="K1084" s="78">
        <v>4263.3655964523286</v>
      </c>
      <c r="L1084" s="84">
        <v>467.97666666666669</v>
      </c>
      <c r="M1084" s="53">
        <v>1896.9424569333332</v>
      </c>
      <c r="N1084" s="78">
        <v>4053.4979456240694</v>
      </c>
    </row>
    <row r="1085" spans="1:14" ht="19.5" customHeight="1" outlineLevel="1" x14ac:dyDescent="0.2">
      <c r="A1085" s="101">
        <v>17</v>
      </c>
      <c r="B1085" s="81" t="s">
        <v>24</v>
      </c>
      <c r="C1085" s="84">
        <v>282.75</v>
      </c>
      <c r="D1085" s="53">
        <v>1058.1873089999999</v>
      </c>
      <c r="E1085" s="78">
        <v>3742.4838514588855</v>
      </c>
      <c r="F1085" s="84">
        <v>391.85</v>
      </c>
      <c r="G1085" s="53">
        <v>1444.2419080000002</v>
      </c>
      <c r="H1085" s="78">
        <v>3685.7009263748887</v>
      </c>
      <c r="I1085" s="84">
        <v>453.96</v>
      </c>
      <c r="J1085" s="53">
        <v>1746.1561431599996</v>
      </c>
      <c r="K1085" s="78">
        <v>3846.4978041237105</v>
      </c>
      <c r="L1085" s="84">
        <v>376.18666666666667</v>
      </c>
      <c r="M1085" s="53">
        <v>1416.1951200533331</v>
      </c>
      <c r="N1085" s="78">
        <v>3764.6074290777619</v>
      </c>
    </row>
    <row r="1086" spans="1:14" ht="19.5" customHeight="1" outlineLevel="1" x14ac:dyDescent="0.2">
      <c r="A1086" s="101">
        <v>18</v>
      </c>
      <c r="B1086" s="81" t="s">
        <v>25</v>
      </c>
      <c r="C1086" s="84">
        <v>227.09</v>
      </c>
      <c r="D1086" s="53">
        <v>699.16181314906987</v>
      </c>
      <c r="E1086" s="78">
        <v>3078.7873228634899</v>
      </c>
      <c r="F1086" s="84">
        <v>192.20000000000002</v>
      </c>
      <c r="G1086" s="53">
        <v>636.41925120521603</v>
      </c>
      <c r="H1086" s="78">
        <v>3311.2343975297399</v>
      </c>
      <c r="I1086" s="84">
        <v>343.09000000000003</v>
      </c>
      <c r="J1086" s="53">
        <v>1272.9069373973484</v>
      </c>
      <c r="K1086" s="78">
        <v>3710.1254405472278</v>
      </c>
      <c r="L1086" s="84">
        <v>254.12666666666669</v>
      </c>
      <c r="M1086" s="53">
        <v>869.49600058387807</v>
      </c>
      <c r="N1086" s="78">
        <v>3421.5063377208658</v>
      </c>
    </row>
    <row r="1087" spans="1:14" ht="19.5" customHeight="1" outlineLevel="1" x14ac:dyDescent="0.2">
      <c r="A1087" s="101">
        <v>19</v>
      </c>
      <c r="B1087" s="81" t="s">
        <v>26</v>
      </c>
      <c r="C1087" s="84">
        <v>120.03</v>
      </c>
      <c r="D1087" s="53">
        <v>438.97667994000005</v>
      </c>
      <c r="E1087" s="78">
        <v>3657.2246933266688</v>
      </c>
      <c r="F1087" s="84">
        <v>182.78</v>
      </c>
      <c r="G1087" s="53">
        <v>688.10490000000004</v>
      </c>
      <c r="H1087" s="78">
        <v>3764.6618886092569</v>
      </c>
      <c r="I1087" s="84">
        <v>230.79</v>
      </c>
      <c r="J1087" s="53">
        <v>855.39763000000016</v>
      </c>
      <c r="K1087" s="78">
        <v>3706.3894882793888</v>
      </c>
      <c r="L1087" s="84">
        <v>177.86666666666667</v>
      </c>
      <c r="M1087" s="53">
        <v>660.82640331333346</v>
      </c>
      <c r="N1087" s="78">
        <v>3715.2908732008996</v>
      </c>
    </row>
    <row r="1088" spans="1:14" ht="19.5" customHeight="1" outlineLevel="1" x14ac:dyDescent="0.2">
      <c r="A1088" s="101">
        <v>20</v>
      </c>
      <c r="B1088" s="81" t="s">
        <v>27</v>
      </c>
      <c r="C1088" s="84">
        <v>549.83000000000004</v>
      </c>
      <c r="D1088" s="53">
        <v>1686.9101989999999</v>
      </c>
      <c r="E1088" s="78">
        <v>3068.0577614899148</v>
      </c>
      <c r="F1088" s="84">
        <v>491.22</v>
      </c>
      <c r="G1088" s="53">
        <v>1466.4748239486175</v>
      </c>
      <c r="H1088" s="78">
        <v>2985.3727941627326</v>
      </c>
      <c r="I1088" s="84">
        <v>349.69</v>
      </c>
      <c r="J1088" s="53">
        <v>1077.2970698577176</v>
      </c>
      <c r="K1088" s="78">
        <v>3080.7202661148945</v>
      </c>
      <c r="L1088" s="84">
        <v>463.5800000000001</v>
      </c>
      <c r="M1088" s="53">
        <v>1410.2273642687785</v>
      </c>
      <c r="N1088" s="78">
        <v>3042.0366803330135</v>
      </c>
    </row>
    <row r="1089" spans="1:14" ht="19.5" customHeight="1" outlineLevel="1" x14ac:dyDescent="0.2">
      <c r="A1089" s="101">
        <v>21</v>
      </c>
      <c r="B1089" s="81" t="s">
        <v>28</v>
      </c>
      <c r="C1089" s="84">
        <v>748.77</v>
      </c>
      <c r="D1089" s="53">
        <v>2281.3792290000001</v>
      </c>
      <c r="E1089" s="78">
        <v>3046.8357826836013</v>
      </c>
      <c r="F1089" s="84">
        <v>731.25</v>
      </c>
      <c r="G1089" s="53">
        <v>2127.2775200000001</v>
      </c>
      <c r="H1089" s="78">
        <v>2909.0974632478633</v>
      </c>
      <c r="I1089" s="84">
        <v>570.11</v>
      </c>
      <c r="J1089" s="53">
        <v>1699.9777260000005</v>
      </c>
      <c r="K1089" s="78">
        <v>2981.8416200382389</v>
      </c>
      <c r="L1089" s="84">
        <v>683.37666666666667</v>
      </c>
      <c r="M1089" s="53">
        <v>2036.2114916666669</v>
      </c>
      <c r="N1089" s="78">
        <v>2979.6327428016762</v>
      </c>
    </row>
    <row r="1090" spans="1:14" ht="19.5" customHeight="1" outlineLevel="1" x14ac:dyDescent="0.2">
      <c r="A1090" s="101">
        <v>22</v>
      </c>
      <c r="B1090" s="81" t="s">
        <v>29</v>
      </c>
      <c r="C1090" s="84">
        <v>117.8</v>
      </c>
      <c r="D1090" s="53">
        <v>269.61949543498343</v>
      </c>
      <c r="E1090" s="78">
        <v>2288.7902838283826</v>
      </c>
      <c r="F1090" s="84">
        <v>150.13</v>
      </c>
      <c r="G1090" s="53">
        <v>401.67606846918756</v>
      </c>
      <c r="H1090" s="78">
        <v>2675.5216710130389</v>
      </c>
      <c r="I1090" s="84">
        <v>145.37</v>
      </c>
      <c r="J1090" s="53">
        <v>397.85487144874219</v>
      </c>
      <c r="K1090" s="78">
        <v>2736.8430312220003</v>
      </c>
      <c r="L1090" s="84">
        <v>137.76666666666668</v>
      </c>
      <c r="M1090" s="53">
        <v>356.38347845097104</v>
      </c>
      <c r="N1090" s="78">
        <v>2586.8628970551972</v>
      </c>
    </row>
    <row r="1091" spans="1:14" ht="19.5" customHeight="1" outlineLevel="1" x14ac:dyDescent="0.2">
      <c r="A1091" s="101">
        <v>23</v>
      </c>
      <c r="B1091" s="81" t="s">
        <v>30</v>
      </c>
      <c r="C1091" s="84">
        <v>274.18</v>
      </c>
      <c r="D1091" s="53">
        <v>826.90352899999993</v>
      </c>
      <c r="E1091" s="78">
        <v>3015.9148333211756</v>
      </c>
      <c r="F1091" s="84">
        <v>262.14999999999998</v>
      </c>
      <c r="G1091" s="53">
        <v>560.25057499999991</v>
      </c>
      <c r="H1091" s="78">
        <v>2137.1374213236695</v>
      </c>
      <c r="I1091" s="84">
        <v>262.8</v>
      </c>
      <c r="J1091" s="53">
        <v>740.40470000000016</v>
      </c>
      <c r="K1091" s="78">
        <v>2817.3694824961954</v>
      </c>
      <c r="L1091" s="84">
        <v>266.37666666666661</v>
      </c>
      <c r="M1091" s="53">
        <v>709.18626799999993</v>
      </c>
      <c r="N1091" s="78">
        <v>2662.3438038867271</v>
      </c>
    </row>
    <row r="1092" spans="1:14" ht="19.5" customHeight="1" outlineLevel="1" x14ac:dyDescent="0.2">
      <c r="A1092" s="101">
        <v>24</v>
      </c>
      <c r="B1092" s="81" t="s">
        <v>31</v>
      </c>
      <c r="C1092" s="84">
        <v>584.55999999999995</v>
      </c>
      <c r="D1092" s="53">
        <v>1576.6322979999998</v>
      </c>
      <c r="E1092" s="78">
        <v>2697.1265533050496</v>
      </c>
      <c r="F1092" s="84">
        <v>592.97</v>
      </c>
      <c r="G1092" s="53">
        <v>1558.2013320000001</v>
      </c>
      <c r="H1092" s="78">
        <v>2627.7911732465386</v>
      </c>
      <c r="I1092" s="84">
        <v>589.79</v>
      </c>
      <c r="J1092" s="53">
        <v>1452.0303419999998</v>
      </c>
      <c r="K1092" s="78">
        <v>2461.9446616592345</v>
      </c>
      <c r="L1092" s="84">
        <v>589.10666666666668</v>
      </c>
      <c r="M1092" s="53">
        <v>1528.9546573333334</v>
      </c>
      <c r="N1092" s="78">
        <v>2595.3782970825887</v>
      </c>
    </row>
    <row r="1093" spans="1:14" ht="19.5" customHeight="1" outlineLevel="1" x14ac:dyDescent="0.2">
      <c r="A1093" s="101">
        <v>25</v>
      </c>
      <c r="B1093" s="81" t="s">
        <v>32</v>
      </c>
      <c r="C1093" s="84">
        <v>277.31</v>
      </c>
      <c r="D1093" s="53">
        <v>784.46651366972276</v>
      </c>
      <c r="E1093" s="78">
        <v>2828.8432211954951</v>
      </c>
      <c r="F1093" s="84">
        <v>236.77</v>
      </c>
      <c r="G1093" s="53">
        <v>651.79443948959567</v>
      </c>
      <c r="H1093" s="78">
        <v>2752.8590593808153</v>
      </c>
      <c r="I1093" s="84">
        <v>219.87</v>
      </c>
      <c r="J1093" s="53">
        <v>608.84095667246083</v>
      </c>
      <c r="K1093" s="78">
        <v>2769.0951774796963</v>
      </c>
      <c r="L1093" s="84">
        <v>244.65</v>
      </c>
      <c r="M1093" s="53">
        <v>681.70063661059305</v>
      </c>
      <c r="N1093" s="78">
        <v>2786.4321954244556</v>
      </c>
    </row>
    <row r="1094" spans="1:14" ht="19.5" customHeight="1" outlineLevel="1" x14ac:dyDescent="0.2">
      <c r="A1094" s="101">
        <v>26</v>
      </c>
      <c r="B1094" s="81" t="s">
        <v>33</v>
      </c>
      <c r="C1094" s="84">
        <v>8.9699999999999989</v>
      </c>
      <c r="D1094" s="53">
        <v>29.468633603336691</v>
      </c>
      <c r="E1094" s="78">
        <v>3285.2434340397654</v>
      </c>
      <c r="F1094" s="84">
        <v>7.19</v>
      </c>
      <c r="G1094" s="53">
        <v>18.369137982737175</v>
      </c>
      <c r="H1094" s="78">
        <v>2554.8175219384107</v>
      </c>
      <c r="I1094" s="84">
        <v>6.56</v>
      </c>
      <c r="J1094" s="53">
        <v>20.997616203694697</v>
      </c>
      <c r="K1094" s="78">
        <v>3200.8561286119971</v>
      </c>
      <c r="L1094" s="84">
        <v>7.5733333333333333</v>
      </c>
      <c r="M1094" s="53">
        <v>22.945129263256188</v>
      </c>
      <c r="N1094" s="78">
        <v>3029.7265752538983</v>
      </c>
    </row>
    <row r="1095" spans="1:14" ht="19.5" customHeight="1" outlineLevel="1" x14ac:dyDescent="0.2">
      <c r="A1095" s="101">
        <v>27</v>
      </c>
      <c r="B1095" s="81" t="s">
        <v>34</v>
      </c>
      <c r="C1095" s="84">
        <v>17.23</v>
      </c>
      <c r="D1095" s="53">
        <v>47.503109999999992</v>
      </c>
      <c r="E1095" s="78">
        <v>2756.9999999999995</v>
      </c>
      <c r="F1095" s="84">
        <v>15.86</v>
      </c>
      <c r="G1095" s="53">
        <v>43.879861999999996</v>
      </c>
      <c r="H1095" s="78">
        <v>2766.7</v>
      </c>
      <c r="I1095" s="84">
        <v>29.31</v>
      </c>
      <c r="J1095" s="53">
        <v>80.872151999999986</v>
      </c>
      <c r="K1095" s="78">
        <v>2759.2</v>
      </c>
      <c r="L1095" s="84">
        <v>20.8</v>
      </c>
      <c r="M1095" s="53">
        <v>57.418374666666658</v>
      </c>
      <c r="N1095" s="78">
        <v>2760.4987820512815</v>
      </c>
    </row>
    <row r="1096" spans="1:14" ht="19.5" customHeight="1" outlineLevel="1" x14ac:dyDescent="0.2">
      <c r="A1096" s="101">
        <v>28</v>
      </c>
      <c r="B1096" s="81" t="s">
        <v>35</v>
      </c>
      <c r="C1096" s="84">
        <v>193.75</v>
      </c>
      <c r="D1096" s="53">
        <v>387.64357000000012</v>
      </c>
      <c r="E1096" s="78">
        <v>2000.7410064516134</v>
      </c>
      <c r="F1096" s="84">
        <v>186.32</v>
      </c>
      <c r="G1096" s="53">
        <v>379.88444299999998</v>
      </c>
      <c r="H1096" s="78">
        <v>2038.8817249892656</v>
      </c>
      <c r="I1096" s="84">
        <v>197.77</v>
      </c>
      <c r="J1096" s="53">
        <v>415.65744100000012</v>
      </c>
      <c r="K1096" s="78">
        <v>2101.7213985943272</v>
      </c>
      <c r="L1096" s="84">
        <v>192.61333333333334</v>
      </c>
      <c r="M1096" s="53">
        <v>394.39515133333339</v>
      </c>
      <c r="N1096" s="78">
        <v>2047.6004672573724</v>
      </c>
    </row>
    <row r="1097" spans="1:14" ht="19.5" customHeight="1" outlineLevel="1" x14ac:dyDescent="0.2">
      <c r="A1097" s="101">
        <v>29</v>
      </c>
      <c r="B1097" s="81" t="s">
        <v>36</v>
      </c>
      <c r="C1097" s="84">
        <v>42.36</v>
      </c>
      <c r="D1097" s="53">
        <v>108.72607664174269</v>
      </c>
      <c r="E1097" s="78">
        <v>2566.7156903149835</v>
      </c>
      <c r="F1097" s="84">
        <v>32.770000000000003</v>
      </c>
      <c r="G1097" s="53">
        <v>83.97778353456998</v>
      </c>
      <c r="H1097" s="78">
        <v>2562.6421585160201</v>
      </c>
      <c r="I1097" s="84">
        <v>34.770000000000003</v>
      </c>
      <c r="J1097" s="53">
        <v>93.379984657481202</v>
      </c>
      <c r="K1097" s="78">
        <v>2685.6481063411329</v>
      </c>
      <c r="L1097" s="84">
        <v>36.633333333333333</v>
      </c>
      <c r="M1097" s="53">
        <v>95.36128161126463</v>
      </c>
      <c r="N1097" s="78">
        <v>2603.1287064039479</v>
      </c>
    </row>
    <row r="1098" spans="1:14" ht="19.5" customHeight="1" outlineLevel="1" x14ac:dyDescent="0.2">
      <c r="A1098" s="101">
        <v>30</v>
      </c>
      <c r="B1098" s="81" t="s">
        <v>37</v>
      </c>
      <c r="C1098" s="84">
        <v>0.35</v>
      </c>
      <c r="D1098" s="53">
        <v>1.1285676116712717</v>
      </c>
      <c r="E1098" s="78">
        <v>3224.4788904893485</v>
      </c>
      <c r="F1098" s="84">
        <v>0</v>
      </c>
      <c r="G1098" s="53">
        <v>0</v>
      </c>
      <c r="H1098" s="78">
        <v>0</v>
      </c>
      <c r="I1098" s="84">
        <v>1.48</v>
      </c>
      <c r="J1098" s="53">
        <v>1.4753846753342112</v>
      </c>
      <c r="K1098" s="78">
        <v>996.88153738798064</v>
      </c>
      <c r="L1098" s="84">
        <v>0.91500000000000004</v>
      </c>
      <c r="M1098" s="53">
        <v>1.3019761435027415</v>
      </c>
      <c r="N1098" s="78">
        <v>1422.9247469975317</v>
      </c>
    </row>
    <row r="1099" spans="1:14" ht="19.5" customHeight="1" outlineLevel="1" x14ac:dyDescent="0.2">
      <c r="A1099" s="101">
        <v>31</v>
      </c>
      <c r="B1099" s="81" t="s">
        <v>38</v>
      </c>
      <c r="C1099" s="84">
        <v>0.33</v>
      </c>
      <c r="D1099" s="53">
        <v>1.064078033861485</v>
      </c>
      <c r="E1099" s="78">
        <v>3224.4788904893485</v>
      </c>
      <c r="F1099" s="84">
        <v>0.1</v>
      </c>
      <c r="G1099" s="53">
        <v>0.31762318096123637</v>
      </c>
      <c r="H1099" s="78">
        <v>3176.2318096123636</v>
      </c>
      <c r="I1099" s="84">
        <v>0.11</v>
      </c>
      <c r="J1099" s="53">
        <v>0.36575810679822535</v>
      </c>
      <c r="K1099" s="78">
        <v>3325.0736981656851</v>
      </c>
      <c r="L1099" s="84">
        <v>0.18000000000000002</v>
      </c>
      <c r="M1099" s="53">
        <v>0.58248644054031562</v>
      </c>
      <c r="N1099" s="78">
        <v>3236.0357807795308</v>
      </c>
    </row>
    <row r="1100" spans="1:14" ht="19.5" customHeight="1" outlineLevel="1" x14ac:dyDescent="0.2">
      <c r="A1100" s="101">
        <v>32</v>
      </c>
      <c r="B1100" s="81" t="s">
        <v>39</v>
      </c>
      <c r="C1100" s="84">
        <v>0</v>
      </c>
      <c r="D1100" s="53">
        <v>0</v>
      </c>
      <c r="E1100" s="78">
        <v>0</v>
      </c>
      <c r="F1100" s="84">
        <v>0</v>
      </c>
      <c r="G1100" s="53">
        <v>0</v>
      </c>
      <c r="H1100" s="78">
        <v>0</v>
      </c>
      <c r="I1100" s="84">
        <v>0</v>
      </c>
      <c r="J1100" s="53">
        <v>0</v>
      </c>
      <c r="K1100" s="78">
        <v>0</v>
      </c>
      <c r="L1100" s="84">
        <v>0</v>
      </c>
      <c r="M1100" s="53">
        <v>0</v>
      </c>
      <c r="N1100" s="78">
        <v>0</v>
      </c>
    </row>
    <row r="1101" spans="1:14" ht="19.5" customHeight="1" outlineLevel="1" thickBot="1" x14ac:dyDescent="0.25">
      <c r="A1101" s="102">
        <v>33</v>
      </c>
      <c r="B1101" s="91" t="s">
        <v>40</v>
      </c>
      <c r="C1101" s="92">
        <v>40.24</v>
      </c>
      <c r="D1101" s="93">
        <v>121.03637225666758</v>
      </c>
      <c r="E1101" s="94">
        <v>3007.862133614999</v>
      </c>
      <c r="F1101" s="92">
        <v>40.119999999999997</v>
      </c>
      <c r="G1101" s="93">
        <v>132.23574198019801</v>
      </c>
      <c r="H1101" s="94">
        <v>3296.005532906232</v>
      </c>
      <c r="I1101" s="92">
        <v>41.4</v>
      </c>
      <c r="J1101" s="93">
        <v>114.02179870152256</v>
      </c>
      <c r="K1101" s="94">
        <v>2754.1497270899167</v>
      </c>
      <c r="L1101" s="92">
        <v>40.586666666666666</v>
      </c>
      <c r="M1101" s="93">
        <v>122.43130431279606</v>
      </c>
      <c r="N1101" s="94">
        <v>3016.5400208474716</v>
      </c>
    </row>
    <row r="1102" spans="1:14" ht="19.5" customHeight="1" thickBot="1" x14ac:dyDescent="0.25">
      <c r="A1102" s="151" t="s">
        <v>41</v>
      </c>
      <c r="B1102" s="152"/>
      <c r="C1102" s="96">
        <v>12928.419999999998</v>
      </c>
      <c r="D1102" s="97">
        <v>41039.495465681561</v>
      </c>
      <c r="E1102" s="98">
        <v>3174.3627965119917</v>
      </c>
      <c r="F1102" s="96">
        <v>12464.120000000003</v>
      </c>
      <c r="G1102" s="97">
        <v>39031.068974506932</v>
      </c>
      <c r="H1102" s="98">
        <v>3131.4741012206978</v>
      </c>
      <c r="I1102" s="96">
        <v>13708.150000000001</v>
      </c>
      <c r="J1102" s="97">
        <v>44972.229121991208</v>
      </c>
      <c r="K1102" s="98">
        <v>3280.6928084381339</v>
      </c>
      <c r="L1102" s="96">
        <v>13033.563333333334</v>
      </c>
      <c r="M1102" s="97">
        <v>41680.931187393231</v>
      </c>
      <c r="N1102" s="98">
        <v>3197.9689760507986</v>
      </c>
    </row>
    <row r="1103" spans="1:14" ht="34.5" customHeight="1" x14ac:dyDescent="0.2">
      <c r="A1103" s="153" t="s">
        <v>247</v>
      </c>
      <c r="B1103" s="154"/>
      <c r="C1103" s="154"/>
      <c r="D1103" s="154"/>
      <c r="E1103" s="154"/>
      <c r="F1103" s="154"/>
      <c r="G1103" s="154"/>
      <c r="H1103" s="154"/>
      <c r="I1103" s="154"/>
      <c r="J1103" s="154"/>
      <c r="K1103" s="154"/>
      <c r="L1103" s="154"/>
      <c r="M1103" s="154"/>
      <c r="N1103" s="154"/>
    </row>
    <row r="1104" spans="1:14" ht="19.5" customHeight="1" thickBot="1" x14ac:dyDescent="0.25">
      <c r="A1104" s="50"/>
      <c r="B1104" s="138" t="s">
        <v>71</v>
      </c>
      <c r="C1104" s="52"/>
      <c r="D1104" s="52"/>
      <c r="E1104" s="52"/>
      <c r="F1104" s="52"/>
      <c r="G1104" s="52"/>
      <c r="H1104" s="52"/>
      <c r="I1104" s="52"/>
      <c r="J1104" s="52"/>
      <c r="K1104" s="155" t="s">
        <v>1</v>
      </c>
      <c r="L1104" s="154"/>
      <c r="M1104" s="154"/>
      <c r="N1104" s="154"/>
    </row>
    <row r="1105" spans="1:14" ht="19.5" customHeight="1" x14ac:dyDescent="0.2">
      <c r="A1105" s="156" t="s">
        <v>2</v>
      </c>
      <c r="B1105" s="158" t="s">
        <v>3</v>
      </c>
      <c r="C1105" s="148" t="s">
        <v>243</v>
      </c>
      <c r="D1105" s="149"/>
      <c r="E1105" s="150"/>
      <c r="F1105" s="148" t="s">
        <v>244</v>
      </c>
      <c r="G1105" s="149"/>
      <c r="H1105" s="150"/>
      <c r="I1105" s="148" t="s">
        <v>246</v>
      </c>
      <c r="J1105" s="149"/>
      <c r="K1105" s="150"/>
      <c r="L1105" s="148" t="s">
        <v>4</v>
      </c>
      <c r="M1105" s="149"/>
      <c r="N1105" s="150"/>
    </row>
    <row r="1106" spans="1:14" ht="19.5" customHeight="1" thickBot="1" x14ac:dyDescent="0.25">
      <c r="A1106" s="157"/>
      <c r="B1106" s="159"/>
      <c r="C1106" s="85" t="s">
        <v>5</v>
      </c>
      <c r="D1106" s="79" t="s">
        <v>6</v>
      </c>
      <c r="E1106" s="80" t="s">
        <v>7</v>
      </c>
      <c r="F1106" s="85" t="s">
        <v>5</v>
      </c>
      <c r="G1106" s="79" t="s">
        <v>6</v>
      </c>
      <c r="H1106" s="80" t="s">
        <v>7</v>
      </c>
      <c r="I1106" s="85" t="s">
        <v>5</v>
      </c>
      <c r="J1106" s="79" t="s">
        <v>6</v>
      </c>
      <c r="K1106" s="80" t="s">
        <v>7</v>
      </c>
      <c r="L1106" s="85" t="s">
        <v>5</v>
      </c>
      <c r="M1106" s="79" t="s">
        <v>6</v>
      </c>
      <c r="N1106" s="80" t="s">
        <v>7</v>
      </c>
    </row>
    <row r="1107" spans="1:14" ht="19.5" customHeight="1" outlineLevel="1" x14ac:dyDescent="0.2">
      <c r="A1107" s="100">
        <v>1</v>
      </c>
      <c r="B1107" s="86" t="s">
        <v>8</v>
      </c>
      <c r="C1107" s="87">
        <v>0</v>
      </c>
      <c r="D1107" s="88">
        <v>0</v>
      </c>
      <c r="E1107" s="89">
        <v>0</v>
      </c>
      <c r="F1107" s="87">
        <v>0</v>
      </c>
      <c r="G1107" s="88">
        <v>0</v>
      </c>
      <c r="H1107" s="89">
        <v>0</v>
      </c>
      <c r="I1107" s="87">
        <v>0</v>
      </c>
      <c r="J1107" s="88">
        <v>0</v>
      </c>
      <c r="K1107" s="89">
        <v>0</v>
      </c>
      <c r="L1107" s="87">
        <v>0</v>
      </c>
      <c r="M1107" s="88">
        <v>0</v>
      </c>
      <c r="N1107" s="89">
        <v>0</v>
      </c>
    </row>
    <row r="1108" spans="1:14" ht="19.5" customHeight="1" outlineLevel="1" x14ac:dyDescent="0.2">
      <c r="A1108" s="101">
        <v>2</v>
      </c>
      <c r="B1108" s="81" t="s">
        <v>9</v>
      </c>
      <c r="C1108" s="84">
        <v>0</v>
      </c>
      <c r="D1108" s="53">
        <v>0</v>
      </c>
      <c r="E1108" s="78">
        <v>0</v>
      </c>
      <c r="F1108" s="84">
        <v>0</v>
      </c>
      <c r="G1108" s="53">
        <v>0</v>
      </c>
      <c r="H1108" s="78">
        <v>0</v>
      </c>
      <c r="I1108" s="84">
        <v>0</v>
      </c>
      <c r="J1108" s="53">
        <v>0</v>
      </c>
      <c r="K1108" s="78">
        <v>0</v>
      </c>
      <c r="L1108" s="84">
        <v>0</v>
      </c>
      <c r="M1108" s="53">
        <v>0</v>
      </c>
      <c r="N1108" s="78">
        <v>0</v>
      </c>
    </row>
    <row r="1109" spans="1:14" ht="19.5" customHeight="1" outlineLevel="1" x14ac:dyDescent="0.2">
      <c r="A1109" s="101">
        <v>3</v>
      </c>
      <c r="B1109" s="81" t="s">
        <v>10</v>
      </c>
      <c r="C1109" s="84">
        <v>0</v>
      </c>
      <c r="D1109" s="53">
        <v>0</v>
      </c>
      <c r="E1109" s="78">
        <v>0</v>
      </c>
      <c r="F1109" s="84">
        <v>0</v>
      </c>
      <c r="G1109" s="53">
        <v>0</v>
      </c>
      <c r="H1109" s="78">
        <v>0</v>
      </c>
      <c r="I1109" s="84">
        <v>0</v>
      </c>
      <c r="J1109" s="53">
        <v>0</v>
      </c>
      <c r="K1109" s="78">
        <v>0</v>
      </c>
      <c r="L1109" s="84">
        <v>0</v>
      </c>
      <c r="M1109" s="53">
        <v>0</v>
      </c>
      <c r="N1109" s="78">
        <v>0</v>
      </c>
    </row>
    <row r="1110" spans="1:14" ht="19.5" customHeight="1" outlineLevel="1" x14ac:dyDescent="0.2">
      <c r="A1110" s="101">
        <v>4</v>
      </c>
      <c r="B1110" s="81" t="s">
        <v>11</v>
      </c>
      <c r="C1110" s="84">
        <v>0</v>
      </c>
      <c r="D1110" s="53">
        <v>0</v>
      </c>
      <c r="E1110" s="78">
        <v>0</v>
      </c>
      <c r="F1110" s="84">
        <v>0</v>
      </c>
      <c r="G1110" s="53">
        <v>0</v>
      </c>
      <c r="H1110" s="78">
        <v>0</v>
      </c>
      <c r="I1110" s="84">
        <v>0</v>
      </c>
      <c r="J1110" s="53">
        <v>0</v>
      </c>
      <c r="K1110" s="78">
        <v>0</v>
      </c>
      <c r="L1110" s="84">
        <v>0</v>
      </c>
      <c r="M1110" s="53">
        <v>0</v>
      </c>
      <c r="N1110" s="78">
        <v>0</v>
      </c>
    </row>
    <row r="1111" spans="1:14" ht="19.5" customHeight="1" outlineLevel="1" x14ac:dyDescent="0.2">
      <c r="A1111" s="101">
        <v>5</v>
      </c>
      <c r="B1111" s="81" t="s">
        <v>12</v>
      </c>
      <c r="C1111" s="84">
        <v>0</v>
      </c>
      <c r="D1111" s="53">
        <v>0</v>
      </c>
      <c r="E1111" s="78">
        <v>0</v>
      </c>
      <c r="F1111" s="84">
        <v>0</v>
      </c>
      <c r="G1111" s="53">
        <v>0</v>
      </c>
      <c r="H1111" s="78">
        <v>0</v>
      </c>
      <c r="I1111" s="84">
        <v>0</v>
      </c>
      <c r="J1111" s="53">
        <v>0</v>
      </c>
      <c r="K1111" s="78">
        <v>0</v>
      </c>
      <c r="L1111" s="84">
        <v>0</v>
      </c>
      <c r="M1111" s="53">
        <v>0</v>
      </c>
      <c r="N1111" s="78">
        <v>0</v>
      </c>
    </row>
    <row r="1112" spans="1:14" ht="19.5" customHeight="1" outlineLevel="1" x14ac:dyDescent="0.2">
      <c r="A1112" s="101">
        <v>6</v>
      </c>
      <c r="B1112" s="81" t="s">
        <v>13</v>
      </c>
      <c r="C1112" s="84">
        <v>0</v>
      </c>
      <c r="D1112" s="53">
        <v>0</v>
      </c>
      <c r="E1112" s="78">
        <v>0</v>
      </c>
      <c r="F1112" s="84">
        <v>0</v>
      </c>
      <c r="G1112" s="53">
        <v>0</v>
      </c>
      <c r="H1112" s="78">
        <v>0</v>
      </c>
      <c r="I1112" s="84">
        <v>0</v>
      </c>
      <c r="J1112" s="53">
        <v>0</v>
      </c>
      <c r="K1112" s="78">
        <v>0</v>
      </c>
      <c r="L1112" s="84">
        <v>0</v>
      </c>
      <c r="M1112" s="53">
        <v>0</v>
      </c>
      <c r="N1112" s="78">
        <v>0</v>
      </c>
    </row>
    <row r="1113" spans="1:14" ht="19.5" customHeight="1" outlineLevel="1" x14ac:dyDescent="0.2">
      <c r="A1113" s="101">
        <v>7</v>
      </c>
      <c r="B1113" s="81" t="s">
        <v>14</v>
      </c>
      <c r="C1113" s="84">
        <v>0</v>
      </c>
      <c r="D1113" s="53">
        <v>0</v>
      </c>
      <c r="E1113" s="78">
        <v>0</v>
      </c>
      <c r="F1113" s="84">
        <v>0</v>
      </c>
      <c r="G1113" s="53">
        <v>0</v>
      </c>
      <c r="H1113" s="78">
        <v>0</v>
      </c>
      <c r="I1113" s="84">
        <v>0</v>
      </c>
      <c r="J1113" s="53">
        <v>0</v>
      </c>
      <c r="K1113" s="78">
        <v>0</v>
      </c>
      <c r="L1113" s="84">
        <v>0</v>
      </c>
      <c r="M1113" s="53">
        <v>0</v>
      </c>
      <c r="N1113" s="78">
        <v>0</v>
      </c>
    </row>
    <row r="1114" spans="1:14" ht="19.5" customHeight="1" outlineLevel="1" x14ac:dyDescent="0.2">
      <c r="A1114" s="101">
        <v>8</v>
      </c>
      <c r="B1114" s="81" t="s">
        <v>15</v>
      </c>
      <c r="C1114" s="84">
        <v>0</v>
      </c>
      <c r="D1114" s="53">
        <v>0</v>
      </c>
      <c r="E1114" s="78">
        <v>0</v>
      </c>
      <c r="F1114" s="84">
        <v>0</v>
      </c>
      <c r="G1114" s="53">
        <v>0</v>
      </c>
      <c r="H1114" s="78">
        <v>0</v>
      </c>
      <c r="I1114" s="84">
        <v>1.05</v>
      </c>
      <c r="J1114" s="53">
        <v>1.8621475364225368</v>
      </c>
      <c r="K1114" s="78">
        <v>1773.4738442119399</v>
      </c>
      <c r="L1114" s="84">
        <v>1.05</v>
      </c>
      <c r="M1114" s="53">
        <v>1.8621475364225368</v>
      </c>
      <c r="N1114" s="78">
        <v>1773.4738442119399</v>
      </c>
    </row>
    <row r="1115" spans="1:14" ht="19.5" customHeight="1" outlineLevel="1" x14ac:dyDescent="0.2">
      <c r="A1115" s="101">
        <v>9</v>
      </c>
      <c r="B1115" s="81" t="s">
        <v>16</v>
      </c>
      <c r="C1115" s="84">
        <v>0</v>
      </c>
      <c r="D1115" s="53">
        <v>0</v>
      </c>
      <c r="E1115" s="78">
        <v>0</v>
      </c>
      <c r="F1115" s="84">
        <v>0</v>
      </c>
      <c r="G1115" s="53">
        <v>0</v>
      </c>
      <c r="H1115" s="78">
        <v>0</v>
      </c>
      <c r="I1115" s="84">
        <v>0</v>
      </c>
      <c r="J1115" s="53">
        <v>0</v>
      </c>
      <c r="K1115" s="78">
        <v>0</v>
      </c>
      <c r="L1115" s="84">
        <v>0</v>
      </c>
      <c r="M1115" s="53">
        <v>0</v>
      </c>
      <c r="N1115" s="78">
        <v>0</v>
      </c>
    </row>
    <row r="1116" spans="1:14" ht="19.5" customHeight="1" outlineLevel="1" x14ac:dyDescent="0.2">
      <c r="A1116" s="101">
        <v>10</v>
      </c>
      <c r="B1116" s="81" t="s">
        <v>17</v>
      </c>
      <c r="C1116" s="84">
        <v>0</v>
      </c>
      <c r="D1116" s="53">
        <v>0</v>
      </c>
      <c r="E1116" s="78">
        <v>0</v>
      </c>
      <c r="F1116" s="84">
        <v>0</v>
      </c>
      <c r="G1116" s="53">
        <v>0</v>
      </c>
      <c r="H1116" s="78">
        <v>0</v>
      </c>
      <c r="I1116" s="84">
        <v>0</v>
      </c>
      <c r="J1116" s="53">
        <v>0</v>
      </c>
      <c r="K1116" s="78">
        <v>0</v>
      </c>
      <c r="L1116" s="84">
        <v>0</v>
      </c>
      <c r="M1116" s="53">
        <v>0</v>
      </c>
      <c r="N1116" s="78">
        <v>0</v>
      </c>
    </row>
    <row r="1117" spans="1:14" ht="19.5" customHeight="1" outlineLevel="1" x14ac:dyDescent="0.2">
      <c r="A1117" s="101">
        <v>11</v>
      </c>
      <c r="B1117" s="81" t="s">
        <v>18</v>
      </c>
      <c r="C1117" s="84">
        <v>0</v>
      </c>
      <c r="D1117" s="53">
        <v>0</v>
      </c>
      <c r="E1117" s="78">
        <v>0</v>
      </c>
      <c r="F1117" s="84">
        <v>0</v>
      </c>
      <c r="G1117" s="53">
        <v>0</v>
      </c>
      <c r="H1117" s="78">
        <v>0</v>
      </c>
      <c r="I1117" s="84">
        <v>0</v>
      </c>
      <c r="J1117" s="53">
        <v>0</v>
      </c>
      <c r="K1117" s="78">
        <v>0</v>
      </c>
      <c r="L1117" s="84">
        <v>0</v>
      </c>
      <c r="M1117" s="53">
        <v>0</v>
      </c>
      <c r="N1117" s="78">
        <v>0</v>
      </c>
    </row>
    <row r="1118" spans="1:14" ht="19.5" customHeight="1" outlineLevel="1" x14ac:dyDescent="0.2">
      <c r="A1118" s="101">
        <v>12</v>
      </c>
      <c r="B1118" s="81" t="s">
        <v>19</v>
      </c>
      <c r="C1118" s="84">
        <v>0</v>
      </c>
      <c r="D1118" s="53">
        <v>0</v>
      </c>
      <c r="E1118" s="78">
        <v>0</v>
      </c>
      <c r="F1118" s="84">
        <v>0</v>
      </c>
      <c r="G1118" s="53">
        <v>0</v>
      </c>
      <c r="H1118" s="78">
        <v>0</v>
      </c>
      <c r="I1118" s="84">
        <v>0</v>
      </c>
      <c r="J1118" s="53">
        <v>0</v>
      </c>
      <c r="K1118" s="78">
        <v>0</v>
      </c>
      <c r="L1118" s="84">
        <v>0</v>
      </c>
      <c r="M1118" s="53">
        <v>0</v>
      </c>
      <c r="N1118" s="78">
        <v>0</v>
      </c>
    </row>
    <row r="1119" spans="1:14" ht="19.5" customHeight="1" outlineLevel="1" x14ac:dyDescent="0.2">
      <c r="A1119" s="101">
        <v>13</v>
      </c>
      <c r="B1119" s="81" t="s">
        <v>20</v>
      </c>
      <c r="C1119" s="84">
        <v>0</v>
      </c>
      <c r="D1119" s="53">
        <v>0</v>
      </c>
      <c r="E1119" s="78">
        <v>0</v>
      </c>
      <c r="F1119" s="84">
        <v>0</v>
      </c>
      <c r="G1119" s="53">
        <v>0</v>
      </c>
      <c r="H1119" s="78">
        <v>0</v>
      </c>
      <c r="I1119" s="84">
        <v>0</v>
      </c>
      <c r="J1119" s="53">
        <v>0</v>
      </c>
      <c r="K1119" s="78">
        <v>0</v>
      </c>
      <c r="L1119" s="84">
        <v>0</v>
      </c>
      <c r="M1119" s="53">
        <v>0</v>
      </c>
      <c r="N1119" s="78">
        <v>0</v>
      </c>
    </row>
    <row r="1120" spans="1:14" ht="19.5" customHeight="1" outlineLevel="1" x14ac:dyDescent="0.2">
      <c r="A1120" s="101">
        <v>14</v>
      </c>
      <c r="B1120" s="81" t="s">
        <v>21</v>
      </c>
      <c r="C1120" s="84">
        <v>47.05</v>
      </c>
      <c r="D1120" s="53">
        <v>85.24761500000001</v>
      </c>
      <c r="E1120" s="78">
        <v>1811.8515409139216</v>
      </c>
      <c r="F1120" s="84">
        <v>118.9</v>
      </c>
      <c r="G1120" s="53">
        <v>238.00462772569441</v>
      </c>
      <c r="H1120" s="78">
        <v>2001.7210069444441</v>
      </c>
      <c r="I1120" s="84">
        <v>34.25</v>
      </c>
      <c r="J1120" s="53">
        <v>56.569891891891892</v>
      </c>
      <c r="K1120" s="78">
        <v>1651.6756756756756</v>
      </c>
      <c r="L1120" s="84">
        <v>66.733333333333334</v>
      </c>
      <c r="M1120" s="53">
        <v>126.6073782058621</v>
      </c>
      <c r="N1120" s="78">
        <v>1897.2134596283031</v>
      </c>
    </row>
    <row r="1121" spans="1:14" ht="19.5" customHeight="1" outlineLevel="1" x14ac:dyDescent="0.2">
      <c r="A1121" s="101">
        <v>15</v>
      </c>
      <c r="B1121" s="81" t="s">
        <v>22</v>
      </c>
      <c r="C1121" s="84">
        <v>5.3</v>
      </c>
      <c r="D1121" s="53">
        <v>8.357759883804583</v>
      </c>
      <c r="E1121" s="78">
        <v>1576.9358271329402</v>
      </c>
      <c r="F1121" s="84">
        <v>0.1</v>
      </c>
      <c r="G1121" s="53">
        <v>0.18009689614896174</v>
      </c>
      <c r="H1121" s="78">
        <v>1800.9689614896174</v>
      </c>
      <c r="I1121" s="84">
        <v>1.05</v>
      </c>
      <c r="J1121" s="53">
        <v>1.8621475364225368</v>
      </c>
      <c r="K1121" s="78">
        <v>1773.4738442119399</v>
      </c>
      <c r="L1121" s="84">
        <v>2.15</v>
      </c>
      <c r="M1121" s="53">
        <v>3.4666681054586941</v>
      </c>
      <c r="N1121" s="78">
        <v>1612.4037699807882</v>
      </c>
    </row>
    <row r="1122" spans="1:14" ht="19.5" customHeight="1" outlineLevel="1" x14ac:dyDescent="0.2">
      <c r="A1122" s="101">
        <v>16</v>
      </c>
      <c r="B1122" s="81" t="s">
        <v>23</v>
      </c>
      <c r="C1122" s="84">
        <v>11.3</v>
      </c>
      <c r="D1122" s="53">
        <v>27.097399999999997</v>
      </c>
      <c r="E1122" s="78">
        <v>2397.9999999999995</v>
      </c>
      <c r="F1122" s="84">
        <v>22.95</v>
      </c>
      <c r="G1122" s="53">
        <v>50.251549500000003</v>
      </c>
      <c r="H1122" s="78">
        <v>2189.61</v>
      </c>
      <c r="I1122" s="84">
        <v>27.2</v>
      </c>
      <c r="J1122" s="53">
        <v>69.250383999999997</v>
      </c>
      <c r="K1122" s="78">
        <v>2545.9699999999998</v>
      </c>
      <c r="L1122" s="84">
        <v>20.483333333333334</v>
      </c>
      <c r="M1122" s="53">
        <v>48.8664445</v>
      </c>
      <c r="N1122" s="78">
        <v>2385.6685679414154</v>
      </c>
    </row>
    <row r="1123" spans="1:14" ht="19.5" customHeight="1" outlineLevel="1" x14ac:dyDescent="0.2">
      <c r="A1123" s="101">
        <v>17</v>
      </c>
      <c r="B1123" s="81" t="s">
        <v>24</v>
      </c>
      <c r="C1123" s="84">
        <v>2.12</v>
      </c>
      <c r="D1123" s="53">
        <v>3.3431039535218332</v>
      </c>
      <c r="E1123" s="78">
        <v>1576.9358271329402</v>
      </c>
      <c r="F1123" s="84">
        <v>0.87</v>
      </c>
      <c r="G1123" s="53">
        <v>1.5668429964959671</v>
      </c>
      <c r="H1123" s="78">
        <v>1800.9689614896174</v>
      </c>
      <c r="I1123" s="84">
        <v>0</v>
      </c>
      <c r="J1123" s="53">
        <v>0</v>
      </c>
      <c r="K1123" s="78">
        <v>0</v>
      </c>
      <c r="L1123" s="84">
        <v>1.4950000000000001</v>
      </c>
      <c r="M1123" s="53">
        <v>2.4549734750089001</v>
      </c>
      <c r="N1123" s="78">
        <v>1642.1227257584615</v>
      </c>
    </row>
    <row r="1124" spans="1:14" ht="19.5" customHeight="1" outlineLevel="1" x14ac:dyDescent="0.2">
      <c r="A1124" s="101">
        <v>18</v>
      </c>
      <c r="B1124" s="81" t="s">
        <v>25</v>
      </c>
      <c r="C1124" s="84">
        <v>0.47</v>
      </c>
      <c r="D1124" s="53">
        <v>0.74115983875248181</v>
      </c>
      <c r="E1124" s="78">
        <v>1576.9358271329402</v>
      </c>
      <c r="F1124" s="84">
        <v>0</v>
      </c>
      <c r="G1124" s="53">
        <v>0</v>
      </c>
      <c r="H1124" s="78">
        <v>0</v>
      </c>
      <c r="I1124" s="84">
        <v>0</v>
      </c>
      <c r="J1124" s="53">
        <v>0</v>
      </c>
      <c r="K1124" s="78">
        <v>0</v>
      </c>
      <c r="L1124" s="84">
        <v>0.47</v>
      </c>
      <c r="M1124" s="53">
        <v>0.74115983875248181</v>
      </c>
      <c r="N1124" s="78">
        <v>1576.9358271329402</v>
      </c>
    </row>
    <row r="1125" spans="1:14" ht="19.5" customHeight="1" outlineLevel="1" x14ac:dyDescent="0.2">
      <c r="A1125" s="101">
        <v>19</v>
      </c>
      <c r="B1125" s="81" t="s">
        <v>26</v>
      </c>
      <c r="C1125" s="84">
        <v>0</v>
      </c>
      <c r="D1125" s="53">
        <v>0</v>
      </c>
      <c r="E1125" s="78">
        <v>0</v>
      </c>
      <c r="F1125" s="84">
        <v>0</v>
      </c>
      <c r="G1125" s="53">
        <v>0</v>
      </c>
      <c r="H1125" s="78">
        <v>0</v>
      </c>
      <c r="I1125" s="84">
        <v>0</v>
      </c>
      <c r="J1125" s="53">
        <v>0</v>
      </c>
      <c r="K1125" s="78">
        <v>0</v>
      </c>
      <c r="L1125" s="84">
        <v>0</v>
      </c>
      <c r="M1125" s="53">
        <v>0</v>
      </c>
      <c r="N1125" s="78">
        <v>0</v>
      </c>
    </row>
    <row r="1126" spans="1:14" ht="19.5" customHeight="1" outlineLevel="1" x14ac:dyDescent="0.2">
      <c r="A1126" s="101">
        <v>20</v>
      </c>
      <c r="B1126" s="81" t="s">
        <v>27</v>
      </c>
      <c r="C1126" s="84">
        <v>0</v>
      </c>
      <c r="D1126" s="53">
        <v>0</v>
      </c>
      <c r="E1126" s="78">
        <v>0</v>
      </c>
      <c r="F1126" s="84">
        <v>0.04</v>
      </c>
      <c r="G1126" s="53">
        <v>7.2038758459584698E-2</v>
      </c>
      <c r="H1126" s="78">
        <v>1800.9689614896174</v>
      </c>
      <c r="I1126" s="84">
        <v>0.02</v>
      </c>
      <c r="J1126" s="53">
        <v>3.54694768842388E-2</v>
      </c>
      <c r="K1126" s="78">
        <v>1773.4738442119399</v>
      </c>
      <c r="L1126" s="84">
        <v>0.03</v>
      </c>
      <c r="M1126" s="53">
        <v>5.3754117671911752E-2</v>
      </c>
      <c r="N1126" s="78">
        <v>1791.8039223970584</v>
      </c>
    </row>
    <row r="1127" spans="1:14" ht="19.5" customHeight="1" outlineLevel="1" x14ac:dyDescent="0.2">
      <c r="A1127" s="101">
        <v>21</v>
      </c>
      <c r="B1127" s="81" t="s">
        <v>28</v>
      </c>
      <c r="C1127" s="84">
        <v>0</v>
      </c>
      <c r="D1127" s="53">
        <v>0</v>
      </c>
      <c r="E1127" s="78">
        <v>0</v>
      </c>
      <c r="F1127" s="84">
        <v>0.23</v>
      </c>
      <c r="G1127" s="53">
        <v>0.41422286114261203</v>
      </c>
      <c r="H1127" s="78">
        <v>1800.9689614896174</v>
      </c>
      <c r="I1127" s="84">
        <v>0.14000000000000001</v>
      </c>
      <c r="J1127" s="53">
        <v>0.24828633818967161</v>
      </c>
      <c r="K1127" s="78">
        <v>1773.4738442119399</v>
      </c>
      <c r="L1127" s="84">
        <v>0.185</v>
      </c>
      <c r="M1127" s="53">
        <v>0.33125459966614179</v>
      </c>
      <c r="N1127" s="78">
        <v>1790.5654036007666</v>
      </c>
    </row>
    <row r="1128" spans="1:14" ht="19.5" customHeight="1" outlineLevel="1" x14ac:dyDescent="0.2">
      <c r="A1128" s="101">
        <v>22</v>
      </c>
      <c r="B1128" s="81" t="s">
        <v>29</v>
      </c>
      <c r="C1128" s="84">
        <v>0</v>
      </c>
      <c r="D1128" s="53">
        <v>0</v>
      </c>
      <c r="E1128" s="78">
        <v>0</v>
      </c>
      <c r="F1128" s="84">
        <v>0</v>
      </c>
      <c r="G1128" s="53">
        <v>0</v>
      </c>
      <c r="H1128" s="78">
        <v>0</v>
      </c>
      <c r="I1128" s="84">
        <v>0</v>
      </c>
      <c r="J1128" s="53">
        <v>0</v>
      </c>
      <c r="K1128" s="78">
        <v>0</v>
      </c>
      <c r="L1128" s="84">
        <v>0</v>
      </c>
      <c r="M1128" s="53">
        <v>0</v>
      </c>
      <c r="N1128" s="78">
        <v>0</v>
      </c>
    </row>
    <row r="1129" spans="1:14" ht="19.5" customHeight="1" outlineLevel="1" x14ac:dyDescent="0.2">
      <c r="A1129" s="101">
        <v>23</v>
      </c>
      <c r="B1129" s="81" t="s">
        <v>30</v>
      </c>
      <c r="C1129" s="84">
        <v>0</v>
      </c>
      <c r="D1129" s="53">
        <v>0</v>
      </c>
      <c r="E1129" s="78">
        <v>0</v>
      </c>
      <c r="F1129" s="84">
        <v>0</v>
      </c>
      <c r="G1129" s="53">
        <v>0</v>
      </c>
      <c r="H1129" s="78">
        <v>0</v>
      </c>
      <c r="I1129" s="84">
        <v>0</v>
      </c>
      <c r="J1129" s="53">
        <v>0</v>
      </c>
      <c r="K1129" s="78">
        <v>0</v>
      </c>
      <c r="L1129" s="84">
        <v>0</v>
      </c>
      <c r="M1129" s="53">
        <v>0</v>
      </c>
      <c r="N1129" s="78">
        <v>0</v>
      </c>
    </row>
    <row r="1130" spans="1:14" ht="19.5" customHeight="1" outlineLevel="1" x14ac:dyDescent="0.2">
      <c r="A1130" s="101">
        <v>24</v>
      </c>
      <c r="B1130" s="81" t="s">
        <v>31</v>
      </c>
      <c r="C1130" s="84">
        <v>0</v>
      </c>
      <c r="D1130" s="53">
        <v>0</v>
      </c>
      <c r="E1130" s="78">
        <v>0</v>
      </c>
      <c r="F1130" s="84">
        <v>0</v>
      </c>
      <c r="G1130" s="53">
        <v>0</v>
      </c>
      <c r="H1130" s="78">
        <v>0</v>
      </c>
      <c r="I1130" s="84">
        <v>0</v>
      </c>
      <c r="J1130" s="53">
        <v>0</v>
      </c>
      <c r="K1130" s="78">
        <v>0</v>
      </c>
      <c r="L1130" s="84">
        <v>0</v>
      </c>
      <c r="M1130" s="53">
        <v>0</v>
      </c>
      <c r="N1130" s="78">
        <v>0</v>
      </c>
    </row>
    <row r="1131" spans="1:14" ht="19.5" customHeight="1" outlineLevel="1" x14ac:dyDescent="0.2">
      <c r="A1131" s="101">
        <v>25</v>
      </c>
      <c r="B1131" s="81" t="s">
        <v>32</v>
      </c>
      <c r="C1131" s="84">
        <v>1.8</v>
      </c>
      <c r="D1131" s="53">
        <v>2.8384844888392924</v>
      </c>
      <c r="E1131" s="78">
        <v>1576.9358271329402</v>
      </c>
      <c r="F1131" s="84">
        <v>20.84</v>
      </c>
      <c r="G1131" s="53">
        <v>37.532193157443622</v>
      </c>
      <c r="H1131" s="78">
        <v>1800.9689614896174</v>
      </c>
      <c r="I1131" s="84">
        <v>11.22</v>
      </c>
      <c r="J1131" s="53">
        <v>34.403886</v>
      </c>
      <c r="K1131" s="78">
        <v>3066.2999999999997</v>
      </c>
      <c r="L1131" s="84">
        <v>11.286666666666667</v>
      </c>
      <c r="M1131" s="53">
        <v>24.924854548760973</v>
      </c>
      <c r="N1131" s="78">
        <v>2208.3450574802987</v>
      </c>
    </row>
    <row r="1132" spans="1:14" ht="19.5" customHeight="1" outlineLevel="1" x14ac:dyDescent="0.2">
      <c r="A1132" s="101">
        <v>26</v>
      </c>
      <c r="B1132" s="81" t="s">
        <v>33</v>
      </c>
      <c r="C1132" s="84">
        <v>0.2</v>
      </c>
      <c r="D1132" s="53">
        <v>0.31538716542658807</v>
      </c>
      <c r="E1132" s="78">
        <v>1576.9358271329402</v>
      </c>
      <c r="F1132" s="84">
        <v>1.03</v>
      </c>
      <c r="G1132" s="53">
        <v>1.8549980303343059</v>
      </c>
      <c r="H1132" s="78">
        <v>1800.9689614896174</v>
      </c>
      <c r="I1132" s="84">
        <v>0.37</v>
      </c>
      <c r="J1132" s="53">
        <v>0.65618532235841764</v>
      </c>
      <c r="K1132" s="78">
        <v>1773.4738442119399</v>
      </c>
      <c r="L1132" s="84">
        <v>0.53333333333333333</v>
      </c>
      <c r="M1132" s="53">
        <v>0.94219017270643723</v>
      </c>
      <c r="N1132" s="78">
        <v>1766.6065738245698</v>
      </c>
    </row>
    <row r="1133" spans="1:14" ht="19.5" customHeight="1" outlineLevel="1" x14ac:dyDescent="0.2">
      <c r="A1133" s="101">
        <v>27</v>
      </c>
      <c r="B1133" s="81" t="s">
        <v>34</v>
      </c>
      <c r="C1133" s="84">
        <v>6.86</v>
      </c>
      <c r="D1133" s="53">
        <v>10.817779774131971</v>
      </c>
      <c r="E1133" s="78">
        <v>1576.9358271329402</v>
      </c>
      <c r="F1133" s="84">
        <v>5.55</v>
      </c>
      <c r="G1133" s="53">
        <v>9.9953777362673755</v>
      </c>
      <c r="H1133" s="78">
        <v>1800.9689614896174</v>
      </c>
      <c r="I1133" s="84">
        <v>5.15</v>
      </c>
      <c r="J1133" s="53">
        <v>9.1333902976914914</v>
      </c>
      <c r="K1133" s="78">
        <v>1773.4738442119399</v>
      </c>
      <c r="L1133" s="84">
        <v>5.8533333333333344</v>
      </c>
      <c r="M1133" s="53">
        <v>9.9821826026969465</v>
      </c>
      <c r="N1133" s="78">
        <v>1705.3842715313688</v>
      </c>
    </row>
    <row r="1134" spans="1:14" ht="19.5" customHeight="1" outlineLevel="1" x14ac:dyDescent="0.2">
      <c r="A1134" s="101">
        <v>28</v>
      </c>
      <c r="B1134" s="81" t="s">
        <v>35</v>
      </c>
      <c r="C1134" s="84">
        <v>21.6</v>
      </c>
      <c r="D1134" s="53">
        <v>25.855129756097561</v>
      </c>
      <c r="E1134" s="78">
        <v>1196.9967479674797</v>
      </c>
      <c r="F1134" s="84">
        <v>19.43</v>
      </c>
      <c r="G1134" s="53">
        <v>24.942003148148149</v>
      </c>
      <c r="H1134" s="78">
        <v>1283.6851851851852</v>
      </c>
      <c r="I1134" s="84">
        <v>15.81</v>
      </c>
      <c r="J1134" s="53">
        <v>19.615761168646085</v>
      </c>
      <c r="K1134" s="78">
        <v>1240.7186064924783</v>
      </c>
      <c r="L1134" s="84">
        <v>18.946666666666669</v>
      </c>
      <c r="M1134" s="53">
        <v>23.470964690963935</v>
      </c>
      <c r="N1134" s="78">
        <v>1238.7912398467945</v>
      </c>
    </row>
    <row r="1135" spans="1:14" ht="19.5" customHeight="1" outlineLevel="1" x14ac:dyDescent="0.2">
      <c r="A1135" s="101">
        <v>29</v>
      </c>
      <c r="B1135" s="81" t="s">
        <v>36</v>
      </c>
      <c r="C1135" s="84">
        <v>23.59</v>
      </c>
      <c r="D1135" s="53">
        <v>29.3590882029429</v>
      </c>
      <c r="E1135" s="78">
        <v>1244.55651559741</v>
      </c>
      <c r="F1135" s="84">
        <v>25.31</v>
      </c>
      <c r="G1135" s="53">
        <v>29.290769402489619</v>
      </c>
      <c r="H1135" s="78">
        <v>1157.280497925311</v>
      </c>
      <c r="I1135" s="84">
        <v>25.3</v>
      </c>
      <c r="J1135" s="53">
        <v>28.275891464692485</v>
      </c>
      <c r="K1135" s="78">
        <v>1117.6241685649204</v>
      </c>
      <c r="L1135" s="84">
        <v>24.733333333333334</v>
      </c>
      <c r="M1135" s="53">
        <v>28.975249690041665</v>
      </c>
      <c r="N1135" s="78">
        <v>1171.5060521580187</v>
      </c>
    </row>
    <row r="1136" spans="1:14" ht="19.5" customHeight="1" outlineLevel="1" x14ac:dyDescent="0.2">
      <c r="A1136" s="101">
        <v>30</v>
      </c>
      <c r="B1136" s="81" t="s">
        <v>37</v>
      </c>
      <c r="C1136" s="84">
        <v>0</v>
      </c>
      <c r="D1136" s="53">
        <v>0</v>
      </c>
      <c r="E1136" s="78">
        <v>0</v>
      </c>
      <c r="F1136" s="84">
        <v>0</v>
      </c>
      <c r="G1136" s="53">
        <v>0</v>
      </c>
      <c r="H1136" s="78">
        <v>0</v>
      </c>
      <c r="I1136" s="84">
        <v>0</v>
      </c>
      <c r="J1136" s="53">
        <v>0</v>
      </c>
      <c r="K1136" s="78">
        <v>0</v>
      </c>
      <c r="L1136" s="84">
        <v>0</v>
      </c>
      <c r="M1136" s="53">
        <v>0</v>
      </c>
      <c r="N1136" s="78">
        <v>0</v>
      </c>
    </row>
    <row r="1137" spans="1:14" ht="19.5" customHeight="1" outlineLevel="1" x14ac:dyDescent="0.2">
      <c r="A1137" s="101">
        <v>31</v>
      </c>
      <c r="B1137" s="81" t="s">
        <v>38</v>
      </c>
      <c r="C1137" s="84">
        <v>0.88</v>
      </c>
      <c r="D1137" s="53">
        <v>1.3877035278769874</v>
      </c>
      <c r="E1137" s="78">
        <v>1576.9358271329402</v>
      </c>
      <c r="F1137" s="84">
        <v>0.54</v>
      </c>
      <c r="G1137" s="53">
        <v>0.97252323920439343</v>
      </c>
      <c r="H1137" s="78">
        <v>1800.9689614896174</v>
      </c>
      <c r="I1137" s="84">
        <v>0.55000000000000004</v>
      </c>
      <c r="J1137" s="53">
        <v>0.97541061431656706</v>
      </c>
      <c r="K1137" s="78">
        <v>1773.4738442119399</v>
      </c>
      <c r="L1137" s="84">
        <v>0.65666666666666662</v>
      </c>
      <c r="M1137" s="53">
        <v>1.1118791271326491</v>
      </c>
      <c r="N1137" s="78">
        <v>1693.2169448720545</v>
      </c>
    </row>
    <row r="1138" spans="1:14" ht="19.5" customHeight="1" outlineLevel="1" x14ac:dyDescent="0.2">
      <c r="A1138" s="101">
        <v>32</v>
      </c>
      <c r="B1138" s="81" t="s">
        <v>39</v>
      </c>
      <c r="C1138" s="84">
        <v>0</v>
      </c>
      <c r="D1138" s="53">
        <v>0</v>
      </c>
      <c r="E1138" s="78">
        <v>0</v>
      </c>
      <c r="F1138" s="84">
        <v>0</v>
      </c>
      <c r="G1138" s="53">
        <v>0</v>
      </c>
      <c r="H1138" s="78">
        <v>0</v>
      </c>
      <c r="I1138" s="84">
        <v>0</v>
      </c>
      <c r="J1138" s="53">
        <v>0</v>
      </c>
      <c r="K1138" s="78">
        <v>0</v>
      </c>
      <c r="L1138" s="84">
        <v>0</v>
      </c>
      <c r="M1138" s="53">
        <v>0</v>
      </c>
      <c r="N1138" s="78">
        <v>0</v>
      </c>
    </row>
    <row r="1139" spans="1:14" ht="19.5" customHeight="1" outlineLevel="1" thickBot="1" x14ac:dyDescent="0.25">
      <c r="A1139" s="102">
        <v>33</v>
      </c>
      <c r="B1139" s="91" t="s">
        <v>40</v>
      </c>
      <c r="C1139" s="92">
        <v>11.93</v>
      </c>
      <c r="D1139" s="93">
        <v>14.529547000000001</v>
      </c>
      <c r="E1139" s="94">
        <v>1217.9000000000001</v>
      </c>
      <c r="F1139" s="92">
        <v>14.49</v>
      </c>
      <c r="G1139" s="93">
        <v>19.649888999999998</v>
      </c>
      <c r="H1139" s="94">
        <v>1356.1</v>
      </c>
      <c r="I1139" s="92">
        <v>11.87</v>
      </c>
      <c r="J1139" s="93">
        <v>14.721174</v>
      </c>
      <c r="K1139" s="94">
        <v>1240.2</v>
      </c>
      <c r="L1139" s="92">
        <v>12.763333333333334</v>
      </c>
      <c r="M1139" s="93">
        <v>16.300203333333332</v>
      </c>
      <c r="N1139" s="94">
        <v>1277.1117785322538</v>
      </c>
    </row>
    <row r="1140" spans="1:14" ht="19.5" customHeight="1" thickBot="1" x14ac:dyDescent="0.25">
      <c r="A1140" s="151" t="s">
        <v>41</v>
      </c>
      <c r="B1140" s="152"/>
      <c r="C1140" s="96">
        <v>133.1</v>
      </c>
      <c r="D1140" s="97">
        <v>209.89015859139423</v>
      </c>
      <c r="E1140" s="98">
        <v>1576.9358271329395</v>
      </c>
      <c r="F1140" s="96">
        <v>230.28</v>
      </c>
      <c r="G1140" s="97">
        <v>414.72713245182894</v>
      </c>
      <c r="H1140" s="98">
        <v>1800.9689614896167</v>
      </c>
      <c r="I1140" s="96">
        <v>133.98000000000002</v>
      </c>
      <c r="J1140" s="97">
        <v>237.6100256475159</v>
      </c>
      <c r="K1140" s="98">
        <v>1773.473844211941</v>
      </c>
      <c r="L1140" s="96">
        <v>165.78666666666666</v>
      </c>
      <c r="M1140" s="97">
        <v>287.40910556357971</v>
      </c>
      <c r="N1140" s="98">
        <v>1733.6080840653433</v>
      </c>
    </row>
    <row r="1141" spans="1:14" ht="34.5" customHeight="1" x14ac:dyDescent="0.2">
      <c r="A1141" s="153" t="s">
        <v>247</v>
      </c>
      <c r="B1141" s="154"/>
      <c r="C1141" s="154"/>
      <c r="D1141" s="154"/>
      <c r="E1141" s="154"/>
      <c r="F1141" s="154"/>
      <c r="G1141" s="154"/>
      <c r="H1141" s="154"/>
      <c r="I1141" s="154"/>
      <c r="J1141" s="154"/>
      <c r="K1141" s="154"/>
      <c r="L1141" s="154"/>
      <c r="M1141" s="154"/>
      <c r="N1141" s="154"/>
    </row>
    <row r="1142" spans="1:14" ht="19.5" customHeight="1" thickBot="1" x14ac:dyDescent="0.25">
      <c r="A1142" s="50"/>
      <c r="B1142" s="138" t="s">
        <v>72</v>
      </c>
      <c r="C1142" s="52"/>
      <c r="D1142" s="52"/>
      <c r="E1142" s="52"/>
      <c r="F1142" s="52"/>
      <c r="G1142" s="52"/>
      <c r="H1142" s="52"/>
      <c r="I1142" s="52"/>
      <c r="J1142" s="52"/>
      <c r="K1142" s="155" t="s">
        <v>1</v>
      </c>
      <c r="L1142" s="154"/>
      <c r="M1142" s="154"/>
      <c r="N1142" s="154"/>
    </row>
    <row r="1143" spans="1:14" ht="19.5" customHeight="1" x14ac:dyDescent="0.2">
      <c r="A1143" s="156" t="s">
        <v>2</v>
      </c>
      <c r="B1143" s="158" t="s">
        <v>3</v>
      </c>
      <c r="C1143" s="148" t="s">
        <v>243</v>
      </c>
      <c r="D1143" s="149"/>
      <c r="E1143" s="150"/>
      <c r="F1143" s="148" t="s">
        <v>244</v>
      </c>
      <c r="G1143" s="149"/>
      <c r="H1143" s="150"/>
      <c r="I1143" s="148" t="s">
        <v>246</v>
      </c>
      <c r="J1143" s="149"/>
      <c r="K1143" s="150"/>
      <c r="L1143" s="148" t="s">
        <v>4</v>
      </c>
      <c r="M1143" s="149"/>
      <c r="N1143" s="150"/>
    </row>
    <row r="1144" spans="1:14" ht="19.5" customHeight="1" thickBot="1" x14ac:dyDescent="0.25">
      <c r="A1144" s="157"/>
      <c r="B1144" s="159"/>
      <c r="C1144" s="85" t="s">
        <v>5</v>
      </c>
      <c r="D1144" s="79" t="s">
        <v>6</v>
      </c>
      <c r="E1144" s="80" t="s">
        <v>7</v>
      </c>
      <c r="F1144" s="85" t="s">
        <v>5</v>
      </c>
      <c r="G1144" s="79" t="s">
        <v>6</v>
      </c>
      <c r="H1144" s="80" t="s">
        <v>7</v>
      </c>
      <c r="I1144" s="85" t="s">
        <v>5</v>
      </c>
      <c r="J1144" s="79" t="s">
        <v>6</v>
      </c>
      <c r="K1144" s="80" t="s">
        <v>7</v>
      </c>
      <c r="L1144" s="85" t="s">
        <v>5</v>
      </c>
      <c r="M1144" s="79" t="s">
        <v>6</v>
      </c>
      <c r="N1144" s="80" t="s">
        <v>7</v>
      </c>
    </row>
    <row r="1145" spans="1:14" ht="19.5" customHeight="1" outlineLevel="1" x14ac:dyDescent="0.2">
      <c r="A1145" s="100">
        <v>1</v>
      </c>
      <c r="B1145" s="86" t="s">
        <v>8</v>
      </c>
      <c r="C1145" s="87">
        <v>0</v>
      </c>
      <c r="D1145" s="88">
        <v>0</v>
      </c>
      <c r="E1145" s="89">
        <v>0</v>
      </c>
      <c r="F1145" s="87">
        <v>0</v>
      </c>
      <c r="G1145" s="88">
        <v>0</v>
      </c>
      <c r="H1145" s="89">
        <v>0</v>
      </c>
      <c r="I1145" s="87">
        <v>0.75</v>
      </c>
      <c r="J1145" s="88">
        <v>2.132540832312686</v>
      </c>
      <c r="K1145" s="89">
        <v>2843.3877764169147</v>
      </c>
      <c r="L1145" s="87">
        <v>0.75</v>
      </c>
      <c r="M1145" s="88">
        <v>2.132540832312686</v>
      </c>
      <c r="N1145" s="89">
        <v>2843.3877764169142</v>
      </c>
    </row>
    <row r="1146" spans="1:14" ht="19.5" customHeight="1" outlineLevel="1" x14ac:dyDescent="0.2">
      <c r="A1146" s="101">
        <v>2</v>
      </c>
      <c r="B1146" s="81" t="s">
        <v>9</v>
      </c>
      <c r="C1146" s="84">
        <v>0.51</v>
      </c>
      <c r="D1146" s="53">
        <v>1.4013527447295078</v>
      </c>
      <c r="E1146" s="78">
        <v>2747.7504798617797</v>
      </c>
      <c r="F1146" s="84">
        <v>10</v>
      </c>
      <c r="G1146" s="53">
        <v>28.068130644566914</v>
      </c>
      <c r="H1146" s="78">
        <v>2806.8130644566913</v>
      </c>
      <c r="I1146" s="84">
        <v>24.49</v>
      </c>
      <c r="J1146" s="53">
        <v>69.634566644450246</v>
      </c>
      <c r="K1146" s="78">
        <v>2843.3877764169147</v>
      </c>
      <c r="L1146" s="84">
        <v>11.666666666666666</v>
      </c>
      <c r="M1146" s="53">
        <v>33.03468334458222</v>
      </c>
      <c r="N1146" s="78">
        <v>2831.5442866784761</v>
      </c>
    </row>
    <row r="1147" spans="1:14" ht="19.5" customHeight="1" outlineLevel="1" x14ac:dyDescent="0.2">
      <c r="A1147" s="101">
        <v>3</v>
      </c>
      <c r="B1147" s="81" t="s">
        <v>10</v>
      </c>
      <c r="C1147" s="84">
        <v>0</v>
      </c>
      <c r="D1147" s="53">
        <v>0</v>
      </c>
      <c r="E1147" s="78">
        <v>0</v>
      </c>
      <c r="F1147" s="84">
        <v>0</v>
      </c>
      <c r="G1147" s="53">
        <v>0</v>
      </c>
      <c r="H1147" s="78">
        <v>0</v>
      </c>
      <c r="I1147" s="84">
        <v>0</v>
      </c>
      <c r="J1147" s="53">
        <v>0</v>
      </c>
      <c r="K1147" s="78">
        <v>0</v>
      </c>
      <c r="L1147" s="84">
        <v>0</v>
      </c>
      <c r="M1147" s="53">
        <v>0</v>
      </c>
      <c r="N1147" s="78">
        <v>0</v>
      </c>
    </row>
    <row r="1148" spans="1:14" ht="19.5" customHeight="1" outlineLevel="1" x14ac:dyDescent="0.2">
      <c r="A1148" s="101">
        <v>4</v>
      </c>
      <c r="B1148" s="81" t="s">
        <v>11</v>
      </c>
      <c r="C1148" s="84">
        <v>2.1</v>
      </c>
      <c r="D1148" s="53">
        <v>5.7702760077097377</v>
      </c>
      <c r="E1148" s="78">
        <v>2747.7504798617797</v>
      </c>
      <c r="F1148" s="84">
        <v>2.25</v>
      </c>
      <c r="G1148" s="53">
        <v>6.3153293950275557</v>
      </c>
      <c r="H1148" s="78">
        <v>2806.8130644566913</v>
      </c>
      <c r="I1148" s="84">
        <v>2.0499999999999998</v>
      </c>
      <c r="J1148" s="53">
        <v>5.828944941654675</v>
      </c>
      <c r="K1148" s="78">
        <v>2843.3877764169147</v>
      </c>
      <c r="L1148" s="84">
        <v>2.1333333333333333</v>
      </c>
      <c r="M1148" s="53">
        <v>5.9715167814639898</v>
      </c>
      <c r="N1148" s="78">
        <v>2799.1484913112454</v>
      </c>
    </row>
    <row r="1149" spans="1:14" ht="19.5" customHeight="1" outlineLevel="1" x14ac:dyDescent="0.2">
      <c r="A1149" s="101">
        <v>5</v>
      </c>
      <c r="B1149" s="81" t="s">
        <v>12</v>
      </c>
      <c r="C1149" s="84">
        <v>19.420000000000002</v>
      </c>
      <c r="D1149" s="53">
        <v>53.361314318915767</v>
      </c>
      <c r="E1149" s="78">
        <v>2747.7504798617797</v>
      </c>
      <c r="F1149" s="84">
        <v>20.09</v>
      </c>
      <c r="G1149" s="53">
        <v>52.308332999999998</v>
      </c>
      <c r="H1149" s="78">
        <v>2603.6999999999998</v>
      </c>
      <c r="I1149" s="84">
        <v>17.989999999999998</v>
      </c>
      <c r="J1149" s="53">
        <v>59.397762899999996</v>
      </c>
      <c r="K1149" s="78">
        <v>3301.71</v>
      </c>
      <c r="L1149" s="84">
        <v>19.166666666666668</v>
      </c>
      <c r="M1149" s="53">
        <v>55.02247007297192</v>
      </c>
      <c r="N1149" s="78">
        <v>2870.7375690246217</v>
      </c>
    </row>
    <row r="1150" spans="1:14" ht="19.5" customHeight="1" outlineLevel="1" x14ac:dyDescent="0.2">
      <c r="A1150" s="101">
        <v>6</v>
      </c>
      <c r="B1150" s="81" t="s">
        <v>13</v>
      </c>
      <c r="C1150" s="84">
        <v>75.25</v>
      </c>
      <c r="D1150" s="53">
        <v>287.69529999999997</v>
      </c>
      <c r="E1150" s="78">
        <v>3823.1933554817274</v>
      </c>
      <c r="F1150" s="84">
        <v>84.93</v>
      </c>
      <c r="G1150" s="53">
        <v>343.13820106184937</v>
      </c>
      <c r="H1150" s="78">
        <v>4040.2472749540721</v>
      </c>
      <c r="I1150" s="84">
        <v>108.86</v>
      </c>
      <c r="J1150" s="53">
        <v>371.41735830459464</v>
      </c>
      <c r="K1150" s="78">
        <v>3411.8809324324329</v>
      </c>
      <c r="L1150" s="84">
        <v>89.68</v>
      </c>
      <c r="M1150" s="53">
        <v>334.0836197888147</v>
      </c>
      <c r="N1150" s="78">
        <v>3725.2856800715285</v>
      </c>
    </row>
    <row r="1151" spans="1:14" ht="19.5" customHeight="1" outlineLevel="1" x14ac:dyDescent="0.2">
      <c r="A1151" s="101">
        <v>7</v>
      </c>
      <c r="B1151" s="81" t="s">
        <v>14</v>
      </c>
      <c r="C1151" s="84">
        <v>0.02</v>
      </c>
      <c r="D1151" s="53">
        <v>5.4955009597235593E-2</v>
      </c>
      <c r="E1151" s="78">
        <v>2747.7504798617797</v>
      </c>
      <c r="F1151" s="84">
        <v>1.26</v>
      </c>
      <c r="G1151" s="53">
        <v>3.5365844612154311</v>
      </c>
      <c r="H1151" s="78">
        <v>2806.8130644566913</v>
      </c>
      <c r="I1151" s="84">
        <v>0.4</v>
      </c>
      <c r="J1151" s="53">
        <v>1.1373551105667659</v>
      </c>
      <c r="K1151" s="78">
        <v>2843.3877764169147</v>
      </c>
      <c r="L1151" s="84">
        <v>0.56000000000000005</v>
      </c>
      <c r="M1151" s="53">
        <v>1.576298193793144</v>
      </c>
      <c r="N1151" s="78">
        <v>2814.8182032020427</v>
      </c>
    </row>
    <row r="1152" spans="1:14" ht="19.5" customHeight="1" outlineLevel="1" x14ac:dyDescent="0.2">
      <c r="A1152" s="101">
        <v>8</v>
      </c>
      <c r="B1152" s="81" t="s">
        <v>15</v>
      </c>
      <c r="C1152" s="84">
        <v>0</v>
      </c>
      <c r="D1152" s="53">
        <v>0</v>
      </c>
      <c r="E1152" s="78">
        <v>0</v>
      </c>
      <c r="F1152" s="84">
        <v>0</v>
      </c>
      <c r="G1152" s="53">
        <v>0</v>
      </c>
      <c r="H1152" s="78">
        <v>0</v>
      </c>
      <c r="I1152" s="84">
        <v>0</v>
      </c>
      <c r="J1152" s="53">
        <v>0</v>
      </c>
      <c r="K1152" s="78">
        <v>0</v>
      </c>
      <c r="L1152" s="84">
        <v>0</v>
      </c>
      <c r="M1152" s="53">
        <v>0</v>
      </c>
      <c r="N1152" s="78">
        <v>0</v>
      </c>
    </row>
    <row r="1153" spans="1:14" ht="19.5" customHeight="1" outlineLevel="1" x14ac:dyDescent="0.2">
      <c r="A1153" s="101">
        <v>9</v>
      </c>
      <c r="B1153" s="81" t="s">
        <v>16</v>
      </c>
      <c r="C1153" s="84">
        <v>0</v>
      </c>
      <c r="D1153" s="53">
        <v>0</v>
      </c>
      <c r="E1153" s="78">
        <v>0</v>
      </c>
      <c r="F1153" s="84">
        <v>0</v>
      </c>
      <c r="G1153" s="53">
        <v>0</v>
      </c>
      <c r="H1153" s="78">
        <v>0</v>
      </c>
      <c r="I1153" s="84">
        <v>0</v>
      </c>
      <c r="J1153" s="53">
        <v>0</v>
      </c>
      <c r="K1153" s="78">
        <v>0</v>
      </c>
      <c r="L1153" s="84">
        <v>0</v>
      </c>
      <c r="M1153" s="53">
        <v>0</v>
      </c>
      <c r="N1153" s="78">
        <v>0</v>
      </c>
    </row>
    <row r="1154" spans="1:14" ht="19.5" customHeight="1" outlineLevel="1" x14ac:dyDescent="0.2">
      <c r="A1154" s="101">
        <v>10</v>
      </c>
      <c r="B1154" s="81" t="s">
        <v>17</v>
      </c>
      <c r="C1154" s="84">
        <v>0</v>
      </c>
      <c r="D1154" s="53">
        <v>0</v>
      </c>
      <c r="E1154" s="78">
        <v>0</v>
      </c>
      <c r="F1154" s="84">
        <v>0</v>
      </c>
      <c r="G1154" s="53">
        <v>0</v>
      </c>
      <c r="H1154" s="78">
        <v>0</v>
      </c>
      <c r="I1154" s="84">
        <v>0</v>
      </c>
      <c r="J1154" s="53">
        <v>0</v>
      </c>
      <c r="K1154" s="78">
        <v>0</v>
      </c>
      <c r="L1154" s="84">
        <v>0</v>
      </c>
      <c r="M1154" s="53">
        <v>0</v>
      </c>
      <c r="N1154" s="78">
        <v>0</v>
      </c>
    </row>
    <row r="1155" spans="1:14" ht="19.5" customHeight="1" outlineLevel="1" x14ac:dyDescent="0.2">
      <c r="A1155" s="101">
        <v>11</v>
      </c>
      <c r="B1155" s="81" t="s">
        <v>18</v>
      </c>
      <c r="C1155" s="84">
        <v>0</v>
      </c>
      <c r="D1155" s="53">
        <v>0</v>
      </c>
      <c r="E1155" s="78">
        <v>0</v>
      </c>
      <c r="F1155" s="84">
        <v>0</v>
      </c>
      <c r="G1155" s="53">
        <v>0</v>
      </c>
      <c r="H1155" s="78">
        <v>0</v>
      </c>
      <c r="I1155" s="84">
        <v>0</v>
      </c>
      <c r="J1155" s="53">
        <v>0</v>
      </c>
      <c r="K1155" s="78">
        <v>0</v>
      </c>
      <c r="L1155" s="84">
        <v>0</v>
      </c>
      <c r="M1155" s="53">
        <v>0</v>
      </c>
      <c r="N1155" s="78">
        <v>0</v>
      </c>
    </row>
    <row r="1156" spans="1:14" ht="19.5" customHeight="1" outlineLevel="1" x14ac:dyDescent="0.2">
      <c r="A1156" s="101">
        <v>12</v>
      </c>
      <c r="B1156" s="81" t="s">
        <v>19</v>
      </c>
      <c r="C1156" s="84">
        <v>0</v>
      </c>
      <c r="D1156" s="53">
        <v>0</v>
      </c>
      <c r="E1156" s="78">
        <v>0</v>
      </c>
      <c r="F1156" s="84">
        <v>0</v>
      </c>
      <c r="G1156" s="53">
        <v>0</v>
      </c>
      <c r="H1156" s="78">
        <v>0</v>
      </c>
      <c r="I1156" s="84">
        <v>0</v>
      </c>
      <c r="J1156" s="53">
        <v>0</v>
      </c>
      <c r="K1156" s="78">
        <v>0</v>
      </c>
      <c r="L1156" s="84">
        <v>0</v>
      </c>
      <c r="M1156" s="53">
        <v>0</v>
      </c>
      <c r="N1156" s="78">
        <v>0</v>
      </c>
    </row>
    <row r="1157" spans="1:14" ht="19.5" customHeight="1" outlineLevel="1" x14ac:dyDescent="0.2">
      <c r="A1157" s="101">
        <v>13</v>
      </c>
      <c r="B1157" s="81" t="s">
        <v>20</v>
      </c>
      <c r="C1157" s="84">
        <v>0</v>
      </c>
      <c r="D1157" s="53">
        <v>0</v>
      </c>
      <c r="E1157" s="78">
        <v>0</v>
      </c>
      <c r="F1157" s="84">
        <v>0</v>
      </c>
      <c r="G1157" s="53">
        <v>0</v>
      </c>
      <c r="H1157" s="78">
        <v>0</v>
      </c>
      <c r="I1157" s="84">
        <v>0</v>
      </c>
      <c r="J1157" s="53">
        <v>0</v>
      </c>
      <c r="K1157" s="78">
        <v>0</v>
      </c>
      <c r="L1157" s="84">
        <v>0</v>
      </c>
      <c r="M1157" s="53">
        <v>0</v>
      </c>
      <c r="N1157" s="78">
        <v>0</v>
      </c>
    </row>
    <row r="1158" spans="1:14" ht="19.5" customHeight="1" outlineLevel="1" x14ac:dyDescent="0.2">
      <c r="A1158" s="101">
        <v>14</v>
      </c>
      <c r="B1158" s="81" t="s">
        <v>21</v>
      </c>
      <c r="C1158" s="84">
        <v>0</v>
      </c>
      <c r="D1158" s="53">
        <v>0</v>
      </c>
      <c r="E1158" s="78">
        <v>0</v>
      </c>
      <c r="F1158" s="84">
        <v>0</v>
      </c>
      <c r="G1158" s="53">
        <v>0</v>
      </c>
      <c r="H1158" s="78">
        <v>0</v>
      </c>
      <c r="I1158" s="84">
        <v>0</v>
      </c>
      <c r="J1158" s="53">
        <v>0</v>
      </c>
      <c r="K1158" s="78">
        <v>0</v>
      </c>
      <c r="L1158" s="84">
        <v>0</v>
      </c>
      <c r="M1158" s="53">
        <v>0</v>
      </c>
      <c r="N1158" s="78">
        <v>0</v>
      </c>
    </row>
    <row r="1159" spans="1:14" ht="19.5" customHeight="1" outlineLevel="1" x14ac:dyDescent="0.2">
      <c r="A1159" s="101">
        <v>15</v>
      </c>
      <c r="B1159" s="81" t="s">
        <v>22</v>
      </c>
      <c r="C1159" s="84">
        <v>0</v>
      </c>
      <c r="D1159" s="53">
        <v>0</v>
      </c>
      <c r="E1159" s="78">
        <v>0</v>
      </c>
      <c r="F1159" s="84">
        <v>0</v>
      </c>
      <c r="G1159" s="53">
        <v>0</v>
      </c>
      <c r="H1159" s="78">
        <v>0</v>
      </c>
      <c r="I1159" s="84">
        <v>0</v>
      </c>
      <c r="J1159" s="53">
        <v>0</v>
      </c>
      <c r="K1159" s="78">
        <v>0</v>
      </c>
      <c r="L1159" s="84">
        <v>0</v>
      </c>
      <c r="M1159" s="53">
        <v>0</v>
      </c>
      <c r="N1159" s="78">
        <v>0</v>
      </c>
    </row>
    <row r="1160" spans="1:14" ht="19.5" customHeight="1" outlineLevel="1" x14ac:dyDescent="0.2">
      <c r="A1160" s="101">
        <v>16</v>
      </c>
      <c r="B1160" s="81" t="s">
        <v>23</v>
      </c>
      <c r="C1160" s="84">
        <v>1.6</v>
      </c>
      <c r="D1160" s="53">
        <v>4.3964007677788475</v>
      </c>
      <c r="E1160" s="78">
        <v>2747.7504798617797</v>
      </c>
      <c r="F1160" s="84">
        <v>1.42</v>
      </c>
      <c r="G1160" s="53">
        <v>3.9856745515285015</v>
      </c>
      <c r="H1160" s="78">
        <v>2806.8130644566913</v>
      </c>
      <c r="I1160" s="84">
        <v>0</v>
      </c>
      <c r="J1160" s="53">
        <v>0</v>
      </c>
      <c r="K1160" s="78">
        <v>0</v>
      </c>
      <c r="L1160" s="84">
        <v>1.51</v>
      </c>
      <c r="M1160" s="53">
        <v>4.1910376596536745</v>
      </c>
      <c r="N1160" s="78">
        <v>2775.5216289097179</v>
      </c>
    </row>
    <row r="1161" spans="1:14" ht="19.5" customHeight="1" outlineLevel="1" x14ac:dyDescent="0.2">
      <c r="A1161" s="101">
        <v>17</v>
      </c>
      <c r="B1161" s="81" t="s">
        <v>24</v>
      </c>
      <c r="C1161" s="84">
        <v>1.95</v>
      </c>
      <c r="D1161" s="53">
        <v>5.3581134357304698</v>
      </c>
      <c r="E1161" s="78">
        <v>2747.7504798617797</v>
      </c>
      <c r="F1161" s="84">
        <v>0.78</v>
      </c>
      <c r="G1161" s="53">
        <v>2.1893141902762197</v>
      </c>
      <c r="H1161" s="78">
        <v>2806.8130644566913</v>
      </c>
      <c r="I1161" s="84">
        <v>0</v>
      </c>
      <c r="J1161" s="53">
        <v>0</v>
      </c>
      <c r="K1161" s="78">
        <v>0</v>
      </c>
      <c r="L1161" s="84">
        <v>1.365</v>
      </c>
      <c r="M1161" s="53">
        <v>3.7737138130033445</v>
      </c>
      <c r="N1161" s="78">
        <v>2764.6255040317542</v>
      </c>
    </row>
    <row r="1162" spans="1:14" ht="19.5" customHeight="1" outlineLevel="1" x14ac:dyDescent="0.2">
      <c r="A1162" s="101">
        <v>18</v>
      </c>
      <c r="B1162" s="81" t="s">
        <v>25</v>
      </c>
      <c r="C1162" s="84">
        <v>3.06</v>
      </c>
      <c r="D1162" s="53">
        <v>8.4081164683770453</v>
      </c>
      <c r="E1162" s="78">
        <v>2747.7504798617797</v>
      </c>
      <c r="F1162" s="84">
        <v>4.7</v>
      </c>
      <c r="G1162" s="53">
        <v>13.19202140294645</v>
      </c>
      <c r="H1162" s="78">
        <v>2806.8130644566913</v>
      </c>
      <c r="I1162" s="84">
        <v>8.98</v>
      </c>
      <c r="J1162" s="53">
        <v>25.533622232223895</v>
      </c>
      <c r="K1162" s="78">
        <v>2843.3877764169147</v>
      </c>
      <c r="L1162" s="84">
        <v>5.580000000000001</v>
      </c>
      <c r="M1162" s="53">
        <v>15.71125336784913</v>
      </c>
      <c r="N1162" s="78">
        <v>2815.6368042740369</v>
      </c>
    </row>
    <row r="1163" spans="1:14" ht="19.5" customHeight="1" outlineLevel="1" x14ac:dyDescent="0.2">
      <c r="A1163" s="101">
        <v>19</v>
      </c>
      <c r="B1163" s="81" t="s">
        <v>26</v>
      </c>
      <c r="C1163" s="84">
        <v>0</v>
      </c>
      <c r="D1163" s="53">
        <v>0</v>
      </c>
      <c r="E1163" s="78">
        <v>0</v>
      </c>
      <c r="F1163" s="84">
        <v>0</v>
      </c>
      <c r="G1163" s="53">
        <v>0</v>
      </c>
      <c r="H1163" s="78">
        <v>0</v>
      </c>
      <c r="I1163" s="84">
        <v>0</v>
      </c>
      <c r="J1163" s="53">
        <v>0</v>
      </c>
      <c r="K1163" s="78">
        <v>0</v>
      </c>
      <c r="L1163" s="84">
        <v>0</v>
      </c>
      <c r="M1163" s="53">
        <v>0</v>
      </c>
      <c r="N1163" s="78">
        <v>0</v>
      </c>
    </row>
    <row r="1164" spans="1:14" ht="19.5" customHeight="1" outlineLevel="1" x14ac:dyDescent="0.2">
      <c r="A1164" s="101">
        <v>20</v>
      </c>
      <c r="B1164" s="81" t="s">
        <v>27</v>
      </c>
      <c r="C1164" s="84">
        <v>0.12</v>
      </c>
      <c r="D1164" s="53">
        <v>0.32973005758341356</v>
      </c>
      <c r="E1164" s="78">
        <v>2747.7504798617797</v>
      </c>
      <c r="F1164" s="84">
        <v>7.0000000000000007E-2</v>
      </c>
      <c r="G1164" s="53">
        <v>0.19647691451196841</v>
      </c>
      <c r="H1164" s="78">
        <v>2806.8130644566913</v>
      </c>
      <c r="I1164" s="84">
        <v>0</v>
      </c>
      <c r="J1164" s="53">
        <v>0</v>
      </c>
      <c r="K1164" s="78">
        <v>0</v>
      </c>
      <c r="L1164" s="84">
        <v>9.5000000000000001E-2</v>
      </c>
      <c r="M1164" s="53">
        <v>0.26310348604769096</v>
      </c>
      <c r="N1164" s="78">
        <v>2769.5103794493789</v>
      </c>
    </row>
    <row r="1165" spans="1:14" ht="19.5" customHeight="1" outlineLevel="1" x14ac:dyDescent="0.2">
      <c r="A1165" s="101">
        <v>21</v>
      </c>
      <c r="B1165" s="81" t="s">
        <v>28</v>
      </c>
      <c r="C1165" s="84">
        <v>3.13</v>
      </c>
      <c r="D1165" s="53">
        <v>8.600459001967371</v>
      </c>
      <c r="E1165" s="78">
        <v>2747.7504798617797</v>
      </c>
      <c r="F1165" s="84">
        <v>0.83</v>
      </c>
      <c r="G1165" s="53">
        <v>2.3296548434990538</v>
      </c>
      <c r="H1165" s="78">
        <v>2806.8130644566913</v>
      </c>
      <c r="I1165" s="84">
        <v>1.17</v>
      </c>
      <c r="J1165" s="53">
        <v>3.32676369840779</v>
      </c>
      <c r="K1165" s="78">
        <v>2843.3877764169147</v>
      </c>
      <c r="L1165" s="84">
        <v>1.71</v>
      </c>
      <c r="M1165" s="53">
        <v>4.7522925146247381</v>
      </c>
      <c r="N1165" s="78">
        <v>2779.1184296051101</v>
      </c>
    </row>
    <row r="1166" spans="1:14" ht="19.5" customHeight="1" outlineLevel="1" x14ac:dyDescent="0.2">
      <c r="A1166" s="101">
        <v>22</v>
      </c>
      <c r="B1166" s="81" t="s">
        <v>29</v>
      </c>
      <c r="C1166" s="84">
        <v>251.22</v>
      </c>
      <c r="D1166" s="53">
        <v>565.18092680000007</v>
      </c>
      <c r="E1166" s="78">
        <v>2249.744951835045</v>
      </c>
      <c r="F1166" s="84">
        <v>289.14</v>
      </c>
      <c r="G1166" s="53">
        <v>789.02900009999996</v>
      </c>
      <c r="H1166" s="78">
        <v>2728.8822027391575</v>
      </c>
      <c r="I1166" s="84">
        <v>315.52</v>
      </c>
      <c r="J1166" s="53">
        <v>897.7027579999999</v>
      </c>
      <c r="K1166" s="78">
        <v>2845.1532644523327</v>
      </c>
      <c r="L1166" s="84">
        <v>285.29333333333335</v>
      </c>
      <c r="M1166" s="53">
        <v>750.63756163333335</v>
      </c>
      <c r="N1166" s="78">
        <v>2631.1079647847828</v>
      </c>
    </row>
    <row r="1167" spans="1:14" ht="19.5" customHeight="1" outlineLevel="1" x14ac:dyDescent="0.2">
      <c r="A1167" s="101">
        <v>23</v>
      </c>
      <c r="B1167" s="81" t="s">
        <v>30</v>
      </c>
      <c r="C1167" s="84">
        <v>91.55</v>
      </c>
      <c r="D1167" s="53">
        <v>261.50681289453513</v>
      </c>
      <c r="E1167" s="78">
        <v>2856.4370605629178</v>
      </c>
      <c r="F1167" s="84">
        <v>101.6</v>
      </c>
      <c r="G1167" s="53">
        <v>238.10308558415838</v>
      </c>
      <c r="H1167" s="78">
        <v>2343.5343069306928</v>
      </c>
      <c r="I1167" s="84">
        <v>137.12</v>
      </c>
      <c r="J1167" s="53">
        <v>323.7272294502925</v>
      </c>
      <c r="K1167" s="78">
        <v>2360.9045321637432</v>
      </c>
      <c r="L1167" s="84">
        <v>110.08999999999999</v>
      </c>
      <c r="M1167" s="53">
        <v>274.44570930966199</v>
      </c>
      <c r="N1167" s="78">
        <v>2492.9213308171679</v>
      </c>
    </row>
    <row r="1168" spans="1:14" ht="19.5" customHeight="1" outlineLevel="1" x14ac:dyDescent="0.2">
      <c r="A1168" s="101">
        <v>24</v>
      </c>
      <c r="B1168" s="81" t="s">
        <v>31</v>
      </c>
      <c r="C1168" s="84">
        <v>333.49</v>
      </c>
      <c r="D1168" s="53">
        <v>963.02976300000012</v>
      </c>
      <c r="E1168" s="78">
        <v>2887.7320549341812</v>
      </c>
      <c r="F1168" s="84">
        <v>335.09</v>
      </c>
      <c r="G1168" s="53">
        <v>850.53662723298089</v>
      </c>
      <c r="H1168" s="78">
        <v>2538.2333917245546</v>
      </c>
      <c r="I1168" s="84">
        <v>348.98</v>
      </c>
      <c r="J1168" s="53">
        <v>972.67337919168369</v>
      </c>
      <c r="K1168" s="78">
        <v>2787.1894641288432</v>
      </c>
      <c r="L1168" s="84">
        <v>339.18666666666667</v>
      </c>
      <c r="M1168" s="53">
        <v>928.74658980822153</v>
      </c>
      <c r="N1168" s="78">
        <v>2738.1577198638552</v>
      </c>
    </row>
    <row r="1169" spans="1:14" ht="19.5" customHeight="1" outlineLevel="1" x14ac:dyDescent="0.2">
      <c r="A1169" s="101">
        <v>25</v>
      </c>
      <c r="B1169" s="81" t="s">
        <v>32</v>
      </c>
      <c r="C1169" s="84">
        <v>33.369999999999997</v>
      </c>
      <c r="D1169" s="53">
        <v>87.893213009678533</v>
      </c>
      <c r="E1169" s="78">
        <v>2633.8991012789493</v>
      </c>
      <c r="F1169" s="84">
        <v>26.83</v>
      </c>
      <c r="G1169" s="53">
        <v>73.517346977443594</v>
      </c>
      <c r="H1169" s="78">
        <v>2740.1172932330824</v>
      </c>
      <c r="I1169" s="84">
        <v>61.95</v>
      </c>
      <c r="J1169" s="53">
        <v>182.65508827789699</v>
      </c>
      <c r="K1169" s="78">
        <v>2948.427575107296</v>
      </c>
      <c r="L1169" s="84">
        <v>40.716666666666669</v>
      </c>
      <c r="M1169" s="53">
        <v>114.68854942167305</v>
      </c>
      <c r="N1169" s="78">
        <v>2816.7470181335989</v>
      </c>
    </row>
    <row r="1170" spans="1:14" ht="19.5" customHeight="1" outlineLevel="1" x14ac:dyDescent="0.2">
      <c r="A1170" s="101">
        <v>26</v>
      </c>
      <c r="B1170" s="81" t="s">
        <v>33</v>
      </c>
      <c r="C1170" s="84">
        <v>203.33</v>
      </c>
      <c r="D1170" s="53">
        <v>550.04848600000003</v>
      </c>
      <c r="E1170" s="78">
        <v>2705.2008360792802</v>
      </c>
      <c r="F1170" s="84">
        <v>234.22</v>
      </c>
      <c r="G1170" s="53">
        <v>727.87259400000016</v>
      </c>
      <c r="H1170" s="78">
        <v>3107.6449235761256</v>
      </c>
      <c r="I1170" s="84">
        <v>234.23</v>
      </c>
      <c r="J1170" s="53">
        <v>702.29890100000011</v>
      </c>
      <c r="K1170" s="78">
        <v>2998.3302779319474</v>
      </c>
      <c r="L1170" s="84">
        <v>223.92666666666665</v>
      </c>
      <c r="M1170" s="53">
        <v>660.07332700000006</v>
      </c>
      <c r="N1170" s="78">
        <v>2947.7209517996966</v>
      </c>
    </row>
    <row r="1171" spans="1:14" ht="19.5" customHeight="1" outlineLevel="1" x14ac:dyDescent="0.2">
      <c r="A1171" s="101">
        <v>27</v>
      </c>
      <c r="B1171" s="81" t="s">
        <v>34</v>
      </c>
      <c r="C1171" s="84">
        <v>17.940000000000001</v>
      </c>
      <c r="D1171" s="53">
        <v>49.294643608720335</v>
      </c>
      <c r="E1171" s="78">
        <v>2747.7504798617797</v>
      </c>
      <c r="F1171" s="84">
        <v>21.04</v>
      </c>
      <c r="G1171" s="53">
        <v>49.309343999999996</v>
      </c>
      <c r="H1171" s="78">
        <v>2343.6</v>
      </c>
      <c r="I1171" s="84">
        <v>55.57</v>
      </c>
      <c r="J1171" s="53">
        <v>130.289422</v>
      </c>
      <c r="K1171" s="78">
        <v>2344.6</v>
      </c>
      <c r="L1171" s="84">
        <v>31.516666666666669</v>
      </c>
      <c r="M1171" s="53">
        <v>76.297803202906778</v>
      </c>
      <c r="N1171" s="78">
        <v>2420.8715981884752</v>
      </c>
    </row>
    <row r="1172" spans="1:14" ht="19.5" customHeight="1" outlineLevel="1" x14ac:dyDescent="0.2">
      <c r="A1172" s="101">
        <v>28</v>
      </c>
      <c r="B1172" s="81" t="s">
        <v>35</v>
      </c>
      <c r="C1172" s="84">
        <v>0</v>
      </c>
      <c r="D1172" s="53">
        <v>0</v>
      </c>
      <c r="E1172" s="78">
        <v>0</v>
      </c>
      <c r="F1172" s="84">
        <v>0</v>
      </c>
      <c r="G1172" s="53">
        <v>0</v>
      </c>
      <c r="H1172" s="78">
        <v>0</v>
      </c>
      <c r="I1172" s="84">
        <v>1.85</v>
      </c>
      <c r="J1172" s="53">
        <v>5.260267386371293</v>
      </c>
      <c r="K1172" s="78">
        <v>2843.3877764169147</v>
      </c>
      <c r="L1172" s="84">
        <v>1.85</v>
      </c>
      <c r="M1172" s="53">
        <v>5.260267386371293</v>
      </c>
      <c r="N1172" s="78">
        <v>2843.3877764169147</v>
      </c>
    </row>
    <row r="1173" spans="1:14" ht="19.5" customHeight="1" outlineLevel="1" x14ac:dyDescent="0.2">
      <c r="A1173" s="101">
        <v>29</v>
      </c>
      <c r="B1173" s="81" t="s">
        <v>36</v>
      </c>
      <c r="C1173" s="84">
        <v>8.9</v>
      </c>
      <c r="D1173" s="53">
        <v>24.45497927076984</v>
      </c>
      <c r="E1173" s="78">
        <v>2747.7504798617797</v>
      </c>
      <c r="F1173" s="84">
        <v>11.47</v>
      </c>
      <c r="G1173" s="53">
        <v>32.194145849318254</v>
      </c>
      <c r="H1173" s="78">
        <v>2806.8130644566913</v>
      </c>
      <c r="I1173" s="84">
        <v>13.13</v>
      </c>
      <c r="J1173" s="53">
        <v>37.333681504354089</v>
      </c>
      <c r="K1173" s="78">
        <v>2843.3877764169147</v>
      </c>
      <c r="L1173" s="84">
        <v>11.166666666666666</v>
      </c>
      <c r="M1173" s="53">
        <v>31.327602208147397</v>
      </c>
      <c r="N1173" s="78">
        <v>2805.4569141624534</v>
      </c>
    </row>
    <row r="1174" spans="1:14" ht="19.5" customHeight="1" outlineLevel="1" x14ac:dyDescent="0.2">
      <c r="A1174" s="101">
        <v>30</v>
      </c>
      <c r="B1174" s="81" t="s">
        <v>37</v>
      </c>
      <c r="C1174" s="84">
        <v>0.87</v>
      </c>
      <c r="D1174" s="53">
        <v>2.3905429174797481</v>
      </c>
      <c r="E1174" s="78">
        <v>2747.7504798617797</v>
      </c>
      <c r="F1174" s="84">
        <v>1.69</v>
      </c>
      <c r="G1174" s="53">
        <v>4.743514078931808</v>
      </c>
      <c r="H1174" s="78">
        <v>2806.8130644566913</v>
      </c>
      <c r="I1174" s="84">
        <v>1.74</v>
      </c>
      <c r="J1174" s="53">
        <v>4.947494730965432</v>
      </c>
      <c r="K1174" s="78">
        <v>2843.3877764169147</v>
      </c>
      <c r="L1174" s="84">
        <v>1.4333333333333333</v>
      </c>
      <c r="M1174" s="53">
        <v>4.0271839091256627</v>
      </c>
      <c r="N1174" s="78">
        <v>2809.663192413253</v>
      </c>
    </row>
    <row r="1175" spans="1:14" ht="19.5" customHeight="1" outlineLevel="1" x14ac:dyDescent="0.2">
      <c r="A1175" s="101">
        <v>31</v>
      </c>
      <c r="B1175" s="81" t="s">
        <v>38</v>
      </c>
      <c r="C1175" s="84">
        <v>2.33</v>
      </c>
      <c r="D1175" s="53">
        <v>6.4022586180779468</v>
      </c>
      <c r="E1175" s="78">
        <v>2747.7504798617797</v>
      </c>
      <c r="F1175" s="84">
        <v>1.3</v>
      </c>
      <c r="G1175" s="53">
        <v>3.6488569837936988</v>
      </c>
      <c r="H1175" s="78">
        <v>2806.8130644566913</v>
      </c>
      <c r="I1175" s="84">
        <v>1.43</v>
      </c>
      <c r="J1175" s="53">
        <v>4.0660445202761881</v>
      </c>
      <c r="K1175" s="78">
        <v>2843.3877764169147</v>
      </c>
      <c r="L1175" s="84">
        <v>1.6866666666666665</v>
      </c>
      <c r="M1175" s="53">
        <v>4.7057200407159447</v>
      </c>
      <c r="N1175" s="78">
        <v>2789.9525933098485</v>
      </c>
    </row>
    <row r="1176" spans="1:14" ht="19.5" customHeight="1" outlineLevel="1" x14ac:dyDescent="0.2">
      <c r="A1176" s="101">
        <v>32</v>
      </c>
      <c r="B1176" s="81" t="s">
        <v>39</v>
      </c>
      <c r="C1176" s="84">
        <v>0</v>
      </c>
      <c r="D1176" s="53">
        <v>0</v>
      </c>
      <c r="E1176" s="78">
        <v>0</v>
      </c>
      <c r="F1176" s="84">
        <v>0</v>
      </c>
      <c r="G1176" s="53">
        <v>0</v>
      </c>
      <c r="H1176" s="78">
        <v>0</v>
      </c>
      <c r="I1176" s="84">
        <v>0</v>
      </c>
      <c r="J1176" s="53">
        <v>0</v>
      </c>
      <c r="K1176" s="78">
        <v>0</v>
      </c>
      <c r="L1176" s="84">
        <v>0</v>
      </c>
      <c r="M1176" s="53">
        <v>0</v>
      </c>
      <c r="N1176" s="78">
        <v>0</v>
      </c>
    </row>
    <row r="1177" spans="1:14" ht="19.5" customHeight="1" outlineLevel="1" thickBot="1" x14ac:dyDescent="0.25">
      <c r="A1177" s="102">
        <v>33</v>
      </c>
      <c r="B1177" s="91" t="s">
        <v>40</v>
      </c>
      <c r="C1177" s="92">
        <v>5.7</v>
      </c>
      <c r="D1177" s="93">
        <v>15.662177735212145</v>
      </c>
      <c r="E1177" s="94">
        <v>2747.7504798617797</v>
      </c>
      <c r="F1177" s="92">
        <v>7.59</v>
      </c>
      <c r="G1177" s="93">
        <v>21.303711159226289</v>
      </c>
      <c r="H1177" s="94">
        <v>2806.8130644566913</v>
      </c>
      <c r="I1177" s="92">
        <v>8.6999999999999993</v>
      </c>
      <c r="J1177" s="93">
        <v>24.737473654827156</v>
      </c>
      <c r="K1177" s="94">
        <v>2843.3877764169147</v>
      </c>
      <c r="L1177" s="92">
        <v>7.3299999999999992</v>
      </c>
      <c r="M1177" s="93">
        <v>20.567787516421863</v>
      </c>
      <c r="N1177" s="94">
        <v>2805.9737403031195</v>
      </c>
    </row>
    <row r="1178" spans="1:14" ht="19.5" customHeight="1" thickBot="1" x14ac:dyDescent="0.25">
      <c r="A1178" s="151" t="s">
        <v>41</v>
      </c>
      <c r="B1178" s="152"/>
      <c r="C1178" s="96">
        <v>1055.8600000000001</v>
      </c>
      <c r="D1178" s="97">
        <v>2901.2398216668635</v>
      </c>
      <c r="E1178" s="98">
        <v>2747.7504798617838</v>
      </c>
      <c r="F1178" s="96">
        <v>1156.3</v>
      </c>
      <c r="G1178" s="97">
        <v>3245.5179464312746</v>
      </c>
      <c r="H1178" s="98">
        <v>2806.8130644566936</v>
      </c>
      <c r="I1178" s="96">
        <v>1344.91</v>
      </c>
      <c r="J1178" s="97">
        <v>3824.100654380878</v>
      </c>
      <c r="K1178" s="98">
        <v>2843.3877764169183</v>
      </c>
      <c r="L1178" s="96">
        <v>1185.6899999999998</v>
      </c>
      <c r="M1178" s="97">
        <v>3323.6194741596719</v>
      </c>
      <c r="N1178" s="98">
        <v>2803.1099816644082</v>
      </c>
    </row>
    <row r="1179" spans="1:14" ht="34.5" customHeight="1" x14ac:dyDescent="0.2">
      <c r="A1179" s="153" t="s">
        <v>247</v>
      </c>
      <c r="B1179" s="154"/>
      <c r="C1179" s="154"/>
      <c r="D1179" s="154"/>
      <c r="E1179" s="154"/>
      <c r="F1179" s="154"/>
      <c r="G1179" s="154"/>
      <c r="H1179" s="154"/>
      <c r="I1179" s="154"/>
      <c r="J1179" s="154"/>
      <c r="K1179" s="154"/>
      <c r="L1179" s="154"/>
      <c r="M1179" s="154"/>
      <c r="N1179" s="154"/>
    </row>
    <row r="1180" spans="1:14" ht="19.5" customHeight="1" thickBot="1" x14ac:dyDescent="0.25">
      <c r="A1180" s="50"/>
      <c r="B1180" s="138" t="s">
        <v>73</v>
      </c>
      <c r="C1180" s="52"/>
      <c r="D1180" s="52"/>
      <c r="E1180" s="52"/>
      <c r="F1180" s="52"/>
      <c r="G1180" s="52"/>
      <c r="H1180" s="52"/>
      <c r="I1180" s="52"/>
      <c r="J1180" s="52"/>
      <c r="K1180" s="155" t="s">
        <v>1</v>
      </c>
      <c r="L1180" s="154"/>
      <c r="M1180" s="154"/>
      <c r="N1180" s="154"/>
    </row>
    <row r="1181" spans="1:14" ht="19.5" customHeight="1" x14ac:dyDescent="0.2">
      <c r="A1181" s="156" t="s">
        <v>2</v>
      </c>
      <c r="B1181" s="158" t="s">
        <v>3</v>
      </c>
      <c r="C1181" s="148" t="s">
        <v>243</v>
      </c>
      <c r="D1181" s="149"/>
      <c r="E1181" s="150"/>
      <c r="F1181" s="148" t="s">
        <v>244</v>
      </c>
      <c r="G1181" s="149"/>
      <c r="H1181" s="150"/>
      <c r="I1181" s="148" t="s">
        <v>246</v>
      </c>
      <c r="J1181" s="149"/>
      <c r="K1181" s="150"/>
      <c r="L1181" s="148" t="s">
        <v>4</v>
      </c>
      <c r="M1181" s="149"/>
      <c r="N1181" s="150"/>
    </row>
    <row r="1182" spans="1:14" ht="19.5" customHeight="1" thickBot="1" x14ac:dyDescent="0.25">
      <c r="A1182" s="157"/>
      <c r="B1182" s="159"/>
      <c r="C1182" s="85" t="s">
        <v>5</v>
      </c>
      <c r="D1182" s="79" t="s">
        <v>6</v>
      </c>
      <c r="E1182" s="80" t="s">
        <v>7</v>
      </c>
      <c r="F1182" s="85" t="s">
        <v>5</v>
      </c>
      <c r="G1182" s="79" t="s">
        <v>6</v>
      </c>
      <c r="H1182" s="80" t="s">
        <v>7</v>
      </c>
      <c r="I1182" s="85" t="s">
        <v>5</v>
      </c>
      <c r="J1182" s="79" t="s">
        <v>6</v>
      </c>
      <c r="K1182" s="80" t="s">
        <v>7</v>
      </c>
      <c r="L1182" s="85" t="s">
        <v>5</v>
      </c>
      <c r="M1182" s="79" t="s">
        <v>6</v>
      </c>
      <c r="N1182" s="80" t="s">
        <v>7</v>
      </c>
    </row>
    <row r="1183" spans="1:14" ht="19.5" customHeight="1" outlineLevel="1" x14ac:dyDescent="0.2">
      <c r="A1183" s="100">
        <v>1</v>
      </c>
      <c r="B1183" s="86" t="s">
        <v>8</v>
      </c>
      <c r="C1183" s="87">
        <v>2.5499999999999998</v>
      </c>
      <c r="D1183" s="88">
        <v>4.3326040396266947</v>
      </c>
      <c r="E1183" s="89">
        <v>1699.0604076967429</v>
      </c>
      <c r="F1183" s="87">
        <v>7.8</v>
      </c>
      <c r="G1183" s="88">
        <v>13.372060592058864</v>
      </c>
      <c r="H1183" s="89">
        <v>1714.3667425716492</v>
      </c>
      <c r="I1183" s="87">
        <v>10.6</v>
      </c>
      <c r="J1183" s="88">
        <v>19.510145514664288</v>
      </c>
      <c r="K1183" s="89">
        <v>1840.5797655343667</v>
      </c>
      <c r="L1183" s="87">
        <v>6.9833333333333334</v>
      </c>
      <c r="M1183" s="88">
        <v>12.404936715449949</v>
      </c>
      <c r="N1183" s="89">
        <v>1776.3632528090618</v>
      </c>
    </row>
    <row r="1184" spans="1:14" ht="19.5" customHeight="1" outlineLevel="1" x14ac:dyDescent="0.2">
      <c r="A1184" s="101">
        <v>2</v>
      </c>
      <c r="B1184" s="81" t="s">
        <v>9</v>
      </c>
      <c r="C1184" s="84">
        <v>8.56</v>
      </c>
      <c r="D1184" s="53">
        <v>14.543957089884119</v>
      </c>
      <c r="E1184" s="78">
        <v>1699.0604076967429</v>
      </c>
      <c r="F1184" s="84">
        <v>5.33</v>
      </c>
      <c r="G1184" s="53">
        <v>9.1375747379068901</v>
      </c>
      <c r="H1184" s="78">
        <v>1714.3667425716492</v>
      </c>
      <c r="I1184" s="84">
        <v>4.2300000000000004</v>
      </c>
      <c r="J1184" s="53">
        <v>7.7856524082103729</v>
      </c>
      <c r="K1184" s="78">
        <v>1840.5797655343667</v>
      </c>
      <c r="L1184" s="84">
        <v>6.04</v>
      </c>
      <c r="M1184" s="53">
        <v>10.48906141200046</v>
      </c>
      <c r="N1184" s="78">
        <v>1736.5995715232548</v>
      </c>
    </row>
    <row r="1185" spans="1:14" ht="19.5" customHeight="1" outlineLevel="1" x14ac:dyDescent="0.2">
      <c r="A1185" s="101">
        <v>3</v>
      </c>
      <c r="B1185" s="81" t="s">
        <v>10</v>
      </c>
      <c r="C1185" s="84">
        <v>501.2</v>
      </c>
      <c r="D1185" s="53">
        <v>603.50660000000005</v>
      </c>
      <c r="E1185" s="78">
        <v>1204.1233040702316</v>
      </c>
      <c r="F1185" s="84">
        <v>468.46</v>
      </c>
      <c r="G1185" s="53">
        <v>665.58295999999996</v>
      </c>
      <c r="H1185" s="78">
        <v>1420.7893096529053</v>
      </c>
      <c r="I1185" s="84">
        <v>641.54</v>
      </c>
      <c r="J1185" s="53">
        <v>927.23752810780445</v>
      </c>
      <c r="K1185" s="78">
        <v>1445.3308104059054</v>
      </c>
      <c r="L1185" s="84">
        <v>537.06666666666661</v>
      </c>
      <c r="M1185" s="53">
        <v>732.10902936926811</v>
      </c>
      <c r="N1185" s="78">
        <v>1363.1622940093127</v>
      </c>
    </row>
    <row r="1186" spans="1:14" ht="19.5" customHeight="1" outlineLevel="1" x14ac:dyDescent="0.2">
      <c r="A1186" s="101">
        <v>4</v>
      </c>
      <c r="B1186" s="81" t="s">
        <v>11</v>
      </c>
      <c r="C1186" s="84">
        <v>7.36</v>
      </c>
      <c r="D1186" s="53">
        <v>12.505084600648027</v>
      </c>
      <c r="E1186" s="78">
        <v>1699.0604076967429</v>
      </c>
      <c r="F1186" s="84">
        <v>8.31</v>
      </c>
      <c r="G1186" s="53">
        <v>14.6900025</v>
      </c>
      <c r="H1186" s="78">
        <v>1767.75</v>
      </c>
      <c r="I1186" s="84">
        <v>9.32</v>
      </c>
      <c r="J1186" s="53">
        <v>19.242631199999998</v>
      </c>
      <c r="K1186" s="78">
        <v>2064.66</v>
      </c>
      <c r="L1186" s="84">
        <v>8.33</v>
      </c>
      <c r="M1186" s="53">
        <v>15.479239433549344</v>
      </c>
      <c r="N1186" s="78">
        <v>1858.2520328390569</v>
      </c>
    </row>
    <row r="1187" spans="1:14" ht="19.5" customHeight="1" outlineLevel="1" x14ac:dyDescent="0.2">
      <c r="A1187" s="101">
        <v>5</v>
      </c>
      <c r="B1187" s="81" t="s">
        <v>12</v>
      </c>
      <c r="C1187" s="84">
        <v>31.03</v>
      </c>
      <c r="D1187" s="53">
        <v>64.554661368932031</v>
      </c>
      <c r="E1187" s="78">
        <v>2080.3951456310679</v>
      </c>
      <c r="F1187" s="84">
        <v>42.86</v>
      </c>
      <c r="G1187" s="53">
        <v>77.883533192468619</v>
      </c>
      <c r="H1187" s="78">
        <v>1817.1612970711299</v>
      </c>
      <c r="I1187" s="84">
        <v>40.520000000000003</v>
      </c>
      <c r="J1187" s="53">
        <v>79.168064178882744</v>
      </c>
      <c r="K1187" s="78">
        <v>1953.8021761817063</v>
      </c>
      <c r="L1187" s="84">
        <v>38.136666666666663</v>
      </c>
      <c r="M1187" s="53">
        <v>73.868752913427798</v>
      </c>
      <c r="N1187" s="78">
        <v>1936.9483326657059</v>
      </c>
    </row>
    <row r="1188" spans="1:14" ht="19.5" customHeight="1" outlineLevel="1" x14ac:dyDescent="0.2">
      <c r="A1188" s="101">
        <v>6</v>
      </c>
      <c r="B1188" s="81" t="s">
        <v>13</v>
      </c>
      <c r="C1188" s="84">
        <v>117.31</v>
      </c>
      <c r="D1188" s="53">
        <v>157.12710999999999</v>
      </c>
      <c r="E1188" s="78">
        <v>1339.4178671894979</v>
      </c>
      <c r="F1188" s="84">
        <v>106.54</v>
      </c>
      <c r="G1188" s="53">
        <v>144.32634999999999</v>
      </c>
      <c r="H1188" s="78">
        <v>1354.6681997371877</v>
      </c>
      <c r="I1188" s="84">
        <v>102.59</v>
      </c>
      <c r="J1188" s="53">
        <v>136.04362</v>
      </c>
      <c r="K1188" s="78">
        <v>1326.0904571595672</v>
      </c>
      <c r="L1188" s="84">
        <v>108.81333333333335</v>
      </c>
      <c r="M1188" s="53">
        <v>145.83235999999999</v>
      </c>
      <c r="N1188" s="78">
        <v>1340.2067148633744</v>
      </c>
    </row>
    <row r="1189" spans="1:14" ht="19.5" customHeight="1" outlineLevel="1" x14ac:dyDescent="0.2">
      <c r="A1189" s="101">
        <v>7</v>
      </c>
      <c r="B1189" s="81" t="s">
        <v>14</v>
      </c>
      <c r="C1189" s="84">
        <v>11.61</v>
      </c>
      <c r="D1189" s="53">
        <v>19.726091333359186</v>
      </c>
      <c r="E1189" s="78">
        <v>1699.0604076967429</v>
      </c>
      <c r="F1189" s="84">
        <v>13.44</v>
      </c>
      <c r="G1189" s="53">
        <v>24.865410181818181</v>
      </c>
      <c r="H1189" s="78">
        <v>1850.1049242424242</v>
      </c>
      <c r="I1189" s="84">
        <v>9.52</v>
      </c>
      <c r="J1189" s="53">
        <v>15.711808000000001</v>
      </c>
      <c r="K1189" s="78">
        <v>1650.4</v>
      </c>
      <c r="L1189" s="84">
        <v>11.523333333333332</v>
      </c>
      <c r="M1189" s="53">
        <v>20.101103171725793</v>
      </c>
      <c r="N1189" s="78">
        <v>1744.3826877401616</v>
      </c>
    </row>
    <row r="1190" spans="1:14" ht="19.5" customHeight="1" outlineLevel="1" x14ac:dyDescent="0.2">
      <c r="A1190" s="101">
        <v>8</v>
      </c>
      <c r="B1190" s="81" t="s">
        <v>15</v>
      </c>
      <c r="C1190" s="84">
        <v>538.77</v>
      </c>
      <c r="D1190" s="53">
        <v>487.70752999999996</v>
      </c>
      <c r="E1190" s="78">
        <v>905.2239916847634</v>
      </c>
      <c r="F1190" s="84">
        <v>467.11</v>
      </c>
      <c r="G1190" s="53">
        <v>420.45835016465747</v>
      </c>
      <c r="H1190" s="78">
        <v>900.12705821895793</v>
      </c>
      <c r="I1190" s="84">
        <v>427.23</v>
      </c>
      <c r="J1190" s="53">
        <v>455.712947220947</v>
      </c>
      <c r="K1190" s="78">
        <v>1066.6688837884676</v>
      </c>
      <c r="L1190" s="84">
        <v>477.70333333333338</v>
      </c>
      <c r="M1190" s="53">
        <v>454.62627579520148</v>
      </c>
      <c r="N1190" s="78">
        <v>951.69165478267848</v>
      </c>
    </row>
    <row r="1191" spans="1:14" ht="19.5" customHeight="1" outlineLevel="1" x14ac:dyDescent="0.2">
      <c r="A1191" s="101">
        <v>9</v>
      </c>
      <c r="B1191" s="81" t="s">
        <v>16</v>
      </c>
      <c r="C1191" s="84">
        <v>396.48</v>
      </c>
      <c r="D1191" s="53">
        <v>585.3178612386962</v>
      </c>
      <c r="E1191" s="78">
        <v>1476.2859696294797</v>
      </c>
      <c r="F1191" s="84">
        <v>258</v>
      </c>
      <c r="G1191" s="53">
        <v>430.5989129855725</v>
      </c>
      <c r="H1191" s="78">
        <v>1668.9880348278002</v>
      </c>
      <c r="I1191" s="84">
        <v>543.48</v>
      </c>
      <c r="J1191" s="53">
        <v>883.51250363000008</v>
      </c>
      <c r="K1191" s="78">
        <v>1625.6578045742253</v>
      </c>
      <c r="L1191" s="84">
        <v>399.32</v>
      </c>
      <c r="M1191" s="53">
        <v>633.14309261808955</v>
      </c>
      <c r="N1191" s="78">
        <v>1585.5531719375176</v>
      </c>
    </row>
    <row r="1192" spans="1:14" ht="19.5" customHeight="1" outlineLevel="1" x14ac:dyDescent="0.2">
      <c r="A1192" s="101">
        <v>10</v>
      </c>
      <c r="B1192" s="81" t="s">
        <v>17</v>
      </c>
      <c r="C1192" s="84">
        <v>272.5</v>
      </c>
      <c r="D1192" s="53">
        <v>485.27750299999997</v>
      </c>
      <c r="E1192" s="78">
        <v>1780.8348733944954</v>
      </c>
      <c r="F1192" s="84">
        <v>154.69999999999999</v>
      </c>
      <c r="G1192" s="53">
        <v>234.06720700000002</v>
      </c>
      <c r="H1192" s="78">
        <v>1513.0394764059472</v>
      </c>
      <c r="I1192" s="84">
        <v>243.97</v>
      </c>
      <c r="J1192" s="53">
        <v>402.11296029999994</v>
      </c>
      <c r="K1192" s="78">
        <v>1648.2065840062301</v>
      </c>
      <c r="L1192" s="84">
        <v>223.72333333333333</v>
      </c>
      <c r="M1192" s="53">
        <v>373.81922343333326</v>
      </c>
      <c r="N1192" s="78">
        <v>1670.8995787952379</v>
      </c>
    </row>
    <row r="1193" spans="1:14" ht="19.5" customHeight="1" outlineLevel="1" x14ac:dyDescent="0.2">
      <c r="A1193" s="101">
        <v>11</v>
      </c>
      <c r="B1193" s="81" t="s">
        <v>18</v>
      </c>
      <c r="C1193" s="84">
        <v>745.73</v>
      </c>
      <c r="D1193" s="53">
        <v>1497.09883126</v>
      </c>
      <c r="E1193" s="78">
        <v>2007.5614917731616</v>
      </c>
      <c r="F1193" s="84">
        <v>597.42999999999995</v>
      </c>
      <c r="G1193" s="53">
        <v>1244.1702984899998</v>
      </c>
      <c r="H1193" s="78">
        <v>2082.5373658671306</v>
      </c>
      <c r="I1193" s="84">
        <v>1102.02</v>
      </c>
      <c r="J1193" s="53">
        <v>2572.0027385799995</v>
      </c>
      <c r="K1193" s="78">
        <v>2333.8984216075933</v>
      </c>
      <c r="L1193" s="84">
        <v>815.06</v>
      </c>
      <c r="M1193" s="53">
        <v>1771.0906227766664</v>
      </c>
      <c r="N1193" s="78">
        <v>2172.9573562396222</v>
      </c>
    </row>
    <row r="1194" spans="1:14" ht="19.5" customHeight="1" outlineLevel="1" x14ac:dyDescent="0.2">
      <c r="A1194" s="101">
        <v>12</v>
      </c>
      <c r="B1194" s="81" t="s">
        <v>19</v>
      </c>
      <c r="C1194" s="84">
        <v>843.36</v>
      </c>
      <c r="D1194" s="53">
        <v>1694.5942631999999</v>
      </c>
      <c r="E1194" s="78">
        <v>2009.3367757541262</v>
      </c>
      <c r="F1194" s="84">
        <v>573.78</v>
      </c>
      <c r="G1194" s="53">
        <v>1225.6475329999998</v>
      </c>
      <c r="H1194" s="78">
        <v>2136.0931593990726</v>
      </c>
      <c r="I1194" s="84">
        <v>791.4</v>
      </c>
      <c r="J1194" s="53">
        <v>1647.7311556000002</v>
      </c>
      <c r="K1194" s="78">
        <v>2082.0459383371244</v>
      </c>
      <c r="L1194" s="84">
        <v>736.18</v>
      </c>
      <c r="M1194" s="53">
        <v>1522.6576506000001</v>
      </c>
      <c r="N1194" s="78">
        <v>2068.3224898801927</v>
      </c>
    </row>
    <row r="1195" spans="1:14" ht="19.5" customHeight="1" outlineLevel="1" x14ac:dyDescent="0.2">
      <c r="A1195" s="101">
        <v>13</v>
      </c>
      <c r="B1195" s="81" t="s">
        <v>20</v>
      </c>
      <c r="C1195" s="84">
        <v>599.91</v>
      </c>
      <c r="D1195" s="53">
        <v>976.56254935751383</v>
      </c>
      <c r="E1195" s="78">
        <v>1627.8484261931187</v>
      </c>
      <c r="F1195" s="84">
        <v>189.5</v>
      </c>
      <c r="G1195" s="53">
        <v>327.27355786944577</v>
      </c>
      <c r="H1195" s="78">
        <v>1727.0372446936453</v>
      </c>
      <c r="I1195" s="84">
        <v>672.42</v>
      </c>
      <c r="J1195" s="53">
        <v>1281.0739407799999</v>
      </c>
      <c r="K1195" s="78">
        <v>1905.1693001100502</v>
      </c>
      <c r="L1195" s="84">
        <v>487.27666666666664</v>
      </c>
      <c r="M1195" s="53">
        <v>861.6366826689864</v>
      </c>
      <c r="N1195" s="78">
        <v>1768.2699411059832</v>
      </c>
    </row>
    <row r="1196" spans="1:14" ht="19.5" customHeight="1" outlineLevel="1" x14ac:dyDescent="0.2">
      <c r="A1196" s="101">
        <v>14</v>
      </c>
      <c r="B1196" s="81" t="s">
        <v>21</v>
      </c>
      <c r="C1196" s="84">
        <v>457.6</v>
      </c>
      <c r="D1196" s="53">
        <v>1006.4283699999999</v>
      </c>
      <c r="E1196" s="78">
        <v>2199.3626966783213</v>
      </c>
      <c r="F1196" s="84">
        <v>304.75</v>
      </c>
      <c r="G1196" s="53">
        <v>628.7568</v>
      </c>
      <c r="H1196" s="78">
        <v>2063.1888433141921</v>
      </c>
      <c r="I1196" s="84">
        <v>403.4</v>
      </c>
      <c r="J1196" s="53">
        <v>984.83744999999999</v>
      </c>
      <c r="K1196" s="78">
        <v>2441.3422161626177</v>
      </c>
      <c r="L1196" s="84">
        <v>388.58333333333331</v>
      </c>
      <c r="M1196" s="53">
        <v>873.34087333333321</v>
      </c>
      <c r="N1196" s="78">
        <v>2247.4995668024872</v>
      </c>
    </row>
    <row r="1197" spans="1:14" ht="19.5" customHeight="1" outlineLevel="1" x14ac:dyDescent="0.2">
      <c r="A1197" s="101">
        <v>15</v>
      </c>
      <c r="B1197" s="81" t="s">
        <v>22</v>
      </c>
      <c r="C1197" s="84">
        <v>677.95</v>
      </c>
      <c r="D1197" s="53">
        <v>1348.1676500000001</v>
      </c>
      <c r="E1197" s="78">
        <v>1988.5945128696806</v>
      </c>
      <c r="F1197" s="84">
        <v>819.3</v>
      </c>
      <c r="G1197" s="53">
        <v>1489.9799</v>
      </c>
      <c r="H1197" s="78">
        <v>1818.6011229098015</v>
      </c>
      <c r="I1197" s="84">
        <v>889.69</v>
      </c>
      <c r="J1197" s="53">
        <v>1629.3554999999999</v>
      </c>
      <c r="K1197" s="78">
        <v>1831.374411311805</v>
      </c>
      <c r="L1197" s="84">
        <v>795.64666666666665</v>
      </c>
      <c r="M1197" s="53">
        <v>1489.1676833333333</v>
      </c>
      <c r="N1197" s="78">
        <v>1871.6444694881313</v>
      </c>
    </row>
    <row r="1198" spans="1:14" ht="19.5" customHeight="1" outlineLevel="1" x14ac:dyDescent="0.2">
      <c r="A1198" s="101">
        <v>16</v>
      </c>
      <c r="B1198" s="81" t="s">
        <v>23</v>
      </c>
      <c r="C1198" s="84">
        <v>225.34</v>
      </c>
      <c r="D1198" s="53">
        <v>490.79194999999993</v>
      </c>
      <c r="E1198" s="78">
        <v>2178.0063459660955</v>
      </c>
      <c r="F1198" s="84">
        <v>236.7</v>
      </c>
      <c r="G1198" s="53">
        <v>481.82515799999999</v>
      </c>
      <c r="H1198" s="78">
        <v>2035.594245880862</v>
      </c>
      <c r="I1198" s="84">
        <v>218.43</v>
      </c>
      <c r="J1198" s="53">
        <v>475.96462839999998</v>
      </c>
      <c r="K1198" s="78">
        <v>2179.0259048665475</v>
      </c>
      <c r="L1198" s="84">
        <v>226.82333333333335</v>
      </c>
      <c r="M1198" s="53">
        <v>482.86057879999998</v>
      </c>
      <c r="N1198" s="78">
        <v>2128.7958857848248</v>
      </c>
    </row>
    <row r="1199" spans="1:14" ht="19.5" customHeight="1" outlineLevel="1" x14ac:dyDescent="0.2">
      <c r="A1199" s="101">
        <v>17</v>
      </c>
      <c r="B1199" s="81" t="s">
        <v>24</v>
      </c>
      <c r="C1199" s="84">
        <v>831.59</v>
      </c>
      <c r="D1199" s="53">
        <v>1632.3571899999997</v>
      </c>
      <c r="E1199" s="78">
        <v>1962.9350882045235</v>
      </c>
      <c r="F1199" s="84">
        <v>753.95</v>
      </c>
      <c r="G1199" s="53">
        <v>1467.2667300000001</v>
      </c>
      <c r="H1199" s="78">
        <v>1946.1061476225213</v>
      </c>
      <c r="I1199" s="84">
        <v>935.14</v>
      </c>
      <c r="J1199" s="53">
        <v>1691.7309800000003</v>
      </c>
      <c r="K1199" s="78">
        <v>1809.0670701713116</v>
      </c>
      <c r="L1199" s="84">
        <v>840.22666666666657</v>
      </c>
      <c r="M1199" s="53">
        <v>1597.1183000000001</v>
      </c>
      <c r="N1199" s="78">
        <v>1900.8183902756402</v>
      </c>
    </row>
    <row r="1200" spans="1:14" ht="19.5" customHeight="1" outlineLevel="1" x14ac:dyDescent="0.2">
      <c r="A1200" s="101">
        <v>18</v>
      </c>
      <c r="B1200" s="81" t="s">
        <v>25</v>
      </c>
      <c r="C1200" s="84">
        <v>230.15</v>
      </c>
      <c r="D1200" s="53">
        <v>381.45318842235213</v>
      </c>
      <c r="E1200" s="78">
        <v>1657.4112032255143</v>
      </c>
      <c r="F1200" s="84">
        <v>137.65</v>
      </c>
      <c r="G1200" s="53">
        <v>304.01739000000009</v>
      </c>
      <c r="H1200" s="78">
        <v>2208.6261532873232</v>
      </c>
      <c r="I1200" s="84">
        <v>217.21</v>
      </c>
      <c r="J1200" s="53">
        <v>501.63821999999999</v>
      </c>
      <c r="K1200" s="78">
        <v>2309.4619032272913</v>
      </c>
      <c r="L1200" s="84">
        <v>195.00333333333333</v>
      </c>
      <c r="M1200" s="53">
        <v>395.70293280745074</v>
      </c>
      <c r="N1200" s="78">
        <v>2029.2111218993732</v>
      </c>
    </row>
    <row r="1201" spans="1:14" ht="19.5" customHeight="1" outlineLevel="1" x14ac:dyDescent="0.2">
      <c r="A1201" s="101">
        <v>19</v>
      </c>
      <c r="B1201" s="81" t="s">
        <v>26</v>
      </c>
      <c r="C1201" s="84">
        <v>121.6</v>
      </c>
      <c r="D1201" s="53">
        <v>272.88983109999992</v>
      </c>
      <c r="E1201" s="78">
        <v>2244.1597952302627</v>
      </c>
      <c r="F1201" s="84">
        <v>57.39</v>
      </c>
      <c r="G1201" s="53">
        <v>146.75092212666164</v>
      </c>
      <c r="H1201" s="78">
        <v>2557.0817586105877</v>
      </c>
      <c r="I1201" s="84">
        <v>245.01</v>
      </c>
      <c r="J1201" s="53">
        <v>616.69324399999994</v>
      </c>
      <c r="K1201" s="78">
        <v>2517.0125464266762</v>
      </c>
      <c r="L1201" s="84">
        <v>141.33333333333334</v>
      </c>
      <c r="M1201" s="53">
        <v>345.44466574222048</v>
      </c>
      <c r="N1201" s="78">
        <v>2444.1839557232579</v>
      </c>
    </row>
    <row r="1202" spans="1:14" ht="19.5" customHeight="1" outlineLevel="1" x14ac:dyDescent="0.2">
      <c r="A1202" s="101">
        <v>20</v>
      </c>
      <c r="B1202" s="81" t="s">
        <v>27</v>
      </c>
      <c r="C1202" s="84">
        <v>89.9</v>
      </c>
      <c r="D1202" s="53">
        <v>89.788529784007352</v>
      </c>
      <c r="E1202" s="78">
        <v>998.76006433823522</v>
      </c>
      <c r="F1202" s="84">
        <v>91.97</v>
      </c>
      <c r="G1202" s="53">
        <v>88.649980180530562</v>
      </c>
      <c r="H1202" s="78">
        <v>963.90105665467615</v>
      </c>
      <c r="I1202" s="84">
        <v>72.400000000000006</v>
      </c>
      <c r="J1202" s="53">
        <v>68.899341277330265</v>
      </c>
      <c r="K1202" s="78">
        <v>951.64836018411972</v>
      </c>
      <c r="L1202" s="84">
        <v>84.756666666666675</v>
      </c>
      <c r="M1202" s="53">
        <v>82.445950413956055</v>
      </c>
      <c r="N1202" s="78">
        <v>972.73705605013629</v>
      </c>
    </row>
    <row r="1203" spans="1:14" ht="19.5" customHeight="1" outlineLevel="1" x14ac:dyDescent="0.2">
      <c r="A1203" s="101">
        <v>21</v>
      </c>
      <c r="B1203" s="81" t="s">
        <v>28</v>
      </c>
      <c r="C1203" s="84">
        <v>17.899999999999999</v>
      </c>
      <c r="D1203" s="53">
        <v>26.216339999999995</v>
      </c>
      <c r="E1203" s="78">
        <v>1464.6</v>
      </c>
      <c r="F1203" s="84">
        <v>20.74</v>
      </c>
      <c r="G1203" s="53">
        <v>45.397786000000004</v>
      </c>
      <c r="H1203" s="78">
        <v>2188.9</v>
      </c>
      <c r="I1203" s="84">
        <v>16.100000000000001</v>
      </c>
      <c r="J1203" s="53">
        <v>31.997140000000002</v>
      </c>
      <c r="K1203" s="78">
        <v>1987.4</v>
      </c>
      <c r="L1203" s="84">
        <v>18.246666666666666</v>
      </c>
      <c r="M1203" s="53">
        <v>34.537088666666669</v>
      </c>
      <c r="N1203" s="78">
        <v>1892.7889294848376</v>
      </c>
    </row>
    <row r="1204" spans="1:14" ht="19.5" customHeight="1" outlineLevel="1" x14ac:dyDescent="0.2">
      <c r="A1204" s="101">
        <v>22</v>
      </c>
      <c r="B1204" s="81" t="s">
        <v>29</v>
      </c>
      <c r="C1204" s="84">
        <v>18.04</v>
      </c>
      <c r="D1204" s="53">
        <v>30.651049754849243</v>
      </c>
      <c r="E1204" s="78">
        <v>1699.0604076967429</v>
      </c>
      <c r="F1204" s="84">
        <v>19.3</v>
      </c>
      <c r="G1204" s="53">
        <v>33.087278131632836</v>
      </c>
      <c r="H1204" s="78">
        <v>1714.3667425716492</v>
      </c>
      <c r="I1204" s="84">
        <v>22.57</v>
      </c>
      <c r="J1204" s="53">
        <v>41.541885308110658</v>
      </c>
      <c r="K1204" s="78">
        <v>1840.5797655343667</v>
      </c>
      <c r="L1204" s="84">
        <v>19.970000000000002</v>
      </c>
      <c r="M1204" s="53">
        <v>35.093404398197578</v>
      </c>
      <c r="N1204" s="78">
        <v>1757.3061791786465</v>
      </c>
    </row>
    <row r="1205" spans="1:14" ht="19.5" customHeight="1" outlineLevel="1" x14ac:dyDescent="0.2">
      <c r="A1205" s="101">
        <v>23</v>
      </c>
      <c r="B1205" s="81" t="s">
        <v>30</v>
      </c>
      <c r="C1205" s="84">
        <v>136.16</v>
      </c>
      <c r="D1205" s="53">
        <v>183.32711864991472</v>
      </c>
      <c r="E1205" s="78">
        <v>1346.4095082984336</v>
      </c>
      <c r="F1205" s="84">
        <v>134.9</v>
      </c>
      <c r="G1205" s="53">
        <v>182.22299249904032</v>
      </c>
      <c r="H1205" s="78">
        <v>1350.8005374280231</v>
      </c>
      <c r="I1205" s="84">
        <v>126.72</v>
      </c>
      <c r="J1205" s="53">
        <v>181.3756114285714</v>
      </c>
      <c r="K1205" s="78">
        <v>1431.3100649350647</v>
      </c>
      <c r="L1205" s="84">
        <v>132.59333333333333</v>
      </c>
      <c r="M1205" s="53">
        <v>182.30857419250879</v>
      </c>
      <c r="N1205" s="78">
        <v>1374.9452525957222</v>
      </c>
    </row>
    <row r="1206" spans="1:14" ht="19.5" customHeight="1" outlineLevel="1" x14ac:dyDescent="0.2">
      <c r="A1206" s="101">
        <v>24</v>
      </c>
      <c r="B1206" s="81" t="s">
        <v>31</v>
      </c>
      <c r="C1206" s="84">
        <v>446.98</v>
      </c>
      <c r="D1206" s="53">
        <v>586.17486400000018</v>
      </c>
      <c r="E1206" s="78">
        <v>1311.4118394559043</v>
      </c>
      <c r="F1206" s="84">
        <v>466.51</v>
      </c>
      <c r="G1206" s="53">
        <v>645.6958810000001</v>
      </c>
      <c r="H1206" s="78">
        <v>1384.0986924181691</v>
      </c>
      <c r="I1206" s="84">
        <v>480.76</v>
      </c>
      <c r="J1206" s="53">
        <v>680.96150899999986</v>
      </c>
      <c r="K1206" s="78">
        <v>1416.4271341209749</v>
      </c>
      <c r="L1206" s="84">
        <v>464.75</v>
      </c>
      <c r="M1206" s="53">
        <v>637.61075133333327</v>
      </c>
      <c r="N1206" s="78">
        <v>1371.9435208893669</v>
      </c>
    </row>
    <row r="1207" spans="1:14" ht="19.5" customHeight="1" outlineLevel="1" x14ac:dyDescent="0.2">
      <c r="A1207" s="101">
        <v>25</v>
      </c>
      <c r="B1207" s="81" t="s">
        <v>32</v>
      </c>
      <c r="C1207" s="84">
        <v>5.14</v>
      </c>
      <c r="D1207" s="53">
        <v>8.733170495561259</v>
      </c>
      <c r="E1207" s="78">
        <v>1699.0604076967429</v>
      </c>
      <c r="F1207" s="84">
        <v>4.3899999999999997</v>
      </c>
      <c r="G1207" s="53">
        <v>7.5260699998895397</v>
      </c>
      <c r="H1207" s="78">
        <v>1714.3667425716492</v>
      </c>
      <c r="I1207" s="84">
        <v>1.57</v>
      </c>
      <c r="J1207" s="53">
        <v>2.889710231888956</v>
      </c>
      <c r="K1207" s="78">
        <v>1840.5797655343667</v>
      </c>
      <c r="L1207" s="84">
        <v>3.6999999999999997</v>
      </c>
      <c r="M1207" s="53">
        <v>6.3829835757799174</v>
      </c>
      <c r="N1207" s="78">
        <v>1725.1306961567345</v>
      </c>
    </row>
    <row r="1208" spans="1:14" ht="19.5" customHeight="1" outlineLevel="1" x14ac:dyDescent="0.2">
      <c r="A1208" s="101">
        <v>26</v>
      </c>
      <c r="B1208" s="81" t="s">
        <v>33</v>
      </c>
      <c r="C1208" s="84">
        <v>10.4</v>
      </c>
      <c r="D1208" s="53">
        <v>18.308160000000001</v>
      </c>
      <c r="E1208" s="78">
        <v>1760.3999999999999</v>
      </c>
      <c r="F1208" s="84">
        <v>7.19</v>
      </c>
      <c r="G1208" s="53">
        <v>14.641716000000002</v>
      </c>
      <c r="H1208" s="78">
        <v>2036.4</v>
      </c>
      <c r="I1208" s="84">
        <v>7.35</v>
      </c>
      <c r="J1208" s="53">
        <v>11.176410000000001</v>
      </c>
      <c r="K1208" s="78">
        <v>1520.6000000000001</v>
      </c>
      <c r="L1208" s="84">
        <v>8.3133333333333326</v>
      </c>
      <c r="M1208" s="53">
        <v>14.708762000000002</v>
      </c>
      <c r="N1208" s="78">
        <v>1769.2977546110669</v>
      </c>
    </row>
    <row r="1209" spans="1:14" ht="19.5" customHeight="1" outlineLevel="1" x14ac:dyDescent="0.2">
      <c r="A1209" s="101">
        <v>27</v>
      </c>
      <c r="B1209" s="81" t="s">
        <v>34</v>
      </c>
      <c r="C1209" s="84">
        <v>12.41</v>
      </c>
      <c r="D1209" s="53">
        <v>21.085339659516581</v>
      </c>
      <c r="E1209" s="78">
        <v>1699.0604076967429</v>
      </c>
      <c r="F1209" s="84">
        <v>10.86</v>
      </c>
      <c r="G1209" s="53">
        <v>15.315858000000002</v>
      </c>
      <c r="H1209" s="78">
        <v>1410.3000000000002</v>
      </c>
      <c r="I1209" s="84">
        <v>7.97</v>
      </c>
      <c r="J1209" s="53">
        <v>11.315009</v>
      </c>
      <c r="K1209" s="78">
        <v>1419.7</v>
      </c>
      <c r="L1209" s="84">
        <v>10.413333333333332</v>
      </c>
      <c r="M1209" s="53">
        <v>15.905402219838862</v>
      </c>
      <c r="N1209" s="78">
        <v>1527.4073834672406</v>
      </c>
    </row>
    <row r="1210" spans="1:14" ht="19.5" customHeight="1" outlineLevel="1" x14ac:dyDescent="0.2">
      <c r="A1210" s="101">
        <v>28</v>
      </c>
      <c r="B1210" s="81" t="s">
        <v>35</v>
      </c>
      <c r="C1210" s="84">
        <v>15.67</v>
      </c>
      <c r="D1210" s="53">
        <v>16.878750459574469</v>
      </c>
      <c r="E1210" s="78">
        <v>1077.1378723404255</v>
      </c>
      <c r="F1210" s="84">
        <v>12.18</v>
      </c>
      <c r="G1210" s="53">
        <v>13.211277086538459</v>
      </c>
      <c r="H1210" s="78">
        <v>1084.6697115384613</v>
      </c>
      <c r="I1210" s="84">
        <v>11.31</v>
      </c>
      <c r="J1210" s="53">
        <v>11.731818863414633</v>
      </c>
      <c r="K1210" s="78">
        <v>1037.2960975609756</v>
      </c>
      <c r="L1210" s="84">
        <v>13.053333333333335</v>
      </c>
      <c r="M1210" s="53">
        <v>13.94061546984252</v>
      </c>
      <c r="N1210" s="78">
        <v>1067.9736059634208</v>
      </c>
    </row>
    <row r="1211" spans="1:14" ht="19.5" customHeight="1" outlineLevel="1" x14ac:dyDescent="0.2">
      <c r="A1211" s="101">
        <v>29</v>
      </c>
      <c r="B1211" s="81" t="s">
        <v>36</v>
      </c>
      <c r="C1211" s="84">
        <v>12.55</v>
      </c>
      <c r="D1211" s="53">
        <v>21.323208116594124</v>
      </c>
      <c r="E1211" s="78">
        <v>1699.0604076967429</v>
      </c>
      <c r="F1211" s="84">
        <v>12.8</v>
      </c>
      <c r="G1211" s="53">
        <v>21.943894304917109</v>
      </c>
      <c r="H1211" s="78">
        <v>1714.3667425716492</v>
      </c>
      <c r="I1211" s="84">
        <v>13.12</v>
      </c>
      <c r="J1211" s="53">
        <v>24.148406523810888</v>
      </c>
      <c r="K1211" s="78">
        <v>1840.5797655343667</v>
      </c>
      <c r="L1211" s="84">
        <v>12.823333333333332</v>
      </c>
      <c r="M1211" s="53">
        <v>22.471836315107371</v>
      </c>
      <c r="N1211" s="78">
        <v>1752.4177006842247</v>
      </c>
    </row>
    <row r="1212" spans="1:14" ht="19.5" customHeight="1" outlineLevel="1" x14ac:dyDescent="0.2">
      <c r="A1212" s="101">
        <v>30</v>
      </c>
      <c r="B1212" s="81" t="s">
        <v>37</v>
      </c>
      <c r="C1212" s="84">
        <v>157.80000000000001</v>
      </c>
      <c r="D1212" s="53">
        <v>141.27159000000003</v>
      </c>
      <c r="E1212" s="78">
        <v>895.25722433460078</v>
      </c>
      <c r="F1212" s="84">
        <v>140.88999999999999</v>
      </c>
      <c r="G1212" s="53">
        <v>141.94196149999996</v>
      </c>
      <c r="H1212" s="78">
        <v>1007.4665448222017</v>
      </c>
      <c r="I1212" s="84">
        <v>134.94999999999999</v>
      </c>
      <c r="J1212" s="53">
        <v>127.68176200000001</v>
      </c>
      <c r="K1212" s="78">
        <v>946.14125231567255</v>
      </c>
      <c r="L1212" s="84">
        <v>144.54666666666665</v>
      </c>
      <c r="M1212" s="53">
        <v>136.9651045</v>
      </c>
      <c r="N1212" s="78">
        <v>947.54938082280228</v>
      </c>
    </row>
    <row r="1213" spans="1:14" ht="19.5" customHeight="1" outlineLevel="1" x14ac:dyDescent="0.2">
      <c r="A1213" s="101">
        <v>31</v>
      </c>
      <c r="B1213" s="81" t="s">
        <v>38</v>
      </c>
      <c r="C1213" s="84">
        <v>16.649999999999999</v>
      </c>
      <c r="D1213" s="53">
        <v>13.036949999999999</v>
      </c>
      <c r="E1213" s="78">
        <v>783</v>
      </c>
      <c r="F1213" s="84">
        <v>17.36</v>
      </c>
      <c r="G1213" s="53">
        <v>11.70064</v>
      </c>
      <c r="H1213" s="78">
        <v>674</v>
      </c>
      <c r="I1213" s="84">
        <v>18.36</v>
      </c>
      <c r="J1213" s="53">
        <v>15.899760000000001</v>
      </c>
      <c r="K1213" s="78">
        <v>866</v>
      </c>
      <c r="L1213" s="84">
        <v>17.456666666666667</v>
      </c>
      <c r="M1213" s="53">
        <v>13.545783333333333</v>
      </c>
      <c r="N1213" s="78">
        <v>775.9662020240595</v>
      </c>
    </row>
    <row r="1214" spans="1:14" ht="19.5" customHeight="1" outlineLevel="1" x14ac:dyDescent="0.2">
      <c r="A1214" s="101">
        <v>32</v>
      </c>
      <c r="B1214" s="81" t="s">
        <v>39</v>
      </c>
      <c r="C1214" s="84">
        <v>31.41</v>
      </c>
      <c r="D1214" s="53">
        <v>28.436798716476986</v>
      </c>
      <c r="E1214" s="78">
        <v>905.34220682830266</v>
      </c>
      <c r="F1214" s="84">
        <v>31.7</v>
      </c>
      <c r="G1214" s="53">
        <v>32.226779411764703</v>
      </c>
      <c r="H1214" s="78">
        <v>1016.6176470588235</v>
      </c>
      <c r="I1214" s="84">
        <v>28.37</v>
      </c>
      <c r="J1214" s="53">
        <v>30.532269614705882</v>
      </c>
      <c r="K1214" s="78">
        <v>1076.2167647058823</v>
      </c>
      <c r="L1214" s="84">
        <v>30.493333333333336</v>
      </c>
      <c r="M1214" s="53">
        <v>30.398615914315855</v>
      </c>
      <c r="N1214" s="78">
        <v>996.89383190804062</v>
      </c>
    </row>
    <row r="1215" spans="1:14" ht="19.5" customHeight="1" outlineLevel="1" thickBot="1" x14ac:dyDescent="0.25">
      <c r="A1215" s="102">
        <v>33</v>
      </c>
      <c r="B1215" s="91" t="s">
        <v>40</v>
      </c>
      <c r="C1215" s="92">
        <v>48.88</v>
      </c>
      <c r="D1215" s="93">
        <v>61.479358755270397</v>
      </c>
      <c r="E1215" s="94">
        <v>1257.7610219981668</v>
      </c>
      <c r="F1215" s="92">
        <v>47.04</v>
      </c>
      <c r="G1215" s="93">
        <v>60.551298237161681</v>
      </c>
      <c r="H1215" s="94">
        <v>1287.2299795314984</v>
      </c>
      <c r="I1215" s="92">
        <v>47.94</v>
      </c>
      <c r="J1215" s="93">
        <v>52.57643832762097</v>
      </c>
      <c r="K1215" s="94">
        <v>1096.7133568548388</v>
      </c>
      <c r="L1215" s="92">
        <v>47.95333333333334</v>
      </c>
      <c r="M1215" s="93">
        <v>58.202365106684347</v>
      </c>
      <c r="N1215" s="94">
        <v>1213.7292876411304</v>
      </c>
    </row>
    <row r="1216" spans="1:14" ht="19.5" customHeight="1" thickBot="1" x14ac:dyDescent="0.25">
      <c r="A1216" s="151" t="s">
        <v>41</v>
      </c>
      <c r="B1216" s="152"/>
      <c r="C1216" s="96">
        <v>7640.49</v>
      </c>
      <c r="D1216" s="97">
        <v>12981.654054402778</v>
      </c>
      <c r="E1216" s="98">
        <v>1699.0604076967286</v>
      </c>
      <c r="F1216" s="96">
        <v>6220.83</v>
      </c>
      <c r="G1216" s="97">
        <v>10664.784063192064</v>
      </c>
      <c r="H1216" s="98">
        <v>1714.3667425716608</v>
      </c>
      <c r="I1216" s="96">
        <v>8497.2100000000028</v>
      </c>
      <c r="J1216" s="97">
        <v>15639.792789495961</v>
      </c>
      <c r="K1216" s="98">
        <v>1840.579765534329</v>
      </c>
      <c r="L1216" s="96">
        <v>7452.8433333333342</v>
      </c>
      <c r="M1216" s="97">
        <v>13095.410302363603</v>
      </c>
      <c r="N1216" s="98">
        <v>1757.1025871151103</v>
      </c>
    </row>
    <row r="1217" spans="1:14" ht="34.5" customHeight="1" x14ac:dyDescent="0.2">
      <c r="A1217" s="153" t="s">
        <v>247</v>
      </c>
      <c r="B1217" s="154"/>
      <c r="C1217" s="154"/>
      <c r="D1217" s="154"/>
      <c r="E1217" s="154"/>
      <c r="F1217" s="154"/>
      <c r="G1217" s="154"/>
      <c r="H1217" s="154"/>
      <c r="I1217" s="154"/>
      <c r="J1217" s="154"/>
      <c r="K1217" s="154"/>
      <c r="L1217" s="154"/>
      <c r="M1217" s="154"/>
      <c r="N1217" s="154"/>
    </row>
    <row r="1218" spans="1:14" ht="19.5" customHeight="1" thickBot="1" x14ac:dyDescent="0.25">
      <c r="A1218" s="50"/>
      <c r="B1218" s="138" t="s">
        <v>74</v>
      </c>
      <c r="C1218" s="52"/>
      <c r="D1218" s="52"/>
      <c r="E1218" s="52"/>
      <c r="F1218" s="52"/>
      <c r="G1218" s="52"/>
      <c r="H1218" s="52"/>
      <c r="I1218" s="52"/>
      <c r="J1218" s="52"/>
      <c r="K1218" s="155" t="s">
        <v>1</v>
      </c>
      <c r="L1218" s="154"/>
      <c r="M1218" s="154"/>
      <c r="N1218" s="154"/>
    </row>
    <row r="1219" spans="1:14" ht="19.5" customHeight="1" x14ac:dyDescent="0.2">
      <c r="A1219" s="156" t="s">
        <v>2</v>
      </c>
      <c r="B1219" s="158" t="s">
        <v>3</v>
      </c>
      <c r="C1219" s="148" t="s">
        <v>243</v>
      </c>
      <c r="D1219" s="149"/>
      <c r="E1219" s="150"/>
      <c r="F1219" s="148" t="s">
        <v>244</v>
      </c>
      <c r="G1219" s="149"/>
      <c r="H1219" s="150"/>
      <c r="I1219" s="148" t="s">
        <v>246</v>
      </c>
      <c r="J1219" s="149"/>
      <c r="K1219" s="150"/>
      <c r="L1219" s="148" t="s">
        <v>4</v>
      </c>
      <c r="M1219" s="149"/>
      <c r="N1219" s="150"/>
    </row>
    <row r="1220" spans="1:14" ht="19.5" customHeight="1" thickBot="1" x14ac:dyDescent="0.25">
      <c r="A1220" s="157"/>
      <c r="B1220" s="159"/>
      <c r="C1220" s="85" t="s">
        <v>5</v>
      </c>
      <c r="D1220" s="79" t="s">
        <v>6</v>
      </c>
      <c r="E1220" s="80" t="s">
        <v>7</v>
      </c>
      <c r="F1220" s="85" t="s">
        <v>5</v>
      </c>
      <c r="G1220" s="79" t="s">
        <v>6</v>
      </c>
      <c r="H1220" s="80" t="s">
        <v>7</v>
      </c>
      <c r="I1220" s="85" t="s">
        <v>5</v>
      </c>
      <c r="J1220" s="79" t="s">
        <v>6</v>
      </c>
      <c r="K1220" s="80" t="s">
        <v>7</v>
      </c>
      <c r="L1220" s="85" t="s">
        <v>5</v>
      </c>
      <c r="M1220" s="79" t="s">
        <v>6</v>
      </c>
      <c r="N1220" s="80" t="s">
        <v>7</v>
      </c>
    </row>
    <row r="1221" spans="1:14" ht="19.5" customHeight="1" outlineLevel="1" x14ac:dyDescent="0.2">
      <c r="A1221" s="100">
        <v>1</v>
      </c>
      <c r="B1221" s="86" t="s">
        <v>8</v>
      </c>
      <c r="C1221" s="87">
        <v>306.61</v>
      </c>
      <c r="D1221" s="88">
        <v>612.73842243059858</v>
      </c>
      <c r="E1221" s="89">
        <v>1998.4293481314976</v>
      </c>
      <c r="F1221" s="87">
        <v>328.19</v>
      </c>
      <c r="G1221" s="88">
        <v>600.23296159797405</v>
      </c>
      <c r="H1221" s="89">
        <v>1828.9191066088974</v>
      </c>
      <c r="I1221" s="87">
        <v>358.12</v>
      </c>
      <c r="J1221" s="88">
        <v>733.92339936755002</v>
      </c>
      <c r="K1221" s="89">
        <v>2049.3784188750979</v>
      </c>
      <c r="L1221" s="87">
        <v>330.9733333333333</v>
      </c>
      <c r="M1221" s="88">
        <v>648.96492779870755</v>
      </c>
      <c r="N1221" s="89">
        <v>1960.7770851590487</v>
      </c>
    </row>
    <row r="1222" spans="1:14" ht="19.5" customHeight="1" outlineLevel="1" x14ac:dyDescent="0.2">
      <c r="A1222" s="101">
        <v>2</v>
      </c>
      <c r="B1222" s="81" t="s">
        <v>9</v>
      </c>
      <c r="C1222" s="84">
        <v>1736.71</v>
      </c>
      <c r="D1222" s="53">
        <v>3663.5636172203936</v>
      </c>
      <c r="E1222" s="78">
        <v>2109.4849555886667</v>
      </c>
      <c r="F1222" s="84">
        <v>1634.84</v>
      </c>
      <c r="G1222" s="53">
        <v>3327.642008591567</v>
      </c>
      <c r="H1222" s="78">
        <v>2035.4542393087809</v>
      </c>
      <c r="I1222" s="84">
        <v>1541.8</v>
      </c>
      <c r="J1222" s="53">
        <v>3182.9984247725761</v>
      </c>
      <c r="K1222" s="78">
        <v>2064.469078202475</v>
      </c>
      <c r="L1222" s="84">
        <v>1637.7833333333335</v>
      </c>
      <c r="M1222" s="53">
        <v>3391.4013501948452</v>
      </c>
      <c r="N1222" s="78">
        <v>2070.7265003682896</v>
      </c>
    </row>
    <row r="1223" spans="1:14" ht="19.5" customHeight="1" outlineLevel="1" x14ac:dyDescent="0.2">
      <c r="A1223" s="101">
        <v>3</v>
      </c>
      <c r="B1223" s="81" t="s">
        <v>10</v>
      </c>
      <c r="C1223" s="84">
        <v>347.08</v>
      </c>
      <c r="D1223" s="53">
        <v>567.39185113330234</v>
      </c>
      <c r="E1223" s="78">
        <v>1634.7581281932187</v>
      </c>
      <c r="F1223" s="84">
        <v>300.75</v>
      </c>
      <c r="G1223" s="53">
        <v>469.03026257344311</v>
      </c>
      <c r="H1223" s="78">
        <v>1559.5353701527617</v>
      </c>
      <c r="I1223" s="84">
        <v>260.5</v>
      </c>
      <c r="J1223" s="53">
        <v>438.78388020431771</v>
      </c>
      <c r="K1223" s="78">
        <v>1684.3910948342329</v>
      </c>
      <c r="L1223" s="84">
        <v>302.77666666666664</v>
      </c>
      <c r="M1223" s="53">
        <v>491.7353313036877</v>
      </c>
      <c r="N1223" s="78">
        <v>1624.0859532450356</v>
      </c>
    </row>
    <row r="1224" spans="1:14" ht="19.5" customHeight="1" outlineLevel="1" x14ac:dyDescent="0.2">
      <c r="A1224" s="101">
        <v>4</v>
      </c>
      <c r="B1224" s="81" t="s">
        <v>11</v>
      </c>
      <c r="C1224" s="84">
        <v>243.86</v>
      </c>
      <c r="D1224" s="53">
        <v>455.6140191664004</v>
      </c>
      <c r="E1224" s="78">
        <v>1868.3425701894546</v>
      </c>
      <c r="F1224" s="84">
        <v>236.34</v>
      </c>
      <c r="G1224" s="53">
        <v>377.79584611363629</v>
      </c>
      <c r="H1224" s="78">
        <v>1598.5268939393936</v>
      </c>
      <c r="I1224" s="84">
        <v>213.68</v>
      </c>
      <c r="J1224" s="53">
        <v>408.3525991082268</v>
      </c>
      <c r="K1224" s="78">
        <v>1911.0473563657185</v>
      </c>
      <c r="L1224" s="84">
        <v>231.29333333333338</v>
      </c>
      <c r="M1224" s="53">
        <v>413.92082146275447</v>
      </c>
      <c r="N1224" s="78">
        <v>1789.5925295270986</v>
      </c>
    </row>
    <row r="1225" spans="1:14" ht="19.5" customHeight="1" outlineLevel="1" x14ac:dyDescent="0.2">
      <c r="A1225" s="101">
        <v>5</v>
      </c>
      <c r="B1225" s="81" t="s">
        <v>12</v>
      </c>
      <c r="C1225" s="84">
        <v>36.04</v>
      </c>
      <c r="D1225" s="53">
        <v>70.465407999999996</v>
      </c>
      <c r="E1225" s="78">
        <v>1955.1999999999998</v>
      </c>
      <c r="F1225" s="84">
        <v>36.67</v>
      </c>
      <c r="G1225" s="53">
        <v>65.727935731811712</v>
      </c>
      <c r="H1225" s="78">
        <v>1792.4171184022825</v>
      </c>
      <c r="I1225" s="84">
        <v>29.06</v>
      </c>
      <c r="J1225" s="53">
        <v>53.866251807675333</v>
      </c>
      <c r="K1225" s="78">
        <v>1853.6218791354211</v>
      </c>
      <c r="L1225" s="84">
        <v>33.923333333333339</v>
      </c>
      <c r="M1225" s="53">
        <v>63.35319851316234</v>
      </c>
      <c r="N1225" s="78">
        <v>1867.5404887440993</v>
      </c>
    </row>
    <row r="1226" spans="1:14" ht="19.5" customHeight="1" outlineLevel="1" x14ac:dyDescent="0.2">
      <c r="A1226" s="101">
        <v>6</v>
      </c>
      <c r="B1226" s="81" t="s">
        <v>13</v>
      </c>
      <c r="C1226" s="84">
        <v>31.15</v>
      </c>
      <c r="D1226" s="53">
        <v>61.256092737860591</v>
      </c>
      <c r="E1226" s="78">
        <v>1966.4877283422343</v>
      </c>
      <c r="F1226" s="84">
        <v>31.14</v>
      </c>
      <c r="G1226" s="53">
        <v>62.403402632269355</v>
      </c>
      <c r="H1226" s="78">
        <v>2003.962833406209</v>
      </c>
      <c r="I1226" s="84">
        <v>9.84</v>
      </c>
      <c r="J1226" s="53">
        <v>17.789130214983711</v>
      </c>
      <c r="K1226" s="78">
        <v>1807.8384364820845</v>
      </c>
      <c r="L1226" s="84">
        <v>24.043333333333333</v>
      </c>
      <c r="M1226" s="53">
        <v>47.149541861704556</v>
      </c>
      <c r="N1226" s="78">
        <v>1961.0235073494202</v>
      </c>
    </row>
    <row r="1227" spans="1:14" ht="19.5" customHeight="1" outlineLevel="1" x14ac:dyDescent="0.2">
      <c r="A1227" s="101">
        <v>7</v>
      </c>
      <c r="B1227" s="81" t="s">
        <v>14</v>
      </c>
      <c r="C1227" s="84">
        <v>16.12</v>
      </c>
      <c r="D1227" s="53">
        <v>27.842464000000003</v>
      </c>
      <c r="E1227" s="78">
        <v>1727.2</v>
      </c>
      <c r="F1227" s="84">
        <v>26.85</v>
      </c>
      <c r="G1227" s="53">
        <v>45.698700000000002</v>
      </c>
      <c r="H1227" s="78">
        <v>1702</v>
      </c>
      <c r="I1227" s="84">
        <v>14.89</v>
      </c>
      <c r="J1227" s="53">
        <v>25.101311712250716</v>
      </c>
      <c r="K1227" s="78">
        <v>1685.7831908831911</v>
      </c>
      <c r="L1227" s="84">
        <v>19.286666666666665</v>
      </c>
      <c r="M1227" s="53">
        <v>32.880825237416907</v>
      </c>
      <c r="N1227" s="78">
        <v>1704.8474889777176</v>
      </c>
    </row>
    <row r="1228" spans="1:14" ht="19.5" customHeight="1" outlineLevel="1" x14ac:dyDescent="0.2">
      <c r="A1228" s="101">
        <v>8</v>
      </c>
      <c r="B1228" s="81" t="s">
        <v>15</v>
      </c>
      <c r="C1228" s="84">
        <v>28.53</v>
      </c>
      <c r="D1228" s="53">
        <v>15.54885</v>
      </c>
      <c r="E1228" s="78">
        <v>545</v>
      </c>
      <c r="F1228" s="84">
        <v>23.34</v>
      </c>
      <c r="G1228" s="53">
        <v>44.264323696399295</v>
      </c>
      <c r="H1228" s="78">
        <v>1896.5005868208782</v>
      </c>
      <c r="I1228" s="84">
        <v>19.14</v>
      </c>
      <c r="J1228" s="53">
        <v>31.481026435366537</v>
      </c>
      <c r="K1228" s="78">
        <v>1644.776720761052</v>
      </c>
      <c r="L1228" s="84">
        <v>23.67</v>
      </c>
      <c r="M1228" s="53">
        <v>30.431400043921943</v>
      </c>
      <c r="N1228" s="78">
        <v>1285.6527268239095</v>
      </c>
    </row>
    <row r="1229" spans="1:14" ht="19.5" customHeight="1" outlineLevel="1" x14ac:dyDescent="0.2">
      <c r="A1229" s="101">
        <v>9</v>
      </c>
      <c r="B1229" s="81" t="s">
        <v>16</v>
      </c>
      <c r="C1229" s="84">
        <v>75.17</v>
      </c>
      <c r="D1229" s="53">
        <v>149.19917653004623</v>
      </c>
      <c r="E1229" s="78">
        <v>1984.8234206471495</v>
      </c>
      <c r="F1229" s="84">
        <v>31.84</v>
      </c>
      <c r="G1229" s="53">
        <v>51.4308093648294</v>
      </c>
      <c r="H1229" s="78">
        <v>1615.2892388451446</v>
      </c>
      <c r="I1229" s="84">
        <v>37.26</v>
      </c>
      <c r="J1229" s="53">
        <v>70.271392886706423</v>
      </c>
      <c r="K1229" s="78">
        <v>1885.9740441950194</v>
      </c>
      <c r="L1229" s="84">
        <v>48.09</v>
      </c>
      <c r="M1229" s="53">
        <v>90.30045959386068</v>
      </c>
      <c r="N1229" s="78">
        <v>1877.7388145947323</v>
      </c>
    </row>
    <row r="1230" spans="1:14" ht="19.5" customHeight="1" outlineLevel="1" x14ac:dyDescent="0.2">
      <c r="A1230" s="101">
        <v>10</v>
      </c>
      <c r="B1230" s="81" t="s">
        <v>17</v>
      </c>
      <c r="C1230" s="84">
        <v>93.33</v>
      </c>
      <c r="D1230" s="53">
        <v>101.84169600000003</v>
      </c>
      <c r="E1230" s="78">
        <v>1091.2000000000003</v>
      </c>
      <c r="F1230" s="84">
        <v>37.15</v>
      </c>
      <c r="G1230" s="53">
        <v>46.326753894736846</v>
      </c>
      <c r="H1230" s="78">
        <v>1247.0189473684211</v>
      </c>
      <c r="I1230" s="84">
        <v>28.5</v>
      </c>
      <c r="J1230" s="53">
        <v>38.576543046357614</v>
      </c>
      <c r="K1230" s="78">
        <v>1353.5629139072846</v>
      </c>
      <c r="L1230" s="84">
        <v>52.993333333333332</v>
      </c>
      <c r="M1230" s="53">
        <v>62.248330980364834</v>
      </c>
      <c r="N1230" s="78">
        <v>1174.6445649836112</v>
      </c>
    </row>
    <row r="1231" spans="1:14" ht="19.5" customHeight="1" outlineLevel="1" x14ac:dyDescent="0.2">
      <c r="A1231" s="101">
        <v>11</v>
      </c>
      <c r="B1231" s="81" t="s">
        <v>18</v>
      </c>
      <c r="C1231" s="84">
        <v>2.2400000000000002</v>
      </c>
      <c r="D1231" s="53">
        <v>4.4049325114866047</v>
      </c>
      <c r="E1231" s="78">
        <v>1966.4877283422343</v>
      </c>
      <c r="F1231" s="84">
        <v>1.97</v>
      </c>
      <c r="G1231" s="53">
        <v>3.7361061560371298</v>
      </c>
      <c r="H1231" s="78">
        <v>1896.5005868208782</v>
      </c>
      <c r="I1231" s="84">
        <v>0.82</v>
      </c>
      <c r="J1231" s="53">
        <v>1.6321607009903933</v>
      </c>
      <c r="K1231" s="78">
        <v>1990.4398792565773</v>
      </c>
      <c r="L1231" s="84">
        <v>1.6766666666666667</v>
      </c>
      <c r="M1231" s="53">
        <v>3.2577331228380424</v>
      </c>
      <c r="N1231" s="78">
        <v>1942.9819818119538</v>
      </c>
    </row>
    <row r="1232" spans="1:14" ht="19.5" customHeight="1" outlineLevel="1" x14ac:dyDescent="0.2">
      <c r="A1232" s="101">
        <v>12</v>
      </c>
      <c r="B1232" s="81" t="s">
        <v>19</v>
      </c>
      <c r="C1232" s="84">
        <v>34.06</v>
      </c>
      <c r="D1232" s="53">
        <v>75.706837770671555</v>
      </c>
      <c r="E1232" s="78">
        <v>2222.7492005481959</v>
      </c>
      <c r="F1232" s="84">
        <v>19.739999999999998</v>
      </c>
      <c r="G1232" s="53">
        <v>45.486482713636363</v>
      </c>
      <c r="H1232" s="78">
        <v>2304.2797727272728</v>
      </c>
      <c r="I1232" s="84">
        <v>11.48</v>
      </c>
      <c r="J1232" s="53">
        <v>24.341553540106954</v>
      </c>
      <c r="K1232" s="78">
        <v>2120.3443850267381</v>
      </c>
      <c r="L1232" s="84">
        <v>21.76</v>
      </c>
      <c r="M1232" s="53">
        <v>48.511624674804956</v>
      </c>
      <c r="N1232" s="78">
        <v>2229.394516305375</v>
      </c>
    </row>
    <row r="1233" spans="1:14" ht="19.5" customHeight="1" outlineLevel="1" x14ac:dyDescent="0.2">
      <c r="A1233" s="101">
        <v>13</v>
      </c>
      <c r="B1233" s="81" t="s">
        <v>20</v>
      </c>
      <c r="C1233" s="84">
        <v>58.84</v>
      </c>
      <c r="D1233" s="53">
        <v>113.04340800000001</v>
      </c>
      <c r="E1233" s="78">
        <v>1921.2</v>
      </c>
      <c r="F1233" s="84">
        <v>2.77</v>
      </c>
      <c r="G1233" s="53">
        <v>4.7511040000000007</v>
      </c>
      <c r="H1233" s="78">
        <v>1715.2</v>
      </c>
      <c r="I1233" s="84">
        <v>11.3</v>
      </c>
      <c r="J1233" s="53">
        <v>26.654440000000001</v>
      </c>
      <c r="K1233" s="78">
        <v>2358.8000000000002</v>
      </c>
      <c r="L1233" s="84">
        <v>24.303333333333338</v>
      </c>
      <c r="M1233" s="53">
        <v>48.149650666666673</v>
      </c>
      <c r="N1233" s="78">
        <v>1981.1953367164997</v>
      </c>
    </row>
    <row r="1234" spans="1:14" ht="19.5" customHeight="1" outlineLevel="1" x14ac:dyDescent="0.2">
      <c r="A1234" s="101">
        <v>14</v>
      </c>
      <c r="B1234" s="81" t="s">
        <v>21</v>
      </c>
      <c r="C1234" s="84">
        <v>0</v>
      </c>
      <c r="D1234" s="53">
        <v>0</v>
      </c>
      <c r="E1234" s="78">
        <v>0</v>
      </c>
      <c r="F1234" s="84">
        <v>0</v>
      </c>
      <c r="G1234" s="53">
        <v>0</v>
      </c>
      <c r="H1234" s="78">
        <v>0</v>
      </c>
      <c r="I1234" s="84">
        <v>0</v>
      </c>
      <c r="J1234" s="53">
        <v>0</v>
      </c>
      <c r="K1234" s="78">
        <v>0</v>
      </c>
      <c r="L1234" s="84">
        <v>0</v>
      </c>
      <c r="M1234" s="53">
        <v>0</v>
      </c>
      <c r="N1234" s="78">
        <v>0</v>
      </c>
    </row>
    <row r="1235" spans="1:14" ht="19.5" customHeight="1" outlineLevel="1" x14ac:dyDescent="0.2">
      <c r="A1235" s="101">
        <v>15</v>
      </c>
      <c r="B1235" s="81" t="s">
        <v>22</v>
      </c>
      <c r="C1235" s="84">
        <v>0</v>
      </c>
      <c r="D1235" s="53">
        <v>0</v>
      </c>
      <c r="E1235" s="78">
        <v>0</v>
      </c>
      <c r="F1235" s="84">
        <v>0</v>
      </c>
      <c r="G1235" s="53">
        <v>0</v>
      </c>
      <c r="H1235" s="78">
        <v>0</v>
      </c>
      <c r="I1235" s="84">
        <v>0</v>
      </c>
      <c r="J1235" s="53">
        <v>0</v>
      </c>
      <c r="K1235" s="78">
        <v>0</v>
      </c>
      <c r="L1235" s="84">
        <v>0</v>
      </c>
      <c r="M1235" s="53">
        <v>0</v>
      </c>
      <c r="N1235" s="78">
        <v>0</v>
      </c>
    </row>
    <row r="1236" spans="1:14" ht="19.5" customHeight="1" outlineLevel="1" x14ac:dyDescent="0.2">
      <c r="A1236" s="101">
        <v>16</v>
      </c>
      <c r="B1236" s="81" t="s">
        <v>23</v>
      </c>
      <c r="C1236" s="84">
        <v>1.22</v>
      </c>
      <c r="D1236" s="53">
        <v>2.3991150285775258</v>
      </c>
      <c r="E1236" s="78">
        <v>1966.4877283422343</v>
      </c>
      <c r="F1236" s="84">
        <v>5.85</v>
      </c>
      <c r="G1236" s="53">
        <v>11.094528432902136</v>
      </c>
      <c r="H1236" s="78">
        <v>1896.5005868208782</v>
      </c>
      <c r="I1236" s="84">
        <v>2.09</v>
      </c>
      <c r="J1236" s="53">
        <v>4.1600193476462461</v>
      </c>
      <c r="K1236" s="78">
        <v>1990.4398792565773</v>
      </c>
      <c r="L1236" s="84">
        <v>3.0533333333333332</v>
      </c>
      <c r="M1236" s="53">
        <v>5.8845542697086364</v>
      </c>
      <c r="N1236" s="78">
        <v>1927.2557651884181</v>
      </c>
    </row>
    <row r="1237" spans="1:14" ht="19.5" customHeight="1" outlineLevel="1" x14ac:dyDescent="0.2">
      <c r="A1237" s="101">
        <v>17</v>
      </c>
      <c r="B1237" s="81" t="s">
        <v>24</v>
      </c>
      <c r="C1237" s="84">
        <v>1.65</v>
      </c>
      <c r="D1237" s="53">
        <v>3.2447047517646865</v>
      </c>
      <c r="E1237" s="78">
        <v>1966.4877283422343</v>
      </c>
      <c r="F1237" s="84">
        <v>0.87</v>
      </c>
      <c r="G1237" s="53">
        <v>1.6499555105341639</v>
      </c>
      <c r="H1237" s="78">
        <v>1896.5005868208782</v>
      </c>
      <c r="I1237" s="84">
        <v>0.2</v>
      </c>
      <c r="J1237" s="53">
        <v>0.3980879758513155</v>
      </c>
      <c r="K1237" s="78">
        <v>1990.4398792565773</v>
      </c>
      <c r="L1237" s="84">
        <v>0.90666666666666673</v>
      </c>
      <c r="M1237" s="53">
        <v>1.7642494127167219</v>
      </c>
      <c r="N1237" s="78">
        <v>1945.8633228493256</v>
      </c>
    </row>
    <row r="1238" spans="1:14" ht="19.5" customHeight="1" outlineLevel="1" x14ac:dyDescent="0.2">
      <c r="A1238" s="101">
        <v>18</v>
      </c>
      <c r="B1238" s="81" t="s">
        <v>25</v>
      </c>
      <c r="C1238" s="84">
        <v>0.02</v>
      </c>
      <c r="D1238" s="53">
        <v>3.9329754566844684E-2</v>
      </c>
      <c r="E1238" s="78">
        <v>1966.4877283422343</v>
      </c>
      <c r="F1238" s="84">
        <v>0.17</v>
      </c>
      <c r="G1238" s="53">
        <v>0.32240509975954934</v>
      </c>
      <c r="H1238" s="78">
        <v>1896.5005868208782</v>
      </c>
      <c r="I1238" s="84">
        <v>0.28000000000000003</v>
      </c>
      <c r="J1238" s="53">
        <v>0.55732316619184163</v>
      </c>
      <c r="K1238" s="78">
        <v>1990.4398792565773</v>
      </c>
      <c r="L1238" s="84">
        <v>0.15666666666666668</v>
      </c>
      <c r="M1238" s="53">
        <v>0.30635267350607859</v>
      </c>
      <c r="N1238" s="78">
        <v>1955.4425968473099</v>
      </c>
    </row>
    <row r="1239" spans="1:14" ht="19.5" customHeight="1" outlineLevel="1" x14ac:dyDescent="0.2">
      <c r="A1239" s="101">
        <v>19</v>
      </c>
      <c r="B1239" s="81" t="s">
        <v>26</v>
      </c>
      <c r="C1239" s="84">
        <v>0</v>
      </c>
      <c r="D1239" s="53">
        <v>0</v>
      </c>
      <c r="E1239" s="78">
        <v>0</v>
      </c>
      <c r="F1239" s="84">
        <v>0</v>
      </c>
      <c r="G1239" s="53">
        <v>0</v>
      </c>
      <c r="H1239" s="78">
        <v>0</v>
      </c>
      <c r="I1239" s="84">
        <v>0.03</v>
      </c>
      <c r="J1239" s="53">
        <v>5.9713196377697314E-2</v>
      </c>
      <c r="K1239" s="78">
        <v>1990.4398792565773</v>
      </c>
      <c r="L1239" s="84">
        <v>0.03</v>
      </c>
      <c r="M1239" s="53">
        <v>5.9713196377697314E-2</v>
      </c>
      <c r="N1239" s="78">
        <v>1990.4398792565773</v>
      </c>
    </row>
    <row r="1240" spans="1:14" ht="19.5" customHeight="1" outlineLevel="1" x14ac:dyDescent="0.2">
      <c r="A1240" s="101">
        <v>20</v>
      </c>
      <c r="B1240" s="81" t="s">
        <v>27</v>
      </c>
      <c r="C1240" s="84">
        <v>18.12</v>
      </c>
      <c r="D1240" s="53">
        <v>35.632757637561284</v>
      </c>
      <c r="E1240" s="78">
        <v>1966.4877283422343</v>
      </c>
      <c r="F1240" s="84">
        <v>14.53</v>
      </c>
      <c r="G1240" s="53">
        <v>27.556153526507359</v>
      </c>
      <c r="H1240" s="78">
        <v>1896.5005868208782</v>
      </c>
      <c r="I1240" s="84">
        <v>8.5399999999999991</v>
      </c>
      <c r="J1240" s="53">
        <v>16.998356568851168</v>
      </c>
      <c r="K1240" s="78">
        <v>1990.4398792565773</v>
      </c>
      <c r="L1240" s="84">
        <v>13.729999999999999</v>
      </c>
      <c r="M1240" s="53">
        <v>26.729089244306603</v>
      </c>
      <c r="N1240" s="78">
        <v>1946.7654220179611</v>
      </c>
    </row>
    <row r="1241" spans="1:14" ht="19.5" customHeight="1" outlineLevel="1" x14ac:dyDescent="0.2">
      <c r="A1241" s="101">
        <v>21</v>
      </c>
      <c r="B1241" s="81" t="s">
        <v>28</v>
      </c>
      <c r="C1241" s="84">
        <v>29.86</v>
      </c>
      <c r="D1241" s="53">
        <v>58.719323568299117</v>
      </c>
      <c r="E1241" s="78">
        <v>1966.4877283422343</v>
      </c>
      <c r="F1241" s="84">
        <v>32.119999999999997</v>
      </c>
      <c r="G1241" s="53">
        <v>58.920927999999996</v>
      </c>
      <c r="H1241" s="78">
        <v>1834.4</v>
      </c>
      <c r="I1241" s="84">
        <v>22.78</v>
      </c>
      <c r="J1241" s="53">
        <v>40.101912000000006</v>
      </c>
      <c r="K1241" s="78">
        <v>1760.4</v>
      </c>
      <c r="L1241" s="84">
        <v>28.25333333333333</v>
      </c>
      <c r="M1241" s="53">
        <v>52.580721189433035</v>
      </c>
      <c r="N1241" s="78">
        <v>1861.0448745670024</v>
      </c>
    </row>
    <row r="1242" spans="1:14" ht="19.5" customHeight="1" outlineLevel="1" x14ac:dyDescent="0.2">
      <c r="A1242" s="101">
        <v>22</v>
      </c>
      <c r="B1242" s="81" t="s">
        <v>29</v>
      </c>
      <c r="C1242" s="84">
        <v>4.66</v>
      </c>
      <c r="D1242" s="53">
        <v>9.1638328140748122</v>
      </c>
      <c r="E1242" s="78">
        <v>1966.4877283422343</v>
      </c>
      <c r="F1242" s="84">
        <v>4</v>
      </c>
      <c r="G1242" s="53">
        <v>7.5860023472835127</v>
      </c>
      <c r="H1242" s="78">
        <v>1896.5005868208782</v>
      </c>
      <c r="I1242" s="84">
        <v>4.08</v>
      </c>
      <c r="J1242" s="53">
        <v>8.1209947073668349</v>
      </c>
      <c r="K1242" s="78">
        <v>1990.4398792565773</v>
      </c>
      <c r="L1242" s="84">
        <v>4.246666666666667</v>
      </c>
      <c r="M1242" s="53">
        <v>8.2902766229083866</v>
      </c>
      <c r="N1242" s="78">
        <v>1952.1844480945963</v>
      </c>
    </row>
    <row r="1243" spans="1:14" ht="19.5" customHeight="1" outlineLevel="1" x14ac:dyDescent="0.2">
      <c r="A1243" s="101">
        <v>23</v>
      </c>
      <c r="B1243" s="81" t="s">
        <v>30</v>
      </c>
      <c r="C1243" s="84">
        <v>3.84</v>
      </c>
      <c r="D1243" s="53">
        <v>7.5513128768341797</v>
      </c>
      <c r="E1243" s="78">
        <v>1966.4877283422343</v>
      </c>
      <c r="F1243" s="84">
        <v>3.99</v>
      </c>
      <c r="G1243" s="53">
        <v>7.5670373414153049</v>
      </c>
      <c r="H1243" s="78">
        <v>1896.5005868208782</v>
      </c>
      <c r="I1243" s="84">
        <v>7.91</v>
      </c>
      <c r="J1243" s="53">
        <v>15.744379444919527</v>
      </c>
      <c r="K1243" s="78">
        <v>1990.4398792565773</v>
      </c>
      <c r="L1243" s="84">
        <v>5.246666666666667</v>
      </c>
      <c r="M1243" s="53">
        <v>10.287576554389672</v>
      </c>
      <c r="N1243" s="78">
        <v>1960.7833331111192</v>
      </c>
    </row>
    <row r="1244" spans="1:14" ht="19.5" customHeight="1" outlineLevel="1" x14ac:dyDescent="0.2">
      <c r="A1244" s="101">
        <v>24</v>
      </c>
      <c r="B1244" s="81" t="s">
        <v>31</v>
      </c>
      <c r="C1244" s="84">
        <v>0</v>
      </c>
      <c r="D1244" s="53">
        <v>0</v>
      </c>
      <c r="E1244" s="78">
        <v>0</v>
      </c>
      <c r="F1244" s="84">
        <v>0</v>
      </c>
      <c r="G1244" s="53">
        <v>0</v>
      </c>
      <c r="H1244" s="78">
        <v>0</v>
      </c>
      <c r="I1244" s="84">
        <v>0</v>
      </c>
      <c r="J1244" s="53">
        <v>0</v>
      </c>
      <c r="K1244" s="78">
        <v>0</v>
      </c>
      <c r="L1244" s="84">
        <v>0</v>
      </c>
      <c r="M1244" s="53">
        <v>0</v>
      </c>
      <c r="N1244" s="78">
        <v>0</v>
      </c>
    </row>
    <row r="1245" spans="1:14" ht="19.5" customHeight="1" outlineLevel="1" x14ac:dyDescent="0.2">
      <c r="A1245" s="101">
        <v>25</v>
      </c>
      <c r="B1245" s="81" t="s">
        <v>32</v>
      </c>
      <c r="C1245" s="84">
        <v>0.95</v>
      </c>
      <c r="D1245" s="53">
        <v>1.8681633419251225</v>
      </c>
      <c r="E1245" s="78">
        <v>1966.4877283422343</v>
      </c>
      <c r="F1245" s="84">
        <v>0.32</v>
      </c>
      <c r="G1245" s="53">
        <v>0.60688018778268105</v>
      </c>
      <c r="H1245" s="78">
        <v>1896.5005868208782</v>
      </c>
      <c r="I1245" s="84">
        <v>0.23</v>
      </c>
      <c r="J1245" s="53">
        <v>0.45780117222901284</v>
      </c>
      <c r="K1245" s="78">
        <v>1990.4398792565773</v>
      </c>
      <c r="L1245" s="84">
        <v>0.5</v>
      </c>
      <c r="M1245" s="53">
        <v>0.9776149006456053</v>
      </c>
      <c r="N1245" s="78">
        <v>1955.2298012912106</v>
      </c>
    </row>
    <row r="1246" spans="1:14" ht="19.5" customHeight="1" outlineLevel="1" x14ac:dyDescent="0.2">
      <c r="A1246" s="101">
        <v>26</v>
      </c>
      <c r="B1246" s="81" t="s">
        <v>33</v>
      </c>
      <c r="C1246" s="84">
        <v>0</v>
      </c>
      <c r="D1246" s="53">
        <v>0</v>
      </c>
      <c r="E1246" s="78">
        <v>0</v>
      </c>
      <c r="F1246" s="84">
        <v>0</v>
      </c>
      <c r="G1246" s="53">
        <v>0</v>
      </c>
      <c r="H1246" s="78">
        <v>0</v>
      </c>
      <c r="I1246" s="84">
        <v>0</v>
      </c>
      <c r="J1246" s="53">
        <v>0</v>
      </c>
      <c r="K1246" s="78">
        <v>0</v>
      </c>
      <c r="L1246" s="84">
        <v>0</v>
      </c>
      <c r="M1246" s="53">
        <v>0</v>
      </c>
      <c r="N1246" s="78">
        <v>0</v>
      </c>
    </row>
    <row r="1247" spans="1:14" ht="19.5" customHeight="1" outlineLevel="1" x14ac:dyDescent="0.2">
      <c r="A1247" s="101">
        <v>27</v>
      </c>
      <c r="B1247" s="81" t="s">
        <v>34</v>
      </c>
      <c r="C1247" s="84">
        <v>0</v>
      </c>
      <c r="D1247" s="53">
        <v>0</v>
      </c>
      <c r="E1247" s="78">
        <v>0</v>
      </c>
      <c r="F1247" s="84">
        <v>0</v>
      </c>
      <c r="G1247" s="53">
        <v>0</v>
      </c>
      <c r="H1247" s="78">
        <v>0</v>
      </c>
      <c r="I1247" s="84">
        <v>0</v>
      </c>
      <c r="J1247" s="53">
        <v>0</v>
      </c>
      <c r="K1247" s="78">
        <v>0</v>
      </c>
      <c r="L1247" s="84">
        <v>0</v>
      </c>
      <c r="M1247" s="53">
        <v>0</v>
      </c>
      <c r="N1247" s="78">
        <v>0</v>
      </c>
    </row>
    <row r="1248" spans="1:14" ht="19.5" customHeight="1" outlineLevel="1" x14ac:dyDescent="0.2">
      <c r="A1248" s="101">
        <v>28</v>
      </c>
      <c r="B1248" s="81" t="s">
        <v>35</v>
      </c>
      <c r="C1248" s="84">
        <v>0</v>
      </c>
      <c r="D1248" s="53">
        <v>0</v>
      </c>
      <c r="E1248" s="78">
        <v>0</v>
      </c>
      <c r="F1248" s="84">
        <v>0</v>
      </c>
      <c r="G1248" s="53">
        <v>0</v>
      </c>
      <c r="H1248" s="78">
        <v>0</v>
      </c>
      <c r="I1248" s="84">
        <v>0</v>
      </c>
      <c r="J1248" s="53">
        <v>0</v>
      </c>
      <c r="K1248" s="78">
        <v>0</v>
      </c>
      <c r="L1248" s="84">
        <v>0</v>
      </c>
      <c r="M1248" s="53">
        <v>0</v>
      </c>
      <c r="N1248" s="78">
        <v>0</v>
      </c>
    </row>
    <row r="1249" spans="1:14" ht="19.5" customHeight="1" outlineLevel="1" x14ac:dyDescent="0.2">
      <c r="A1249" s="101">
        <v>29</v>
      </c>
      <c r="B1249" s="81" t="s">
        <v>36</v>
      </c>
      <c r="C1249" s="84">
        <v>0.26</v>
      </c>
      <c r="D1249" s="53">
        <v>0.51128680936898097</v>
      </c>
      <c r="E1249" s="78">
        <v>1966.4877283422343</v>
      </c>
      <c r="F1249" s="84">
        <v>0.37</v>
      </c>
      <c r="G1249" s="53">
        <v>0.70170521712372491</v>
      </c>
      <c r="H1249" s="78">
        <v>1896.5005868208782</v>
      </c>
      <c r="I1249" s="84">
        <v>0.13</v>
      </c>
      <c r="J1249" s="53">
        <v>0.25875718430335509</v>
      </c>
      <c r="K1249" s="78">
        <v>1990.4398792565773</v>
      </c>
      <c r="L1249" s="84">
        <v>0.25333333333333335</v>
      </c>
      <c r="M1249" s="53">
        <v>0.49058307026535369</v>
      </c>
      <c r="N1249" s="78">
        <v>1936.5121194685012</v>
      </c>
    </row>
    <row r="1250" spans="1:14" ht="19.5" customHeight="1" outlineLevel="1" x14ac:dyDescent="0.2">
      <c r="A1250" s="101">
        <v>30</v>
      </c>
      <c r="B1250" s="81" t="s">
        <v>37</v>
      </c>
      <c r="C1250" s="84">
        <v>0</v>
      </c>
      <c r="D1250" s="53">
        <v>0</v>
      </c>
      <c r="E1250" s="78">
        <v>0</v>
      </c>
      <c r="F1250" s="84">
        <v>0</v>
      </c>
      <c r="G1250" s="53">
        <v>0</v>
      </c>
      <c r="H1250" s="78">
        <v>0</v>
      </c>
      <c r="I1250" s="84">
        <v>0</v>
      </c>
      <c r="J1250" s="53">
        <v>0</v>
      </c>
      <c r="K1250" s="78">
        <v>0</v>
      </c>
      <c r="L1250" s="84">
        <v>0</v>
      </c>
      <c r="M1250" s="53">
        <v>0</v>
      </c>
      <c r="N1250" s="78">
        <v>0</v>
      </c>
    </row>
    <row r="1251" spans="1:14" ht="19.5" customHeight="1" outlineLevel="1" x14ac:dyDescent="0.2">
      <c r="A1251" s="101">
        <v>31</v>
      </c>
      <c r="B1251" s="81" t="s">
        <v>38</v>
      </c>
      <c r="C1251" s="84">
        <v>0</v>
      </c>
      <c r="D1251" s="53">
        <v>0</v>
      </c>
      <c r="E1251" s="78">
        <v>0</v>
      </c>
      <c r="F1251" s="84">
        <v>0</v>
      </c>
      <c r="G1251" s="53">
        <v>0</v>
      </c>
      <c r="H1251" s="78">
        <v>0</v>
      </c>
      <c r="I1251" s="84">
        <v>0</v>
      </c>
      <c r="J1251" s="53">
        <v>0</v>
      </c>
      <c r="K1251" s="78">
        <v>0</v>
      </c>
      <c r="L1251" s="84">
        <v>0</v>
      </c>
      <c r="M1251" s="53">
        <v>0</v>
      </c>
      <c r="N1251" s="78">
        <v>0</v>
      </c>
    </row>
    <row r="1252" spans="1:14" ht="19.5" customHeight="1" outlineLevel="1" x14ac:dyDescent="0.2">
      <c r="A1252" s="101">
        <v>32</v>
      </c>
      <c r="B1252" s="81" t="s">
        <v>39</v>
      </c>
      <c r="C1252" s="84">
        <v>0</v>
      </c>
      <c r="D1252" s="53">
        <v>0</v>
      </c>
      <c r="E1252" s="78">
        <v>0</v>
      </c>
      <c r="F1252" s="84">
        <v>0</v>
      </c>
      <c r="G1252" s="53">
        <v>0</v>
      </c>
      <c r="H1252" s="78">
        <v>0</v>
      </c>
      <c r="I1252" s="84">
        <v>0</v>
      </c>
      <c r="J1252" s="53">
        <v>0</v>
      </c>
      <c r="K1252" s="78">
        <v>0</v>
      </c>
      <c r="L1252" s="84">
        <v>0</v>
      </c>
      <c r="M1252" s="53">
        <v>0</v>
      </c>
      <c r="N1252" s="78">
        <v>0</v>
      </c>
    </row>
    <row r="1253" spans="1:14" ht="19.5" customHeight="1" outlineLevel="1" thickBot="1" x14ac:dyDescent="0.25">
      <c r="A1253" s="102">
        <v>33</v>
      </c>
      <c r="B1253" s="91" t="s">
        <v>40</v>
      </c>
      <c r="C1253" s="92">
        <v>0</v>
      </c>
      <c r="D1253" s="93">
        <v>0</v>
      </c>
      <c r="E1253" s="94">
        <v>0</v>
      </c>
      <c r="F1253" s="92">
        <v>0</v>
      </c>
      <c r="G1253" s="93">
        <v>0</v>
      </c>
      <c r="H1253" s="94">
        <v>0</v>
      </c>
      <c r="I1253" s="92">
        <v>0</v>
      </c>
      <c r="J1253" s="93">
        <v>0</v>
      </c>
      <c r="K1253" s="94">
        <v>0</v>
      </c>
      <c r="L1253" s="92">
        <v>0</v>
      </c>
      <c r="M1253" s="93">
        <v>0</v>
      </c>
      <c r="N1253" s="94">
        <v>0</v>
      </c>
    </row>
    <row r="1254" spans="1:14" ht="19.5" customHeight="1" thickBot="1" x14ac:dyDescent="0.25">
      <c r="A1254" s="151" t="s">
        <v>41</v>
      </c>
      <c r="B1254" s="152"/>
      <c r="C1254" s="96">
        <v>3070.32</v>
      </c>
      <c r="D1254" s="97">
        <v>6037.7466020837355</v>
      </c>
      <c r="E1254" s="98">
        <v>1966.4877283422363</v>
      </c>
      <c r="F1254" s="96">
        <v>2773.8099999999995</v>
      </c>
      <c r="G1254" s="97">
        <v>5260.5322927296475</v>
      </c>
      <c r="H1254" s="98">
        <v>1896.5005868208884</v>
      </c>
      <c r="I1254" s="96">
        <v>2582.6600000000008</v>
      </c>
      <c r="J1254" s="97">
        <v>5140.6294585608448</v>
      </c>
      <c r="K1254" s="98">
        <v>1990.4398792565971</v>
      </c>
      <c r="L1254" s="96">
        <v>2808.9300000000003</v>
      </c>
      <c r="M1254" s="97">
        <v>5479.6361177914087</v>
      </c>
      <c r="N1254" s="98">
        <v>1950.791268487078</v>
      </c>
    </row>
    <row r="1255" spans="1:14" ht="34.5" customHeight="1" x14ac:dyDescent="0.2">
      <c r="A1255" s="153" t="s">
        <v>247</v>
      </c>
      <c r="B1255" s="154"/>
      <c r="C1255" s="154"/>
      <c r="D1255" s="154"/>
      <c r="E1255" s="154"/>
      <c r="F1255" s="154"/>
      <c r="G1255" s="154"/>
      <c r="H1255" s="154"/>
      <c r="I1255" s="154"/>
      <c r="J1255" s="154"/>
      <c r="K1255" s="154"/>
      <c r="L1255" s="154"/>
      <c r="M1255" s="154"/>
      <c r="N1255" s="154"/>
    </row>
    <row r="1256" spans="1:14" ht="32.25" customHeight="1" thickBot="1" x14ac:dyDescent="0.25">
      <c r="A1256" s="50"/>
      <c r="B1256" s="139" t="s">
        <v>75</v>
      </c>
      <c r="C1256" s="52"/>
      <c r="D1256" s="52"/>
      <c r="E1256" s="52"/>
      <c r="F1256" s="52"/>
      <c r="G1256" s="52"/>
      <c r="H1256" s="52"/>
      <c r="I1256" s="52"/>
      <c r="J1256" s="52"/>
      <c r="K1256" s="160" t="s">
        <v>245</v>
      </c>
      <c r="L1256" s="154"/>
      <c r="M1256" s="154"/>
      <c r="N1256" s="154"/>
    </row>
    <row r="1257" spans="1:14" ht="19.5" customHeight="1" x14ac:dyDescent="0.2">
      <c r="A1257" s="156" t="s">
        <v>2</v>
      </c>
      <c r="B1257" s="158" t="s">
        <v>3</v>
      </c>
      <c r="C1257" s="148" t="s">
        <v>243</v>
      </c>
      <c r="D1257" s="149"/>
      <c r="E1257" s="150"/>
      <c r="F1257" s="148" t="s">
        <v>244</v>
      </c>
      <c r="G1257" s="149"/>
      <c r="H1257" s="150"/>
      <c r="I1257" s="148" t="s">
        <v>250</v>
      </c>
      <c r="J1257" s="149"/>
      <c r="K1257" s="150"/>
      <c r="L1257" s="148" t="s">
        <v>4</v>
      </c>
      <c r="M1257" s="149"/>
      <c r="N1257" s="150"/>
    </row>
    <row r="1258" spans="1:14" ht="19.5" customHeight="1" thickBot="1" x14ac:dyDescent="0.25">
      <c r="A1258" s="157"/>
      <c r="B1258" s="159"/>
      <c r="C1258" s="85" t="s">
        <v>5</v>
      </c>
      <c r="D1258" s="79" t="s">
        <v>6</v>
      </c>
      <c r="E1258" s="80" t="s">
        <v>7</v>
      </c>
      <c r="F1258" s="85" t="s">
        <v>5</v>
      </c>
      <c r="G1258" s="79" t="s">
        <v>6</v>
      </c>
      <c r="H1258" s="80" t="s">
        <v>7</v>
      </c>
      <c r="I1258" s="85" t="s">
        <v>5</v>
      </c>
      <c r="J1258" s="79" t="s">
        <v>6</v>
      </c>
      <c r="K1258" s="80" t="s">
        <v>7</v>
      </c>
      <c r="L1258" s="85" t="s">
        <v>5</v>
      </c>
      <c r="M1258" s="79" t="s">
        <v>6</v>
      </c>
      <c r="N1258" s="80" t="s">
        <v>7</v>
      </c>
    </row>
    <row r="1259" spans="1:14" ht="19.5" customHeight="1" outlineLevel="1" x14ac:dyDescent="0.2">
      <c r="A1259" s="100">
        <v>1</v>
      </c>
      <c r="B1259" s="86" t="s">
        <v>8</v>
      </c>
      <c r="C1259" s="87">
        <v>0</v>
      </c>
      <c r="D1259" s="88">
        <v>0</v>
      </c>
      <c r="E1259" s="89">
        <v>0</v>
      </c>
      <c r="F1259" s="87">
        <v>0.85</v>
      </c>
      <c r="G1259" s="88">
        <v>63.082881059488166</v>
      </c>
      <c r="H1259" s="89">
        <v>74215.154187633132</v>
      </c>
      <c r="I1259" s="87">
        <v>0.25</v>
      </c>
      <c r="J1259" s="88">
        <v>17.25</v>
      </c>
      <c r="K1259" s="89">
        <v>69000</v>
      </c>
      <c r="L1259" s="87">
        <v>0.55000000000000004</v>
      </c>
      <c r="M1259" s="88">
        <v>40.166440529744079</v>
      </c>
      <c r="N1259" s="89">
        <v>73029.891872261956</v>
      </c>
    </row>
    <row r="1260" spans="1:14" ht="19.5" customHeight="1" outlineLevel="1" x14ac:dyDescent="0.2">
      <c r="A1260" s="101">
        <v>2</v>
      </c>
      <c r="B1260" s="81" t="s">
        <v>9</v>
      </c>
      <c r="C1260" s="84">
        <v>0</v>
      </c>
      <c r="D1260" s="53">
        <v>0</v>
      </c>
      <c r="E1260" s="78">
        <v>0</v>
      </c>
      <c r="F1260" s="84">
        <v>0</v>
      </c>
      <c r="G1260" s="53">
        <v>0</v>
      </c>
      <c r="H1260" s="78">
        <v>0</v>
      </c>
      <c r="I1260" s="84">
        <v>0</v>
      </c>
      <c r="J1260" s="53">
        <v>0</v>
      </c>
      <c r="K1260" s="78">
        <v>0</v>
      </c>
      <c r="L1260" s="84">
        <v>0</v>
      </c>
      <c r="M1260" s="53">
        <v>0</v>
      </c>
      <c r="N1260" s="78">
        <v>0</v>
      </c>
    </row>
    <row r="1261" spans="1:14" ht="19.5" customHeight="1" outlineLevel="1" x14ac:dyDescent="0.2">
      <c r="A1261" s="101">
        <v>3</v>
      </c>
      <c r="B1261" s="81" t="s">
        <v>10</v>
      </c>
      <c r="C1261" s="84">
        <v>0</v>
      </c>
      <c r="D1261" s="53">
        <v>0</v>
      </c>
      <c r="E1261" s="78">
        <v>0</v>
      </c>
      <c r="F1261" s="84">
        <v>0</v>
      </c>
      <c r="G1261" s="53">
        <v>0</v>
      </c>
      <c r="H1261" s="78">
        <v>0</v>
      </c>
      <c r="I1261" s="84">
        <v>0</v>
      </c>
      <c r="J1261" s="53">
        <v>0</v>
      </c>
      <c r="K1261" s="78">
        <v>0</v>
      </c>
      <c r="L1261" s="84">
        <v>0</v>
      </c>
      <c r="M1261" s="53">
        <v>0</v>
      </c>
      <c r="N1261" s="78">
        <v>0</v>
      </c>
    </row>
    <row r="1262" spans="1:14" ht="19.5" customHeight="1" outlineLevel="1" x14ac:dyDescent="0.2">
      <c r="A1262" s="101">
        <v>4</v>
      </c>
      <c r="B1262" s="81" t="s">
        <v>11</v>
      </c>
      <c r="C1262" s="84">
        <v>0</v>
      </c>
      <c r="D1262" s="53">
        <v>0</v>
      </c>
      <c r="E1262" s="78">
        <v>0</v>
      </c>
      <c r="F1262" s="84">
        <v>0</v>
      </c>
      <c r="G1262" s="53">
        <v>0</v>
      </c>
      <c r="H1262" s="78">
        <v>0</v>
      </c>
      <c r="I1262" s="84">
        <v>0</v>
      </c>
      <c r="J1262" s="53">
        <v>0</v>
      </c>
      <c r="K1262" s="78">
        <v>0</v>
      </c>
      <c r="L1262" s="84">
        <v>0</v>
      </c>
      <c r="M1262" s="53">
        <v>0</v>
      </c>
      <c r="N1262" s="78">
        <v>0</v>
      </c>
    </row>
    <row r="1263" spans="1:14" ht="19.5" customHeight="1" outlineLevel="1" x14ac:dyDescent="0.2">
      <c r="A1263" s="101">
        <v>5</v>
      </c>
      <c r="B1263" s="81" t="s">
        <v>12</v>
      </c>
      <c r="C1263" s="84">
        <v>0</v>
      </c>
      <c r="D1263" s="53">
        <v>0</v>
      </c>
      <c r="E1263" s="78">
        <v>0</v>
      </c>
      <c r="F1263" s="84">
        <v>0</v>
      </c>
      <c r="G1263" s="53">
        <v>0</v>
      </c>
      <c r="H1263" s="78">
        <v>0</v>
      </c>
      <c r="I1263" s="84">
        <v>0</v>
      </c>
      <c r="J1263" s="53">
        <v>0</v>
      </c>
      <c r="K1263" s="78">
        <v>0</v>
      </c>
      <c r="L1263" s="84">
        <v>0</v>
      </c>
      <c r="M1263" s="53">
        <v>0</v>
      </c>
      <c r="N1263" s="78">
        <v>0</v>
      </c>
    </row>
    <row r="1264" spans="1:14" ht="19.5" customHeight="1" outlineLevel="1" x14ac:dyDescent="0.2">
      <c r="A1264" s="101">
        <v>6</v>
      </c>
      <c r="B1264" s="81" t="s">
        <v>13</v>
      </c>
      <c r="C1264" s="84">
        <v>0</v>
      </c>
      <c r="D1264" s="53">
        <v>0</v>
      </c>
      <c r="E1264" s="78">
        <v>0</v>
      </c>
      <c r="F1264" s="84">
        <v>0</v>
      </c>
      <c r="G1264" s="53">
        <v>0</v>
      </c>
      <c r="H1264" s="78">
        <v>0</v>
      </c>
      <c r="I1264" s="84">
        <v>0</v>
      </c>
      <c r="J1264" s="53">
        <v>0</v>
      </c>
      <c r="K1264" s="78">
        <v>0</v>
      </c>
      <c r="L1264" s="84">
        <v>0</v>
      </c>
      <c r="M1264" s="53">
        <v>0</v>
      </c>
      <c r="N1264" s="78">
        <v>0</v>
      </c>
    </row>
    <row r="1265" spans="1:14" ht="19.5" customHeight="1" outlineLevel="1" x14ac:dyDescent="0.2">
      <c r="A1265" s="101">
        <v>7</v>
      </c>
      <c r="B1265" s="81" t="s">
        <v>14</v>
      </c>
      <c r="C1265" s="84">
        <v>0</v>
      </c>
      <c r="D1265" s="53">
        <v>0</v>
      </c>
      <c r="E1265" s="78">
        <v>0</v>
      </c>
      <c r="F1265" s="84">
        <v>0</v>
      </c>
      <c r="G1265" s="53">
        <v>0</v>
      </c>
      <c r="H1265" s="78">
        <v>0</v>
      </c>
      <c r="I1265" s="84">
        <v>0</v>
      </c>
      <c r="J1265" s="53">
        <v>0</v>
      </c>
      <c r="K1265" s="78">
        <v>0</v>
      </c>
      <c r="L1265" s="84">
        <v>0</v>
      </c>
      <c r="M1265" s="53">
        <v>0</v>
      </c>
      <c r="N1265" s="78">
        <v>0</v>
      </c>
    </row>
    <row r="1266" spans="1:14" ht="19.5" customHeight="1" outlineLevel="1" x14ac:dyDescent="0.2">
      <c r="A1266" s="101">
        <v>8</v>
      </c>
      <c r="B1266" s="81" t="s">
        <v>15</v>
      </c>
      <c r="C1266" s="84">
        <v>0</v>
      </c>
      <c r="D1266" s="53">
        <v>0</v>
      </c>
      <c r="E1266" s="78">
        <v>0</v>
      </c>
      <c r="F1266" s="84">
        <v>0</v>
      </c>
      <c r="G1266" s="53">
        <v>0</v>
      </c>
      <c r="H1266" s="78">
        <v>0</v>
      </c>
      <c r="I1266" s="84">
        <v>0</v>
      </c>
      <c r="J1266" s="53">
        <v>0</v>
      </c>
      <c r="K1266" s="78">
        <v>0</v>
      </c>
      <c r="L1266" s="84">
        <v>0</v>
      </c>
      <c r="M1266" s="53">
        <v>0</v>
      </c>
      <c r="N1266" s="78">
        <v>0</v>
      </c>
    </row>
    <row r="1267" spans="1:14" ht="19.5" customHeight="1" outlineLevel="1" x14ac:dyDescent="0.2">
      <c r="A1267" s="101">
        <v>9</v>
      </c>
      <c r="B1267" s="81" t="s">
        <v>16</v>
      </c>
      <c r="C1267" s="84">
        <v>0</v>
      </c>
      <c r="D1267" s="53">
        <v>0</v>
      </c>
      <c r="E1267" s="78">
        <v>0</v>
      </c>
      <c r="F1267" s="84">
        <v>0</v>
      </c>
      <c r="G1267" s="53">
        <v>0</v>
      </c>
      <c r="H1267" s="78">
        <v>0</v>
      </c>
      <c r="I1267" s="84">
        <v>0</v>
      </c>
      <c r="J1267" s="53">
        <v>0</v>
      </c>
      <c r="K1267" s="78">
        <v>0</v>
      </c>
      <c r="L1267" s="84">
        <v>0</v>
      </c>
      <c r="M1267" s="53">
        <v>0</v>
      </c>
      <c r="N1267" s="78">
        <v>0</v>
      </c>
    </row>
    <row r="1268" spans="1:14" ht="19.5" customHeight="1" outlineLevel="1" x14ac:dyDescent="0.2">
      <c r="A1268" s="101">
        <v>10</v>
      </c>
      <c r="B1268" s="81" t="s">
        <v>17</v>
      </c>
      <c r="C1268" s="84">
        <v>0</v>
      </c>
      <c r="D1268" s="53">
        <v>0</v>
      </c>
      <c r="E1268" s="78">
        <v>0</v>
      </c>
      <c r="F1268" s="84">
        <v>0</v>
      </c>
      <c r="G1268" s="53">
        <v>0</v>
      </c>
      <c r="H1268" s="78">
        <v>0</v>
      </c>
      <c r="I1268" s="84">
        <v>0</v>
      </c>
      <c r="J1268" s="53">
        <v>0</v>
      </c>
      <c r="K1268" s="78">
        <v>0</v>
      </c>
      <c r="L1268" s="84">
        <v>0</v>
      </c>
      <c r="M1268" s="53">
        <v>0</v>
      </c>
      <c r="N1268" s="78">
        <v>0</v>
      </c>
    </row>
    <row r="1269" spans="1:14" ht="19.5" customHeight="1" outlineLevel="1" x14ac:dyDescent="0.2">
      <c r="A1269" s="101">
        <v>11</v>
      </c>
      <c r="B1269" s="81" t="s">
        <v>18</v>
      </c>
      <c r="C1269" s="84">
        <v>7.0000000000000007E-2</v>
      </c>
      <c r="D1269" s="53">
        <v>4.9875999051163564</v>
      </c>
      <c r="E1269" s="78">
        <v>71251.427215947944</v>
      </c>
      <c r="F1269" s="84">
        <v>0.27</v>
      </c>
      <c r="G1269" s="53">
        <v>20.038091630660944</v>
      </c>
      <c r="H1269" s="78">
        <v>74215.154187633132</v>
      </c>
      <c r="I1269" s="84">
        <v>0.2</v>
      </c>
      <c r="J1269" s="53">
        <v>17</v>
      </c>
      <c r="K1269" s="78">
        <v>85000</v>
      </c>
      <c r="L1269" s="84">
        <v>0.18000000000000002</v>
      </c>
      <c r="M1269" s="53">
        <v>14.008563845259099</v>
      </c>
      <c r="N1269" s="78">
        <v>77825.354695883871</v>
      </c>
    </row>
    <row r="1270" spans="1:14" ht="19.5" customHeight="1" outlineLevel="1" x14ac:dyDescent="0.2">
      <c r="A1270" s="101">
        <v>12</v>
      </c>
      <c r="B1270" s="81" t="s">
        <v>19</v>
      </c>
      <c r="C1270" s="84">
        <v>0</v>
      </c>
      <c r="D1270" s="53">
        <v>0</v>
      </c>
      <c r="E1270" s="78">
        <v>0</v>
      </c>
      <c r="F1270" s="84">
        <v>0</v>
      </c>
      <c r="G1270" s="53">
        <v>0</v>
      </c>
      <c r="H1270" s="78">
        <v>0</v>
      </c>
      <c r="I1270" s="84">
        <v>0</v>
      </c>
      <c r="J1270" s="53">
        <v>0</v>
      </c>
      <c r="K1270" s="78">
        <v>0</v>
      </c>
      <c r="L1270" s="84">
        <v>0</v>
      </c>
      <c r="M1270" s="53">
        <v>0</v>
      </c>
      <c r="N1270" s="78">
        <v>0</v>
      </c>
    </row>
    <row r="1271" spans="1:14" ht="19.5" customHeight="1" outlineLevel="1" x14ac:dyDescent="0.2">
      <c r="A1271" s="101">
        <v>13</v>
      </c>
      <c r="B1271" s="81" t="s">
        <v>20</v>
      </c>
      <c r="C1271" s="84">
        <v>0</v>
      </c>
      <c r="D1271" s="53">
        <v>0</v>
      </c>
      <c r="E1271" s="78">
        <v>0</v>
      </c>
      <c r="F1271" s="84">
        <v>0</v>
      </c>
      <c r="G1271" s="53">
        <v>0</v>
      </c>
      <c r="H1271" s="78">
        <v>0</v>
      </c>
      <c r="I1271" s="84">
        <v>0</v>
      </c>
      <c r="J1271" s="53">
        <v>0</v>
      </c>
      <c r="K1271" s="78">
        <v>0</v>
      </c>
      <c r="L1271" s="84">
        <v>0</v>
      </c>
      <c r="M1271" s="53">
        <v>0</v>
      </c>
      <c r="N1271" s="78">
        <v>0</v>
      </c>
    </row>
    <row r="1272" spans="1:14" ht="19.5" customHeight="1" outlineLevel="1" x14ac:dyDescent="0.2">
      <c r="A1272" s="101">
        <v>14</v>
      </c>
      <c r="B1272" s="81" t="s">
        <v>21</v>
      </c>
      <c r="C1272" s="84">
        <v>0</v>
      </c>
      <c r="D1272" s="53">
        <v>0</v>
      </c>
      <c r="E1272" s="78">
        <v>0</v>
      </c>
      <c r="F1272" s="84">
        <v>0</v>
      </c>
      <c r="G1272" s="53">
        <v>0</v>
      </c>
      <c r="H1272" s="78">
        <v>0</v>
      </c>
      <c r="I1272" s="84">
        <v>0</v>
      </c>
      <c r="J1272" s="53">
        <v>0</v>
      </c>
      <c r="K1272" s="78">
        <v>0</v>
      </c>
      <c r="L1272" s="84">
        <v>0</v>
      </c>
      <c r="M1272" s="53">
        <v>0</v>
      </c>
      <c r="N1272" s="78">
        <v>0</v>
      </c>
    </row>
    <row r="1273" spans="1:14" ht="19.5" customHeight="1" outlineLevel="1" x14ac:dyDescent="0.2">
      <c r="A1273" s="101">
        <v>15</v>
      </c>
      <c r="B1273" s="81" t="s">
        <v>22</v>
      </c>
      <c r="C1273" s="84">
        <v>1.05</v>
      </c>
      <c r="D1273" s="53">
        <v>74.813998576745348</v>
      </c>
      <c r="E1273" s="78">
        <v>71251.427215947944</v>
      </c>
      <c r="F1273" s="84">
        <v>1.35</v>
      </c>
      <c r="G1273" s="53">
        <v>100.19045815330473</v>
      </c>
      <c r="H1273" s="78">
        <v>74215.154187633132</v>
      </c>
      <c r="I1273" s="84">
        <v>1.25</v>
      </c>
      <c r="J1273" s="53">
        <v>89.8</v>
      </c>
      <c r="K1273" s="78">
        <v>71840</v>
      </c>
      <c r="L1273" s="84">
        <v>1.2166666666666668</v>
      </c>
      <c r="M1273" s="53">
        <v>88.268152243350031</v>
      </c>
      <c r="N1273" s="78">
        <v>72549.166227410984</v>
      </c>
    </row>
    <row r="1274" spans="1:14" ht="19.5" customHeight="1" outlineLevel="1" x14ac:dyDescent="0.2">
      <c r="A1274" s="101">
        <v>16</v>
      </c>
      <c r="B1274" s="81" t="s">
        <v>23</v>
      </c>
      <c r="C1274" s="84">
        <v>49.34</v>
      </c>
      <c r="D1274" s="53">
        <v>4094.666393310843</v>
      </c>
      <c r="E1274" s="78">
        <v>82988.77975903613</v>
      </c>
      <c r="F1274" s="84">
        <v>48.8</v>
      </c>
      <c r="G1274" s="53">
        <v>4385.2643530778159</v>
      </c>
      <c r="H1274" s="78">
        <v>89861.974448315901</v>
      </c>
      <c r="I1274" s="84">
        <v>57.24</v>
      </c>
      <c r="J1274" s="53">
        <v>5143.8840000000009</v>
      </c>
      <c r="K1274" s="78">
        <v>89865.199161425582</v>
      </c>
      <c r="L1274" s="84">
        <v>51.793333333333329</v>
      </c>
      <c r="M1274" s="53">
        <v>4541.2715821295533</v>
      </c>
      <c r="N1274" s="78">
        <v>87680.620069434037</v>
      </c>
    </row>
    <row r="1275" spans="1:14" ht="19.5" customHeight="1" outlineLevel="1" x14ac:dyDescent="0.2">
      <c r="A1275" s="101">
        <v>17</v>
      </c>
      <c r="B1275" s="81" t="s">
        <v>24</v>
      </c>
      <c r="C1275" s="84">
        <v>0</v>
      </c>
      <c r="D1275" s="53">
        <v>0</v>
      </c>
      <c r="E1275" s="78">
        <v>0</v>
      </c>
      <c r="F1275" s="84">
        <v>0</v>
      </c>
      <c r="G1275" s="53">
        <v>0</v>
      </c>
      <c r="H1275" s="78">
        <v>0</v>
      </c>
      <c r="I1275" s="84">
        <v>0.12</v>
      </c>
      <c r="J1275" s="53">
        <v>9</v>
      </c>
      <c r="K1275" s="78">
        <v>75000</v>
      </c>
      <c r="L1275" s="84">
        <v>0.12</v>
      </c>
      <c r="M1275" s="53">
        <v>9</v>
      </c>
      <c r="N1275" s="78">
        <v>75000</v>
      </c>
    </row>
    <row r="1276" spans="1:14" ht="19.5" customHeight="1" outlineLevel="1" x14ac:dyDescent="0.2">
      <c r="A1276" s="101">
        <v>18</v>
      </c>
      <c r="B1276" s="81" t="s">
        <v>25</v>
      </c>
      <c r="C1276" s="84">
        <v>0.14000000000000001</v>
      </c>
      <c r="D1276" s="53">
        <v>9.9751998102327128</v>
      </c>
      <c r="E1276" s="78">
        <v>71251.427215947944</v>
      </c>
      <c r="F1276" s="84">
        <v>1.1100000000000001</v>
      </c>
      <c r="G1276" s="53">
        <v>82.378821148272777</v>
      </c>
      <c r="H1276" s="78">
        <v>74215.154187633132</v>
      </c>
      <c r="I1276" s="84">
        <v>3.53</v>
      </c>
      <c r="J1276" s="53">
        <v>247.1</v>
      </c>
      <c r="K1276" s="78">
        <v>70000</v>
      </c>
      <c r="L1276" s="84">
        <v>1.593333333333333</v>
      </c>
      <c r="M1276" s="53">
        <v>113.15134031950181</v>
      </c>
      <c r="N1276" s="78">
        <v>71015.485556172702</v>
      </c>
    </row>
    <row r="1277" spans="1:14" ht="19.5" customHeight="1" outlineLevel="1" x14ac:dyDescent="0.2">
      <c r="A1277" s="101">
        <v>19</v>
      </c>
      <c r="B1277" s="81" t="s">
        <v>26</v>
      </c>
      <c r="C1277" s="84">
        <v>0</v>
      </c>
      <c r="D1277" s="53">
        <v>0</v>
      </c>
      <c r="E1277" s="78">
        <v>0</v>
      </c>
      <c r="F1277" s="84">
        <v>0</v>
      </c>
      <c r="G1277" s="53">
        <v>0</v>
      </c>
      <c r="H1277" s="78">
        <v>0</v>
      </c>
      <c r="I1277" s="84">
        <v>0.04</v>
      </c>
      <c r="J1277" s="53">
        <v>2.76</v>
      </c>
      <c r="K1277" s="78">
        <v>69000</v>
      </c>
      <c r="L1277" s="84">
        <v>0.04</v>
      </c>
      <c r="M1277" s="53">
        <v>2.76</v>
      </c>
      <c r="N1277" s="78">
        <v>69000</v>
      </c>
    </row>
    <row r="1278" spans="1:14" ht="19.5" customHeight="1" outlineLevel="1" x14ac:dyDescent="0.2">
      <c r="A1278" s="101">
        <v>20</v>
      </c>
      <c r="B1278" s="81" t="s">
        <v>27</v>
      </c>
      <c r="C1278" s="84">
        <v>0</v>
      </c>
      <c r="D1278" s="53">
        <v>0</v>
      </c>
      <c r="E1278" s="78">
        <v>0</v>
      </c>
      <c r="F1278" s="84">
        <v>0</v>
      </c>
      <c r="G1278" s="53">
        <v>0</v>
      </c>
      <c r="H1278" s="78">
        <v>0</v>
      </c>
      <c r="I1278" s="84">
        <v>0</v>
      </c>
      <c r="J1278" s="53">
        <v>0</v>
      </c>
      <c r="K1278" s="78">
        <v>0</v>
      </c>
      <c r="L1278" s="84">
        <v>0</v>
      </c>
      <c r="M1278" s="53">
        <v>0</v>
      </c>
      <c r="N1278" s="78">
        <v>0</v>
      </c>
    </row>
    <row r="1279" spans="1:14" ht="19.5" customHeight="1" outlineLevel="1" x14ac:dyDescent="0.2">
      <c r="A1279" s="101">
        <v>21</v>
      </c>
      <c r="B1279" s="81" t="s">
        <v>28</v>
      </c>
      <c r="C1279" s="84">
        <v>0</v>
      </c>
      <c r="D1279" s="53">
        <v>0</v>
      </c>
      <c r="E1279" s="78">
        <v>0</v>
      </c>
      <c r="F1279" s="84">
        <v>0</v>
      </c>
      <c r="G1279" s="53">
        <v>0</v>
      </c>
      <c r="H1279" s="78">
        <v>0</v>
      </c>
      <c r="I1279" s="84">
        <v>0</v>
      </c>
      <c r="J1279" s="53">
        <v>0</v>
      </c>
      <c r="K1279" s="78">
        <v>0</v>
      </c>
      <c r="L1279" s="84">
        <v>0</v>
      </c>
      <c r="M1279" s="53">
        <v>0</v>
      </c>
      <c r="N1279" s="78">
        <v>0</v>
      </c>
    </row>
    <row r="1280" spans="1:14" ht="19.5" customHeight="1" outlineLevel="1" x14ac:dyDescent="0.2">
      <c r="A1280" s="101">
        <v>22</v>
      </c>
      <c r="B1280" s="81" t="s">
        <v>29</v>
      </c>
      <c r="C1280" s="84">
        <v>0.63</v>
      </c>
      <c r="D1280" s="53">
        <v>44.888399146047206</v>
      </c>
      <c r="E1280" s="78">
        <v>71251.427215947944</v>
      </c>
      <c r="F1280" s="84">
        <v>0.3</v>
      </c>
      <c r="G1280" s="53">
        <v>22.264546256289936</v>
      </c>
      <c r="H1280" s="78">
        <v>74215.154187633132</v>
      </c>
      <c r="I1280" s="84">
        <v>0.38</v>
      </c>
      <c r="J1280" s="53">
        <v>25.840050000000002</v>
      </c>
      <c r="K1280" s="78">
        <v>68000.131578947374</v>
      </c>
      <c r="L1280" s="84">
        <v>0.4366666666666667</v>
      </c>
      <c r="M1280" s="53">
        <v>30.997665134112381</v>
      </c>
      <c r="N1280" s="78">
        <v>70987.019391097041</v>
      </c>
    </row>
    <row r="1281" spans="1:14" ht="19.5" customHeight="1" outlineLevel="1" x14ac:dyDescent="0.2">
      <c r="A1281" s="101">
        <v>23</v>
      </c>
      <c r="B1281" s="81" t="s">
        <v>30</v>
      </c>
      <c r="C1281" s="84">
        <v>0</v>
      </c>
      <c r="D1281" s="53">
        <v>0</v>
      </c>
      <c r="E1281" s="78">
        <v>0</v>
      </c>
      <c r="F1281" s="84">
        <v>0</v>
      </c>
      <c r="G1281" s="53">
        <v>0</v>
      </c>
      <c r="H1281" s="78">
        <v>0</v>
      </c>
      <c r="I1281" s="84">
        <v>0</v>
      </c>
      <c r="J1281" s="53">
        <v>0</v>
      </c>
      <c r="K1281" s="78">
        <v>0</v>
      </c>
      <c r="L1281" s="84">
        <v>0</v>
      </c>
      <c r="M1281" s="53">
        <v>0</v>
      </c>
      <c r="N1281" s="78">
        <v>0</v>
      </c>
    </row>
    <row r="1282" spans="1:14" ht="19.5" customHeight="1" outlineLevel="1" x14ac:dyDescent="0.2">
      <c r="A1282" s="101">
        <v>24</v>
      </c>
      <c r="B1282" s="81" t="s">
        <v>31</v>
      </c>
      <c r="C1282" s="84">
        <v>0</v>
      </c>
      <c r="D1282" s="53">
        <v>0</v>
      </c>
      <c r="E1282" s="78">
        <v>0</v>
      </c>
      <c r="F1282" s="84">
        <v>0</v>
      </c>
      <c r="G1282" s="53">
        <v>0</v>
      </c>
      <c r="H1282" s="78">
        <v>0</v>
      </c>
      <c r="I1282" s="84">
        <v>0</v>
      </c>
      <c r="J1282" s="53">
        <v>0</v>
      </c>
      <c r="K1282" s="78">
        <v>0</v>
      </c>
      <c r="L1282" s="84">
        <v>0</v>
      </c>
      <c r="M1282" s="53">
        <v>0</v>
      </c>
      <c r="N1282" s="78">
        <v>0</v>
      </c>
    </row>
    <row r="1283" spans="1:14" ht="19.5" customHeight="1" outlineLevel="1" x14ac:dyDescent="0.2">
      <c r="A1283" s="101">
        <v>25</v>
      </c>
      <c r="B1283" s="81" t="s">
        <v>32</v>
      </c>
      <c r="C1283" s="84">
        <v>1.99</v>
      </c>
      <c r="D1283" s="53">
        <v>126.32520000000001</v>
      </c>
      <c r="E1283" s="78">
        <v>63480.000000000007</v>
      </c>
      <c r="F1283" s="84">
        <v>2.85</v>
      </c>
      <c r="G1283" s="53">
        <v>170.43</v>
      </c>
      <c r="H1283" s="78">
        <v>59800</v>
      </c>
      <c r="I1283" s="84">
        <v>4.8499999999999996</v>
      </c>
      <c r="J1283" s="53">
        <v>290.02999999999997</v>
      </c>
      <c r="K1283" s="78">
        <v>59800</v>
      </c>
      <c r="L1283" s="84">
        <v>3.23</v>
      </c>
      <c r="M1283" s="53">
        <v>195.59506666666667</v>
      </c>
      <c r="N1283" s="78">
        <v>60555.74819401445</v>
      </c>
    </row>
    <row r="1284" spans="1:14" ht="19.5" customHeight="1" outlineLevel="1" x14ac:dyDescent="0.2">
      <c r="A1284" s="101">
        <v>26</v>
      </c>
      <c r="B1284" s="81" t="s">
        <v>33</v>
      </c>
      <c r="C1284" s="84">
        <v>0</v>
      </c>
      <c r="D1284" s="53">
        <v>0</v>
      </c>
      <c r="E1284" s="78">
        <v>0</v>
      </c>
      <c r="F1284" s="84">
        <v>0</v>
      </c>
      <c r="G1284" s="53">
        <v>0</v>
      </c>
      <c r="H1284" s="78">
        <v>0</v>
      </c>
      <c r="I1284" s="84">
        <v>0</v>
      </c>
      <c r="J1284" s="53">
        <v>0</v>
      </c>
      <c r="K1284" s="78">
        <v>0</v>
      </c>
      <c r="L1284" s="84">
        <v>0</v>
      </c>
      <c r="M1284" s="53">
        <v>0</v>
      </c>
      <c r="N1284" s="78">
        <v>0</v>
      </c>
    </row>
    <row r="1285" spans="1:14" ht="19.5" customHeight="1" outlineLevel="1" x14ac:dyDescent="0.2">
      <c r="A1285" s="101">
        <v>27</v>
      </c>
      <c r="B1285" s="81" t="s">
        <v>34</v>
      </c>
      <c r="C1285" s="84">
        <v>44.3</v>
      </c>
      <c r="D1285" s="53">
        <v>3542.2280000000005</v>
      </c>
      <c r="E1285" s="78">
        <v>79960.000000000015</v>
      </c>
      <c r="F1285" s="84">
        <v>63.89</v>
      </c>
      <c r="G1285" s="53">
        <v>5109.1555200000003</v>
      </c>
      <c r="H1285" s="78">
        <v>79968</v>
      </c>
      <c r="I1285" s="84">
        <v>39.119999999999997</v>
      </c>
      <c r="J1285" s="53">
        <v>3125.8460799999998</v>
      </c>
      <c r="K1285" s="78">
        <v>79904.040899795495</v>
      </c>
      <c r="L1285" s="84">
        <v>49.103333333333332</v>
      </c>
      <c r="M1285" s="53">
        <v>3925.7432000000003</v>
      </c>
      <c r="N1285" s="78">
        <v>79948.609055732813</v>
      </c>
    </row>
    <row r="1286" spans="1:14" ht="19.5" customHeight="1" outlineLevel="1" x14ac:dyDescent="0.2">
      <c r="A1286" s="101">
        <v>28</v>
      </c>
      <c r="B1286" s="81" t="s">
        <v>35</v>
      </c>
      <c r="C1286" s="84">
        <v>392.93</v>
      </c>
      <c r="D1286" s="53">
        <v>25730.021259999998</v>
      </c>
      <c r="E1286" s="78">
        <v>65482.455551879466</v>
      </c>
      <c r="F1286" s="84">
        <v>564.79999999999995</v>
      </c>
      <c r="G1286" s="53">
        <v>38767.798139999999</v>
      </c>
      <c r="H1286" s="78">
        <v>68639.869228045325</v>
      </c>
      <c r="I1286" s="84">
        <v>453.18</v>
      </c>
      <c r="J1286" s="53">
        <v>31130.071950000005</v>
      </c>
      <c r="K1286" s="78">
        <v>68692.510591817831</v>
      </c>
      <c r="L1286" s="84">
        <v>470.30333333333334</v>
      </c>
      <c r="M1286" s="53">
        <v>31875.963783333329</v>
      </c>
      <c r="N1286" s="78">
        <v>67777.456641458339</v>
      </c>
    </row>
    <row r="1287" spans="1:14" ht="19.5" customHeight="1" outlineLevel="1" x14ac:dyDescent="0.2">
      <c r="A1287" s="101">
        <v>29</v>
      </c>
      <c r="B1287" s="81" t="s">
        <v>36</v>
      </c>
      <c r="C1287" s="84">
        <v>842.69</v>
      </c>
      <c r="D1287" s="53">
        <v>60730.68229633689</v>
      </c>
      <c r="E1287" s="78">
        <v>72067.643257113392</v>
      </c>
      <c r="F1287" s="84">
        <v>850.97</v>
      </c>
      <c r="G1287" s="53">
        <v>67318.613954927961</v>
      </c>
      <c r="H1287" s="78">
        <v>79108.093064300701</v>
      </c>
      <c r="I1287" s="84">
        <v>839</v>
      </c>
      <c r="J1287" s="53">
        <v>60815.256599999993</v>
      </c>
      <c r="K1287" s="78">
        <v>72485.407151370673</v>
      </c>
      <c r="L1287" s="84">
        <v>844.21999999999991</v>
      </c>
      <c r="M1287" s="53">
        <v>62954.850950421613</v>
      </c>
      <c r="N1287" s="78">
        <v>74571.617529105701</v>
      </c>
    </row>
    <row r="1288" spans="1:14" ht="19.5" customHeight="1" outlineLevel="1" x14ac:dyDescent="0.2">
      <c r="A1288" s="101">
        <v>30</v>
      </c>
      <c r="B1288" s="81" t="s">
        <v>37</v>
      </c>
      <c r="C1288" s="84">
        <v>3.8</v>
      </c>
      <c r="D1288" s="53">
        <v>270.75542342060214</v>
      </c>
      <c r="E1288" s="78">
        <v>71251.427215947944</v>
      </c>
      <c r="F1288" s="84">
        <v>8.16</v>
      </c>
      <c r="G1288" s="53">
        <v>605.59565817108637</v>
      </c>
      <c r="H1288" s="78">
        <v>74215.154187633132</v>
      </c>
      <c r="I1288" s="84">
        <v>8.4700000000000006</v>
      </c>
      <c r="J1288" s="53">
        <v>561.44600000000003</v>
      </c>
      <c r="K1288" s="78">
        <v>66286.422668240848</v>
      </c>
      <c r="L1288" s="84">
        <v>6.81</v>
      </c>
      <c r="M1288" s="53">
        <v>479.26569386389616</v>
      </c>
      <c r="N1288" s="78">
        <v>70376.753871350404</v>
      </c>
    </row>
    <row r="1289" spans="1:14" ht="19.5" customHeight="1" outlineLevel="1" x14ac:dyDescent="0.2">
      <c r="A1289" s="101">
        <v>31</v>
      </c>
      <c r="B1289" s="81" t="s">
        <v>38</v>
      </c>
      <c r="C1289" s="84">
        <v>163.89</v>
      </c>
      <c r="D1289" s="53">
        <v>11493.1551</v>
      </c>
      <c r="E1289" s="78">
        <v>70127.250594911224</v>
      </c>
      <c r="F1289" s="84">
        <v>161.94</v>
      </c>
      <c r="G1289" s="53">
        <v>11354.87768893407</v>
      </c>
      <c r="H1289" s="78">
        <v>70117.807144214326</v>
      </c>
      <c r="I1289" s="84">
        <v>164.74</v>
      </c>
      <c r="J1289" s="53">
        <v>11500.502899999999</v>
      </c>
      <c r="K1289" s="78">
        <v>69810.021245599128</v>
      </c>
      <c r="L1289" s="84">
        <v>163.52333333333334</v>
      </c>
      <c r="M1289" s="53">
        <v>11449.511896311356</v>
      </c>
      <c r="N1289" s="78">
        <v>70017.603377569088</v>
      </c>
    </row>
    <row r="1290" spans="1:14" ht="19.5" customHeight="1" outlineLevel="1" x14ac:dyDescent="0.2">
      <c r="A1290" s="101">
        <v>32</v>
      </c>
      <c r="B1290" s="81" t="s">
        <v>39</v>
      </c>
      <c r="C1290" s="84">
        <v>59.29</v>
      </c>
      <c r="D1290" s="53">
        <v>4208.5655323250003</v>
      </c>
      <c r="E1290" s="78">
        <v>70982.721071428576</v>
      </c>
      <c r="F1290" s="84">
        <v>55.02</v>
      </c>
      <c r="G1290" s="53">
        <v>4020.1981888184441</v>
      </c>
      <c r="H1290" s="78">
        <v>73067.942363112394</v>
      </c>
      <c r="I1290" s="84">
        <v>54.5</v>
      </c>
      <c r="J1290" s="53">
        <v>3972.4411279999999</v>
      </c>
      <c r="K1290" s="78">
        <v>72888.828036697247</v>
      </c>
      <c r="L1290" s="84">
        <v>56.27</v>
      </c>
      <c r="M1290" s="53">
        <v>4067.0682830478149</v>
      </c>
      <c r="N1290" s="78">
        <v>72277.737391999544</v>
      </c>
    </row>
    <row r="1291" spans="1:14" ht="19.5" customHeight="1" outlineLevel="1" thickBot="1" x14ac:dyDescent="0.25">
      <c r="A1291" s="102">
        <v>33</v>
      </c>
      <c r="B1291" s="91" t="s">
        <v>40</v>
      </c>
      <c r="C1291" s="92">
        <v>250.54</v>
      </c>
      <c r="D1291" s="93">
        <v>18681.044799999996</v>
      </c>
      <c r="E1291" s="94">
        <v>74563.122854633984</v>
      </c>
      <c r="F1291" s="92">
        <v>255.43</v>
      </c>
      <c r="G1291" s="93">
        <v>17578.566599999998</v>
      </c>
      <c r="H1291" s="94">
        <v>68819.506714168252</v>
      </c>
      <c r="I1291" s="92">
        <v>260.82</v>
      </c>
      <c r="J1291" s="93">
        <v>20193.9823</v>
      </c>
      <c r="K1291" s="94">
        <v>77424.976228816813</v>
      </c>
      <c r="L1291" s="92">
        <v>255.59666666666666</v>
      </c>
      <c r="M1291" s="93">
        <v>18817.864566666667</v>
      </c>
      <c r="N1291" s="94">
        <v>73623.278472593534</v>
      </c>
    </row>
    <row r="1292" spans="1:14" ht="19.5" customHeight="1" thickBot="1" x14ac:dyDescent="0.25">
      <c r="A1292" s="151" t="s">
        <v>41</v>
      </c>
      <c r="B1292" s="152"/>
      <c r="C1292" s="96">
        <v>1810.6599999999999</v>
      </c>
      <c r="D1292" s="97">
        <v>129012.10920283146</v>
      </c>
      <c r="E1292" s="98">
        <v>71251.42721594969</v>
      </c>
      <c r="F1292" s="96">
        <v>2015.74</v>
      </c>
      <c r="G1292" s="97">
        <v>149598.45490217739</v>
      </c>
      <c r="H1292" s="98">
        <v>74215.154187632041</v>
      </c>
      <c r="I1292" s="96">
        <v>1887.6899999999998</v>
      </c>
      <c r="J1292" s="97">
        <v>137142.21100800001</v>
      </c>
      <c r="K1292" s="98">
        <v>72650.811843046278</v>
      </c>
      <c r="L1292" s="96">
        <v>1904.6966666666665</v>
      </c>
      <c r="M1292" s="97">
        <v>138584.25837100294</v>
      </c>
      <c r="N1292" s="98">
        <v>72759.227648323504</v>
      </c>
    </row>
    <row r="1293" spans="1:14" ht="34.5" customHeight="1" x14ac:dyDescent="0.2">
      <c r="A1293" s="153" t="s">
        <v>247</v>
      </c>
      <c r="B1293" s="154"/>
      <c r="C1293" s="154"/>
      <c r="D1293" s="154"/>
      <c r="E1293" s="154"/>
      <c r="F1293" s="154"/>
      <c r="G1293" s="154"/>
      <c r="H1293" s="154"/>
      <c r="I1293" s="154"/>
      <c r="J1293" s="154"/>
      <c r="K1293" s="154"/>
      <c r="L1293" s="154"/>
      <c r="M1293" s="154"/>
      <c r="N1293" s="154"/>
    </row>
    <row r="1294" spans="1:14" ht="19.5" customHeight="1" thickBot="1" x14ac:dyDescent="0.25">
      <c r="A1294" s="50"/>
      <c r="B1294" s="138" t="s">
        <v>76</v>
      </c>
      <c r="C1294" s="52"/>
      <c r="D1294" s="52"/>
      <c r="E1294" s="52"/>
      <c r="F1294" s="52"/>
      <c r="G1294" s="52"/>
      <c r="H1294" s="52"/>
      <c r="I1294" s="52"/>
      <c r="J1294" s="52"/>
      <c r="K1294" s="155" t="s">
        <v>1</v>
      </c>
      <c r="L1294" s="154"/>
      <c r="M1294" s="154"/>
      <c r="N1294" s="154"/>
    </row>
    <row r="1295" spans="1:14" ht="19.5" customHeight="1" x14ac:dyDescent="0.2">
      <c r="A1295" s="156" t="s">
        <v>2</v>
      </c>
      <c r="B1295" s="158" t="s">
        <v>3</v>
      </c>
      <c r="C1295" s="148" t="s">
        <v>243</v>
      </c>
      <c r="D1295" s="149"/>
      <c r="E1295" s="150"/>
      <c r="F1295" s="148" t="s">
        <v>244</v>
      </c>
      <c r="G1295" s="149"/>
      <c r="H1295" s="150"/>
      <c r="I1295" s="148" t="s">
        <v>246</v>
      </c>
      <c r="J1295" s="149"/>
      <c r="K1295" s="150"/>
      <c r="L1295" s="148" t="s">
        <v>4</v>
      </c>
      <c r="M1295" s="149"/>
      <c r="N1295" s="150"/>
    </row>
    <row r="1296" spans="1:14" ht="19.5" customHeight="1" thickBot="1" x14ac:dyDescent="0.25">
      <c r="A1296" s="157"/>
      <c r="B1296" s="159"/>
      <c r="C1296" s="85" t="s">
        <v>5</v>
      </c>
      <c r="D1296" s="79" t="s">
        <v>6</v>
      </c>
      <c r="E1296" s="80" t="s">
        <v>7</v>
      </c>
      <c r="F1296" s="85" t="s">
        <v>5</v>
      </c>
      <c r="G1296" s="79" t="s">
        <v>6</v>
      </c>
      <c r="H1296" s="80" t="s">
        <v>7</v>
      </c>
      <c r="I1296" s="85" t="s">
        <v>5</v>
      </c>
      <c r="J1296" s="79" t="s">
        <v>6</v>
      </c>
      <c r="K1296" s="80" t="s">
        <v>7</v>
      </c>
      <c r="L1296" s="85" t="s">
        <v>5</v>
      </c>
      <c r="M1296" s="79" t="s">
        <v>6</v>
      </c>
      <c r="N1296" s="80" t="s">
        <v>7</v>
      </c>
    </row>
    <row r="1297" spans="1:14" ht="19.5" customHeight="1" outlineLevel="1" x14ac:dyDescent="0.2">
      <c r="A1297" s="100">
        <v>1</v>
      </c>
      <c r="B1297" s="86" t="s">
        <v>8</v>
      </c>
      <c r="C1297" s="87">
        <v>434.84</v>
      </c>
      <c r="D1297" s="88">
        <v>315.97041500964127</v>
      </c>
      <c r="E1297" s="89">
        <v>726.63603856508439</v>
      </c>
      <c r="F1297" s="87">
        <v>553.27</v>
      </c>
      <c r="G1297" s="88">
        <v>483.79902141732873</v>
      </c>
      <c r="H1297" s="89">
        <v>874.43566688475562</v>
      </c>
      <c r="I1297" s="87">
        <v>617.54999999999995</v>
      </c>
      <c r="J1297" s="88">
        <v>493.10030890823617</v>
      </c>
      <c r="K1297" s="89">
        <v>798.47835625979462</v>
      </c>
      <c r="L1297" s="87">
        <v>535.21999999999991</v>
      </c>
      <c r="M1297" s="88">
        <v>430.9565817784021</v>
      </c>
      <c r="N1297" s="89">
        <v>805.19521276933256</v>
      </c>
    </row>
    <row r="1298" spans="1:14" ht="19.5" customHeight="1" outlineLevel="1" x14ac:dyDescent="0.2">
      <c r="A1298" s="101">
        <v>2</v>
      </c>
      <c r="B1298" s="81" t="s">
        <v>9</v>
      </c>
      <c r="C1298" s="84">
        <v>373.52</v>
      </c>
      <c r="D1298" s="53">
        <v>311.28289964832669</v>
      </c>
      <c r="E1298" s="78">
        <v>833.37679280447287</v>
      </c>
      <c r="F1298" s="84">
        <v>512.63</v>
      </c>
      <c r="G1298" s="53">
        <v>418.73456459711599</v>
      </c>
      <c r="H1298" s="78">
        <v>816.83585548468875</v>
      </c>
      <c r="I1298" s="84">
        <v>362.85</v>
      </c>
      <c r="J1298" s="53">
        <v>316.18621862648916</v>
      </c>
      <c r="K1298" s="78">
        <v>871.39649614576035</v>
      </c>
      <c r="L1298" s="84">
        <v>416.33333333333331</v>
      </c>
      <c r="M1298" s="53">
        <v>348.73456095731058</v>
      </c>
      <c r="N1298" s="78">
        <v>837.63305273973731</v>
      </c>
    </row>
    <row r="1299" spans="1:14" ht="19.5" customHeight="1" outlineLevel="1" x14ac:dyDescent="0.2">
      <c r="A1299" s="101">
        <v>3</v>
      </c>
      <c r="B1299" s="81" t="s">
        <v>10</v>
      </c>
      <c r="C1299" s="84">
        <v>224.66</v>
      </c>
      <c r="D1299" s="53">
        <v>176.84158060246381</v>
      </c>
      <c r="E1299" s="78">
        <v>787.15205467134251</v>
      </c>
      <c r="F1299" s="84">
        <v>419.26</v>
      </c>
      <c r="G1299" s="53">
        <v>299.0913483585706</v>
      </c>
      <c r="H1299" s="78">
        <v>713.37916414294375</v>
      </c>
      <c r="I1299" s="84">
        <v>423.41</v>
      </c>
      <c r="J1299" s="53">
        <v>371.0421134081414</v>
      </c>
      <c r="K1299" s="78">
        <v>876.31872985555697</v>
      </c>
      <c r="L1299" s="84">
        <v>355.77666666666664</v>
      </c>
      <c r="M1299" s="53">
        <v>282.32501412305857</v>
      </c>
      <c r="N1299" s="78">
        <v>793.54561604112678</v>
      </c>
    </row>
    <row r="1300" spans="1:14" ht="19.5" customHeight="1" outlineLevel="1" x14ac:dyDescent="0.2">
      <c r="A1300" s="101">
        <v>4</v>
      </c>
      <c r="B1300" s="81" t="s">
        <v>11</v>
      </c>
      <c r="C1300" s="84">
        <v>1.64</v>
      </c>
      <c r="D1300" s="53">
        <v>1.2750329759350509</v>
      </c>
      <c r="E1300" s="78">
        <v>777.45913166771402</v>
      </c>
      <c r="F1300" s="84">
        <v>2.94</v>
      </c>
      <c r="G1300" s="53">
        <v>2.1907926470498325</v>
      </c>
      <c r="H1300" s="78">
        <v>745.16756702375244</v>
      </c>
      <c r="I1300" s="84">
        <v>1.74</v>
      </c>
      <c r="J1300" s="53">
        <v>1.4883921242298208</v>
      </c>
      <c r="K1300" s="78">
        <v>855.39777254587409</v>
      </c>
      <c r="L1300" s="84">
        <v>2.1066666666666669</v>
      </c>
      <c r="M1300" s="53">
        <v>1.6514059157382348</v>
      </c>
      <c r="N1300" s="78">
        <v>783.89521316688354</v>
      </c>
    </row>
    <row r="1301" spans="1:14" ht="19.5" customHeight="1" outlineLevel="1" x14ac:dyDescent="0.2">
      <c r="A1301" s="101">
        <v>5</v>
      </c>
      <c r="B1301" s="81" t="s">
        <v>12</v>
      </c>
      <c r="C1301" s="84">
        <v>0.19</v>
      </c>
      <c r="D1301" s="53">
        <v>0.14771723501686565</v>
      </c>
      <c r="E1301" s="78">
        <v>777.45913166771402</v>
      </c>
      <c r="F1301" s="84">
        <v>1.28</v>
      </c>
      <c r="G1301" s="53">
        <v>0.95381448579040318</v>
      </c>
      <c r="H1301" s="78">
        <v>745.16756702375244</v>
      </c>
      <c r="I1301" s="84">
        <v>0.64</v>
      </c>
      <c r="J1301" s="53">
        <v>0.54745457442935952</v>
      </c>
      <c r="K1301" s="78">
        <v>855.39777254587409</v>
      </c>
      <c r="L1301" s="84">
        <v>0.70333333333333325</v>
      </c>
      <c r="M1301" s="53">
        <v>0.54966209841220948</v>
      </c>
      <c r="N1301" s="78">
        <v>781.5100925292079</v>
      </c>
    </row>
    <row r="1302" spans="1:14" ht="19.5" customHeight="1" outlineLevel="1" x14ac:dyDescent="0.2">
      <c r="A1302" s="101">
        <v>6</v>
      </c>
      <c r="B1302" s="81" t="s">
        <v>13</v>
      </c>
      <c r="C1302" s="84">
        <v>0.01</v>
      </c>
      <c r="D1302" s="53">
        <v>7.7745913166771402E-3</v>
      </c>
      <c r="E1302" s="78">
        <v>777.45913166771402</v>
      </c>
      <c r="F1302" s="84">
        <v>0.85</v>
      </c>
      <c r="G1302" s="53">
        <v>0.63339243197018957</v>
      </c>
      <c r="H1302" s="78">
        <v>745.16756702375244</v>
      </c>
      <c r="I1302" s="84">
        <v>0.14000000000000001</v>
      </c>
      <c r="J1302" s="53">
        <v>0.11975568815642237</v>
      </c>
      <c r="K1302" s="78">
        <v>855.39777254587409</v>
      </c>
      <c r="L1302" s="84">
        <v>0.33333333333333331</v>
      </c>
      <c r="M1302" s="53">
        <v>0.25364090381442966</v>
      </c>
      <c r="N1302" s="78">
        <v>760.92271144328902</v>
      </c>
    </row>
    <row r="1303" spans="1:14" ht="19.5" customHeight="1" outlineLevel="1" x14ac:dyDescent="0.2">
      <c r="A1303" s="101">
        <v>7</v>
      </c>
      <c r="B1303" s="81" t="s">
        <v>14</v>
      </c>
      <c r="C1303" s="84">
        <v>0</v>
      </c>
      <c r="D1303" s="53">
        <v>0</v>
      </c>
      <c r="E1303" s="78">
        <v>0</v>
      </c>
      <c r="F1303" s="84">
        <v>0.03</v>
      </c>
      <c r="G1303" s="53">
        <v>2.2355027010712573E-2</v>
      </c>
      <c r="H1303" s="78">
        <v>745.16756702375244</v>
      </c>
      <c r="I1303" s="84">
        <v>0.02</v>
      </c>
      <c r="J1303" s="53">
        <v>1.7107955450917485E-2</v>
      </c>
      <c r="K1303" s="78">
        <v>855.39777254587409</v>
      </c>
      <c r="L1303" s="84">
        <v>2.5000000000000001E-2</v>
      </c>
      <c r="M1303" s="53">
        <v>1.9731491230815031E-2</v>
      </c>
      <c r="N1303" s="78">
        <v>789.25964923260119</v>
      </c>
    </row>
    <row r="1304" spans="1:14" ht="19.5" customHeight="1" outlineLevel="1" x14ac:dyDescent="0.2">
      <c r="A1304" s="101">
        <v>8</v>
      </c>
      <c r="B1304" s="81" t="s">
        <v>15</v>
      </c>
      <c r="C1304" s="84">
        <v>57.49</v>
      </c>
      <c r="D1304" s="53">
        <v>38.509087188898839</v>
      </c>
      <c r="E1304" s="78">
        <v>669.8397493285587</v>
      </c>
      <c r="F1304" s="84">
        <v>179.99</v>
      </c>
      <c r="G1304" s="53">
        <v>89.121794458812005</v>
      </c>
      <c r="H1304" s="78">
        <v>495.14858858165451</v>
      </c>
      <c r="I1304" s="84">
        <v>128.59</v>
      </c>
      <c r="J1304" s="53">
        <v>92.018090910683014</v>
      </c>
      <c r="K1304" s="78">
        <v>715.59289921986942</v>
      </c>
      <c r="L1304" s="84">
        <v>122.02333333333335</v>
      </c>
      <c r="M1304" s="53">
        <v>73.216324186131288</v>
      </c>
      <c r="N1304" s="78">
        <v>600.01904706311313</v>
      </c>
    </row>
    <row r="1305" spans="1:14" ht="19.5" customHeight="1" outlineLevel="1" x14ac:dyDescent="0.2">
      <c r="A1305" s="101">
        <v>9</v>
      </c>
      <c r="B1305" s="81" t="s">
        <v>16</v>
      </c>
      <c r="C1305" s="84">
        <v>332.99</v>
      </c>
      <c r="D1305" s="53">
        <v>235.14399387606113</v>
      </c>
      <c r="E1305" s="78">
        <v>706.15932573368912</v>
      </c>
      <c r="F1305" s="84">
        <v>747.7</v>
      </c>
      <c r="G1305" s="53">
        <v>584.68765146920225</v>
      </c>
      <c r="H1305" s="78">
        <v>781.98161223646139</v>
      </c>
      <c r="I1305" s="84">
        <v>813.88</v>
      </c>
      <c r="J1305" s="53">
        <v>694.77620400000001</v>
      </c>
      <c r="K1305" s="78">
        <v>853.65926672236697</v>
      </c>
      <c r="L1305" s="84">
        <v>631.52333333333343</v>
      </c>
      <c r="M1305" s="53">
        <v>504.86928311508774</v>
      </c>
      <c r="N1305" s="78">
        <v>799.44676066086913</v>
      </c>
    </row>
    <row r="1306" spans="1:14" ht="19.5" customHeight="1" outlineLevel="1" x14ac:dyDescent="0.2">
      <c r="A1306" s="101">
        <v>10</v>
      </c>
      <c r="B1306" s="81" t="s">
        <v>17</v>
      </c>
      <c r="C1306" s="84">
        <v>274.52</v>
      </c>
      <c r="D1306" s="53">
        <v>251.65644800000001</v>
      </c>
      <c r="E1306" s="78">
        <v>916.71443974938086</v>
      </c>
      <c r="F1306" s="84">
        <v>735.1</v>
      </c>
      <c r="G1306" s="53">
        <v>599.27515999999991</v>
      </c>
      <c r="H1306" s="78">
        <v>815.2294381716772</v>
      </c>
      <c r="I1306" s="84">
        <v>673.98</v>
      </c>
      <c r="J1306" s="53">
        <v>613.623064</v>
      </c>
      <c r="K1306" s="78">
        <v>910.44699249235885</v>
      </c>
      <c r="L1306" s="84">
        <v>561.19999999999993</v>
      </c>
      <c r="M1306" s="53">
        <v>488.1848906666666</v>
      </c>
      <c r="N1306" s="78">
        <v>869.89467331907815</v>
      </c>
    </row>
    <row r="1307" spans="1:14" ht="19.5" customHeight="1" outlineLevel="1" x14ac:dyDescent="0.2">
      <c r="A1307" s="101">
        <v>11</v>
      </c>
      <c r="B1307" s="81" t="s">
        <v>18</v>
      </c>
      <c r="C1307" s="84">
        <v>195.76</v>
      </c>
      <c r="D1307" s="53">
        <v>162.55054971155175</v>
      </c>
      <c r="E1307" s="78">
        <v>830.35630216362767</v>
      </c>
      <c r="F1307" s="84">
        <v>417.48</v>
      </c>
      <c r="G1307" s="53">
        <v>330.12210965563213</v>
      </c>
      <c r="H1307" s="78">
        <v>790.74952011026176</v>
      </c>
      <c r="I1307" s="84">
        <v>274.32</v>
      </c>
      <c r="J1307" s="53">
        <v>237.41248291478703</v>
      </c>
      <c r="K1307" s="78">
        <v>865.45816168994986</v>
      </c>
      <c r="L1307" s="84">
        <v>295.8533333333333</v>
      </c>
      <c r="M1307" s="53">
        <v>243.36171409399029</v>
      </c>
      <c r="N1307" s="78">
        <v>822.57553549277895</v>
      </c>
    </row>
    <row r="1308" spans="1:14" ht="19.5" customHeight="1" outlineLevel="1" x14ac:dyDescent="0.2">
      <c r="A1308" s="101">
        <v>12</v>
      </c>
      <c r="B1308" s="81" t="s">
        <v>19</v>
      </c>
      <c r="C1308" s="84">
        <v>72.959999999999994</v>
      </c>
      <c r="D1308" s="53">
        <v>69.78294799999999</v>
      </c>
      <c r="E1308" s="78">
        <v>956.45487938596489</v>
      </c>
      <c r="F1308" s="84">
        <v>365.64</v>
      </c>
      <c r="G1308" s="53">
        <v>321.280596</v>
      </c>
      <c r="H1308" s="78">
        <v>878.68011158516583</v>
      </c>
      <c r="I1308" s="84">
        <v>299.48</v>
      </c>
      <c r="J1308" s="53">
        <v>271.39433200000002</v>
      </c>
      <c r="K1308" s="78">
        <v>906.21855215707228</v>
      </c>
      <c r="L1308" s="84">
        <v>246.02666666666664</v>
      </c>
      <c r="M1308" s="53">
        <v>220.81929199999999</v>
      </c>
      <c r="N1308" s="78">
        <v>897.54210383698251</v>
      </c>
    </row>
    <row r="1309" spans="1:14" ht="19.5" customHeight="1" outlineLevel="1" x14ac:dyDescent="0.2">
      <c r="A1309" s="101">
        <v>13</v>
      </c>
      <c r="B1309" s="81" t="s">
        <v>20</v>
      </c>
      <c r="C1309" s="84">
        <v>559.58000000000004</v>
      </c>
      <c r="D1309" s="53">
        <v>392.58373999999998</v>
      </c>
      <c r="E1309" s="78">
        <v>701.56856928410582</v>
      </c>
      <c r="F1309" s="84">
        <v>1098.5999999999999</v>
      </c>
      <c r="G1309" s="53">
        <v>612.85074399999985</v>
      </c>
      <c r="H1309" s="78">
        <v>557.84702712543231</v>
      </c>
      <c r="I1309" s="84">
        <v>808.4</v>
      </c>
      <c r="J1309" s="53">
        <v>676.8223999999999</v>
      </c>
      <c r="K1309" s="78">
        <v>837.23701138050455</v>
      </c>
      <c r="L1309" s="84">
        <v>822.19333333333327</v>
      </c>
      <c r="M1309" s="53">
        <v>560.75229466666667</v>
      </c>
      <c r="N1309" s="78">
        <v>682.01999691881065</v>
      </c>
    </row>
    <row r="1310" spans="1:14" ht="19.5" customHeight="1" outlineLevel="1" x14ac:dyDescent="0.2">
      <c r="A1310" s="101">
        <v>14</v>
      </c>
      <c r="B1310" s="81" t="s">
        <v>21</v>
      </c>
      <c r="C1310" s="84">
        <v>116.65</v>
      </c>
      <c r="D1310" s="53">
        <v>91.871900000000011</v>
      </c>
      <c r="E1310" s="78">
        <v>787.58594084869276</v>
      </c>
      <c r="F1310" s="84">
        <v>248.6</v>
      </c>
      <c r="G1310" s="53">
        <v>195.76786000000001</v>
      </c>
      <c r="H1310" s="78">
        <v>787.48133547868065</v>
      </c>
      <c r="I1310" s="84">
        <v>141.32</v>
      </c>
      <c r="J1310" s="53">
        <v>130.49502999999996</v>
      </c>
      <c r="K1310" s="78">
        <v>923.40100481177456</v>
      </c>
      <c r="L1310" s="84">
        <v>168.85666666666665</v>
      </c>
      <c r="M1310" s="53">
        <v>139.37826333333331</v>
      </c>
      <c r="N1310" s="78">
        <v>825.42351501273254</v>
      </c>
    </row>
    <row r="1311" spans="1:14" ht="19.5" customHeight="1" outlineLevel="1" x14ac:dyDescent="0.2">
      <c r="A1311" s="101">
        <v>15</v>
      </c>
      <c r="B1311" s="81" t="s">
        <v>22</v>
      </c>
      <c r="C1311" s="84">
        <v>64.959999999999994</v>
      </c>
      <c r="D1311" s="53">
        <v>59.88099191815855</v>
      </c>
      <c r="E1311" s="78">
        <v>921.81329923273643</v>
      </c>
      <c r="F1311" s="84">
        <v>177.9</v>
      </c>
      <c r="G1311" s="53">
        <v>136.52356051188301</v>
      </c>
      <c r="H1311" s="78">
        <v>767.41742839731864</v>
      </c>
      <c r="I1311" s="84">
        <v>67.3</v>
      </c>
      <c r="J1311" s="53">
        <v>53.153991677852346</v>
      </c>
      <c r="K1311" s="78">
        <v>789.80671140939603</v>
      </c>
      <c r="L1311" s="84">
        <v>103.38666666666667</v>
      </c>
      <c r="M1311" s="53">
        <v>83.186181369297969</v>
      </c>
      <c r="N1311" s="78">
        <v>804.6122778820411</v>
      </c>
    </row>
    <row r="1312" spans="1:14" ht="19.5" customHeight="1" outlineLevel="1" x14ac:dyDescent="0.2">
      <c r="A1312" s="101">
        <v>16</v>
      </c>
      <c r="B1312" s="81" t="s">
        <v>23</v>
      </c>
      <c r="C1312" s="84">
        <v>0.25</v>
      </c>
      <c r="D1312" s="53">
        <v>0.19436478291692849</v>
      </c>
      <c r="E1312" s="78">
        <v>777.45913166771402</v>
      </c>
      <c r="F1312" s="84">
        <v>0.5</v>
      </c>
      <c r="G1312" s="53">
        <v>0.37258378351187621</v>
      </c>
      <c r="H1312" s="78">
        <v>745.16756702375244</v>
      </c>
      <c r="I1312" s="84">
        <v>0.35</v>
      </c>
      <c r="J1312" s="53">
        <v>0.29938922039105592</v>
      </c>
      <c r="K1312" s="78">
        <v>855.39777254587409</v>
      </c>
      <c r="L1312" s="84">
        <v>0.3666666666666667</v>
      </c>
      <c r="M1312" s="53">
        <v>0.28877926227328693</v>
      </c>
      <c r="N1312" s="78">
        <v>787.57980619987336</v>
      </c>
    </row>
    <row r="1313" spans="1:14" ht="19.5" customHeight="1" outlineLevel="1" x14ac:dyDescent="0.2">
      <c r="A1313" s="101">
        <v>17</v>
      </c>
      <c r="B1313" s="81" t="s">
        <v>24</v>
      </c>
      <c r="C1313" s="84">
        <v>33.35</v>
      </c>
      <c r="D1313" s="53">
        <v>29.036577991266373</v>
      </c>
      <c r="E1313" s="78">
        <v>870.66200873362436</v>
      </c>
      <c r="F1313" s="84">
        <v>74.569999999999993</v>
      </c>
      <c r="G1313" s="53">
        <v>48.470499999999994</v>
      </c>
      <c r="H1313" s="78">
        <v>650</v>
      </c>
      <c r="I1313" s="84">
        <v>69.56</v>
      </c>
      <c r="J1313" s="53">
        <v>58.63908</v>
      </c>
      <c r="K1313" s="78">
        <v>843</v>
      </c>
      <c r="L1313" s="84">
        <v>59.16</v>
      </c>
      <c r="M1313" s="53">
        <v>45.382052663755452</v>
      </c>
      <c r="N1313" s="78">
        <v>767.10704299789472</v>
      </c>
    </row>
    <row r="1314" spans="1:14" ht="19.5" customHeight="1" outlineLevel="1" x14ac:dyDescent="0.2">
      <c r="A1314" s="101">
        <v>18</v>
      </c>
      <c r="B1314" s="81" t="s">
        <v>25</v>
      </c>
      <c r="C1314" s="84">
        <v>1.89</v>
      </c>
      <c r="D1314" s="53">
        <v>1.4693977588519795</v>
      </c>
      <c r="E1314" s="78">
        <v>777.45913166771402</v>
      </c>
      <c r="F1314" s="84">
        <v>4.84</v>
      </c>
      <c r="G1314" s="53">
        <v>3.6066110243949616</v>
      </c>
      <c r="H1314" s="78">
        <v>745.16756702375244</v>
      </c>
      <c r="I1314" s="84">
        <v>3.42</v>
      </c>
      <c r="J1314" s="53">
        <v>2.9254603821068894</v>
      </c>
      <c r="K1314" s="78">
        <v>855.39777254587409</v>
      </c>
      <c r="L1314" s="84">
        <v>3.3833333333333329</v>
      </c>
      <c r="M1314" s="53">
        <v>2.6671563884512768</v>
      </c>
      <c r="N1314" s="78">
        <v>788.32208525653505</v>
      </c>
    </row>
    <row r="1315" spans="1:14" ht="19.5" customHeight="1" outlineLevel="1" x14ac:dyDescent="0.2">
      <c r="A1315" s="101">
        <v>19</v>
      </c>
      <c r="B1315" s="81" t="s">
        <v>26</v>
      </c>
      <c r="C1315" s="84">
        <v>15.97</v>
      </c>
      <c r="D1315" s="53">
        <v>8.5380588444444427</v>
      </c>
      <c r="E1315" s="78">
        <v>534.63111111111095</v>
      </c>
      <c r="F1315" s="84">
        <v>69.430000000000007</v>
      </c>
      <c r="G1315" s="53">
        <v>53.340143350916051</v>
      </c>
      <c r="H1315" s="78">
        <v>768.25786188846382</v>
      </c>
      <c r="I1315" s="84">
        <v>76.16</v>
      </c>
      <c r="J1315" s="53">
        <v>60.292807999999987</v>
      </c>
      <c r="K1315" s="78">
        <v>791.65976890756292</v>
      </c>
      <c r="L1315" s="84">
        <v>53.853333333333332</v>
      </c>
      <c r="M1315" s="53">
        <v>40.72367006512016</v>
      </c>
      <c r="N1315" s="78">
        <v>756.19590366031491</v>
      </c>
    </row>
    <row r="1316" spans="1:14" ht="19.5" customHeight="1" outlineLevel="1" x14ac:dyDescent="0.2">
      <c r="A1316" s="101">
        <v>20</v>
      </c>
      <c r="B1316" s="81" t="s">
        <v>27</v>
      </c>
      <c r="C1316" s="84">
        <v>0</v>
      </c>
      <c r="D1316" s="53">
        <v>0</v>
      </c>
      <c r="E1316" s="78">
        <v>0</v>
      </c>
      <c r="F1316" s="84">
        <v>0.38</v>
      </c>
      <c r="G1316" s="53">
        <v>0.28316367546902593</v>
      </c>
      <c r="H1316" s="78">
        <v>745.16756702375244</v>
      </c>
      <c r="I1316" s="84">
        <v>0.01</v>
      </c>
      <c r="J1316" s="53">
        <v>8.5539777254587425E-3</v>
      </c>
      <c r="K1316" s="78">
        <v>855.39777254587409</v>
      </c>
      <c r="L1316" s="84">
        <v>0.19500000000000001</v>
      </c>
      <c r="M1316" s="53">
        <v>0.14585882659724234</v>
      </c>
      <c r="N1316" s="78">
        <v>747.99398254996072</v>
      </c>
    </row>
    <row r="1317" spans="1:14" ht="19.5" customHeight="1" outlineLevel="1" x14ac:dyDescent="0.2">
      <c r="A1317" s="101">
        <v>21</v>
      </c>
      <c r="B1317" s="81" t="s">
        <v>28</v>
      </c>
      <c r="C1317" s="84">
        <v>0.68</v>
      </c>
      <c r="D1317" s="53">
        <v>0.52867220953404559</v>
      </c>
      <c r="E1317" s="78">
        <v>777.45913166771402</v>
      </c>
      <c r="F1317" s="84">
        <v>1.63</v>
      </c>
      <c r="G1317" s="53">
        <v>1.2146231342487166</v>
      </c>
      <c r="H1317" s="78">
        <v>745.16756702375244</v>
      </c>
      <c r="I1317" s="84">
        <v>2.09</v>
      </c>
      <c r="J1317" s="53">
        <v>1.7877813446208768</v>
      </c>
      <c r="K1317" s="78">
        <v>855.39777254587409</v>
      </c>
      <c r="L1317" s="84">
        <v>1.4666666666666668</v>
      </c>
      <c r="M1317" s="53">
        <v>1.177025562801213</v>
      </c>
      <c r="N1317" s="78">
        <v>802.51742918264517</v>
      </c>
    </row>
    <row r="1318" spans="1:14" ht="19.5" customHeight="1" outlineLevel="1" x14ac:dyDescent="0.2">
      <c r="A1318" s="101">
        <v>22</v>
      </c>
      <c r="B1318" s="81" t="s">
        <v>29</v>
      </c>
      <c r="C1318" s="84">
        <v>0.02</v>
      </c>
      <c r="D1318" s="53">
        <v>1.554918263335428E-2</v>
      </c>
      <c r="E1318" s="78">
        <v>777.45913166771402</v>
      </c>
      <c r="F1318" s="84">
        <v>0.05</v>
      </c>
      <c r="G1318" s="53">
        <v>3.7258378351187622E-2</v>
      </c>
      <c r="H1318" s="78">
        <v>745.16756702375244</v>
      </c>
      <c r="I1318" s="84">
        <v>0.06</v>
      </c>
      <c r="J1318" s="53">
        <v>5.1323866352752448E-2</v>
      </c>
      <c r="K1318" s="78">
        <v>855.39777254587409</v>
      </c>
      <c r="L1318" s="84">
        <v>4.3333333333333335E-2</v>
      </c>
      <c r="M1318" s="53">
        <v>3.4710475779098117E-2</v>
      </c>
      <c r="N1318" s="78">
        <v>801.01097951764882</v>
      </c>
    </row>
    <row r="1319" spans="1:14" ht="19.5" customHeight="1" outlineLevel="1" x14ac:dyDescent="0.2">
      <c r="A1319" s="101">
        <v>23</v>
      </c>
      <c r="B1319" s="81" t="s">
        <v>30</v>
      </c>
      <c r="C1319" s="84">
        <v>0.1</v>
      </c>
      <c r="D1319" s="53">
        <v>7.7745913166771402E-2</v>
      </c>
      <c r="E1319" s="78">
        <v>777.45913166771402</v>
      </c>
      <c r="F1319" s="84">
        <v>0.08</v>
      </c>
      <c r="G1319" s="53">
        <v>5.9613405361900199E-2</v>
      </c>
      <c r="H1319" s="78">
        <v>745.16756702375244</v>
      </c>
      <c r="I1319" s="84">
        <v>0.08</v>
      </c>
      <c r="J1319" s="53">
        <v>6.843182180366994E-2</v>
      </c>
      <c r="K1319" s="78">
        <v>855.39777254587409</v>
      </c>
      <c r="L1319" s="84">
        <v>8.666666666666667E-2</v>
      </c>
      <c r="M1319" s="53">
        <v>6.8597046777447185E-2</v>
      </c>
      <c r="N1319" s="78">
        <v>791.50438589362136</v>
      </c>
    </row>
    <row r="1320" spans="1:14" ht="19.5" customHeight="1" outlineLevel="1" x14ac:dyDescent="0.2">
      <c r="A1320" s="101">
        <v>24</v>
      </c>
      <c r="B1320" s="81" t="s">
        <v>31</v>
      </c>
      <c r="C1320" s="84">
        <v>0</v>
      </c>
      <c r="D1320" s="53">
        <v>0</v>
      </c>
      <c r="E1320" s="78">
        <v>0</v>
      </c>
      <c r="F1320" s="84">
        <v>0</v>
      </c>
      <c r="G1320" s="53">
        <v>0</v>
      </c>
      <c r="H1320" s="78">
        <v>0</v>
      </c>
      <c r="I1320" s="84">
        <v>0</v>
      </c>
      <c r="J1320" s="53">
        <v>0</v>
      </c>
      <c r="K1320" s="78">
        <v>0</v>
      </c>
      <c r="L1320" s="84">
        <v>0</v>
      </c>
      <c r="M1320" s="53">
        <v>0</v>
      </c>
      <c r="N1320" s="78">
        <v>0</v>
      </c>
    </row>
    <row r="1321" spans="1:14" ht="19.5" customHeight="1" outlineLevel="1" x14ac:dyDescent="0.2">
      <c r="A1321" s="101">
        <v>25</v>
      </c>
      <c r="B1321" s="81" t="s">
        <v>32</v>
      </c>
      <c r="C1321" s="84">
        <v>0.05</v>
      </c>
      <c r="D1321" s="53">
        <v>3.8872956583385701E-2</v>
      </c>
      <c r="E1321" s="78">
        <v>777.45913166771402</v>
      </c>
      <c r="F1321" s="84">
        <v>0.31</v>
      </c>
      <c r="G1321" s="53">
        <v>0.23100194577736327</v>
      </c>
      <c r="H1321" s="78">
        <v>745.16756702375244</v>
      </c>
      <c r="I1321" s="84">
        <v>0.02</v>
      </c>
      <c r="J1321" s="53">
        <v>1.7107955450917485E-2</v>
      </c>
      <c r="K1321" s="78">
        <v>855.39777254587409</v>
      </c>
      <c r="L1321" s="84">
        <v>0.12666666666666668</v>
      </c>
      <c r="M1321" s="53">
        <v>9.5660952603888807E-2</v>
      </c>
      <c r="N1321" s="78">
        <v>755.21804687280621</v>
      </c>
    </row>
    <row r="1322" spans="1:14" ht="19.5" customHeight="1" outlineLevel="1" x14ac:dyDescent="0.2">
      <c r="A1322" s="101">
        <v>26</v>
      </c>
      <c r="B1322" s="81" t="s">
        <v>33</v>
      </c>
      <c r="C1322" s="84">
        <v>0</v>
      </c>
      <c r="D1322" s="53">
        <v>0</v>
      </c>
      <c r="E1322" s="78">
        <v>0</v>
      </c>
      <c r="F1322" s="84">
        <v>0</v>
      </c>
      <c r="G1322" s="53">
        <v>0</v>
      </c>
      <c r="H1322" s="78">
        <v>0</v>
      </c>
      <c r="I1322" s="84">
        <v>0</v>
      </c>
      <c r="J1322" s="53">
        <v>0</v>
      </c>
      <c r="K1322" s="78">
        <v>0</v>
      </c>
      <c r="L1322" s="84">
        <v>0</v>
      </c>
      <c r="M1322" s="53">
        <v>0</v>
      </c>
      <c r="N1322" s="78">
        <v>0</v>
      </c>
    </row>
    <row r="1323" spans="1:14" ht="19.5" customHeight="1" outlineLevel="1" x14ac:dyDescent="0.2">
      <c r="A1323" s="101">
        <v>27</v>
      </c>
      <c r="B1323" s="81" t="s">
        <v>34</v>
      </c>
      <c r="C1323" s="84">
        <v>0</v>
      </c>
      <c r="D1323" s="53">
        <v>0</v>
      </c>
      <c r="E1323" s="78">
        <v>0</v>
      </c>
      <c r="F1323" s="84">
        <v>0</v>
      </c>
      <c r="G1323" s="53">
        <v>0</v>
      </c>
      <c r="H1323" s="78">
        <v>0</v>
      </c>
      <c r="I1323" s="84">
        <v>0</v>
      </c>
      <c r="J1323" s="53">
        <v>0</v>
      </c>
      <c r="K1323" s="78">
        <v>0</v>
      </c>
      <c r="L1323" s="84">
        <v>0</v>
      </c>
      <c r="M1323" s="53">
        <v>0</v>
      </c>
      <c r="N1323" s="78">
        <v>0</v>
      </c>
    </row>
    <row r="1324" spans="1:14" ht="19.5" customHeight="1" outlineLevel="1" x14ac:dyDescent="0.2">
      <c r="A1324" s="101">
        <v>28</v>
      </c>
      <c r="B1324" s="81" t="s">
        <v>35</v>
      </c>
      <c r="C1324" s="84">
        <v>0</v>
      </c>
      <c r="D1324" s="53">
        <v>0</v>
      </c>
      <c r="E1324" s="78">
        <v>0</v>
      </c>
      <c r="F1324" s="84">
        <v>0</v>
      </c>
      <c r="G1324" s="53">
        <v>0</v>
      </c>
      <c r="H1324" s="78">
        <v>0</v>
      </c>
      <c r="I1324" s="84">
        <v>0</v>
      </c>
      <c r="J1324" s="53">
        <v>0</v>
      </c>
      <c r="K1324" s="78">
        <v>0</v>
      </c>
      <c r="L1324" s="84">
        <v>0</v>
      </c>
      <c r="M1324" s="53">
        <v>0</v>
      </c>
      <c r="N1324" s="78">
        <v>0</v>
      </c>
    </row>
    <row r="1325" spans="1:14" ht="19.5" customHeight="1" outlineLevel="1" x14ac:dyDescent="0.2">
      <c r="A1325" s="101">
        <v>29</v>
      </c>
      <c r="B1325" s="81" t="s">
        <v>36</v>
      </c>
      <c r="C1325" s="84">
        <v>0</v>
      </c>
      <c r="D1325" s="53">
        <v>0</v>
      </c>
      <c r="E1325" s="78">
        <v>0</v>
      </c>
      <c r="F1325" s="84">
        <v>0</v>
      </c>
      <c r="G1325" s="53">
        <v>0</v>
      </c>
      <c r="H1325" s="78">
        <v>0</v>
      </c>
      <c r="I1325" s="84">
        <v>0</v>
      </c>
      <c r="J1325" s="53">
        <v>0</v>
      </c>
      <c r="K1325" s="78">
        <v>0</v>
      </c>
      <c r="L1325" s="84">
        <v>0</v>
      </c>
      <c r="M1325" s="53">
        <v>0</v>
      </c>
      <c r="N1325" s="78">
        <v>0</v>
      </c>
    </row>
    <row r="1326" spans="1:14" ht="19.5" customHeight="1" outlineLevel="1" x14ac:dyDescent="0.2">
      <c r="A1326" s="101">
        <v>30</v>
      </c>
      <c r="B1326" s="81" t="s">
        <v>37</v>
      </c>
      <c r="C1326" s="84">
        <v>0</v>
      </c>
      <c r="D1326" s="53">
        <v>0</v>
      </c>
      <c r="E1326" s="78">
        <v>0</v>
      </c>
      <c r="F1326" s="84">
        <v>0</v>
      </c>
      <c r="G1326" s="53">
        <v>0</v>
      </c>
      <c r="H1326" s="78">
        <v>0</v>
      </c>
      <c r="I1326" s="84">
        <v>0</v>
      </c>
      <c r="J1326" s="53">
        <v>0</v>
      </c>
      <c r="K1326" s="78">
        <v>0</v>
      </c>
      <c r="L1326" s="84">
        <v>0</v>
      </c>
      <c r="M1326" s="53">
        <v>0</v>
      </c>
      <c r="N1326" s="78">
        <v>0</v>
      </c>
    </row>
    <row r="1327" spans="1:14" ht="19.5" customHeight="1" outlineLevel="1" x14ac:dyDescent="0.2">
      <c r="A1327" s="101">
        <v>31</v>
      </c>
      <c r="B1327" s="81" t="s">
        <v>38</v>
      </c>
      <c r="C1327" s="84">
        <v>0</v>
      </c>
      <c r="D1327" s="53">
        <v>0</v>
      </c>
      <c r="E1327" s="78">
        <v>0</v>
      </c>
      <c r="F1327" s="84">
        <v>0</v>
      </c>
      <c r="G1327" s="53">
        <v>0</v>
      </c>
      <c r="H1327" s="78">
        <v>0</v>
      </c>
      <c r="I1327" s="84">
        <v>0</v>
      </c>
      <c r="J1327" s="53">
        <v>0</v>
      </c>
      <c r="K1327" s="78">
        <v>0</v>
      </c>
      <c r="L1327" s="84">
        <v>0</v>
      </c>
      <c r="M1327" s="53">
        <v>0</v>
      </c>
      <c r="N1327" s="78">
        <v>0</v>
      </c>
    </row>
    <row r="1328" spans="1:14" ht="19.5" customHeight="1" outlineLevel="1" x14ac:dyDescent="0.2">
      <c r="A1328" s="101">
        <v>32</v>
      </c>
      <c r="B1328" s="81" t="s">
        <v>39</v>
      </c>
      <c r="C1328" s="84">
        <v>0</v>
      </c>
      <c r="D1328" s="53">
        <v>0</v>
      </c>
      <c r="E1328" s="78">
        <v>0</v>
      </c>
      <c r="F1328" s="84">
        <v>0</v>
      </c>
      <c r="G1328" s="53">
        <v>0</v>
      </c>
      <c r="H1328" s="78">
        <v>0</v>
      </c>
      <c r="I1328" s="84">
        <v>0</v>
      </c>
      <c r="J1328" s="53">
        <v>0</v>
      </c>
      <c r="K1328" s="78">
        <v>0</v>
      </c>
      <c r="L1328" s="84">
        <v>0</v>
      </c>
      <c r="M1328" s="53">
        <v>0</v>
      </c>
      <c r="N1328" s="78">
        <v>0</v>
      </c>
    </row>
    <row r="1329" spans="1:14" ht="19.5" customHeight="1" outlineLevel="1" thickBot="1" x14ac:dyDescent="0.25">
      <c r="A1329" s="102">
        <v>33</v>
      </c>
      <c r="B1329" s="91" t="s">
        <v>40</v>
      </c>
      <c r="C1329" s="92">
        <v>0</v>
      </c>
      <c r="D1329" s="93">
        <v>0</v>
      </c>
      <c r="E1329" s="94">
        <v>0</v>
      </c>
      <c r="F1329" s="92">
        <v>0</v>
      </c>
      <c r="G1329" s="93">
        <v>0</v>
      </c>
      <c r="H1329" s="94">
        <v>0</v>
      </c>
      <c r="I1329" s="92">
        <v>0</v>
      </c>
      <c r="J1329" s="93">
        <v>0</v>
      </c>
      <c r="K1329" s="94">
        <v>0</v>
      </c>
      <c r="L1329" s="92">
        <v>0</v>
      </c>
      <c r="M1329" s="93">
        <v>0</v>
      </c>
      <c r="N1329" s="94">
        <v>0</v>
      </c>
    </row>
    <row r="1330" spans="1:14" ht="19.5" customHeight="1" thickBot="1" x14ac:dyDescent="0.25">
      <c r="A1330" s="151" t="s">
        <v>41</v>
      </c>
      <c r="B1330" s="152"/>
      <c r="C1330" s="96">
        <v>2762.08</v>
      </c>
      <c r="D1330" s="97">
        <v>2147.4043183967678</v>
      </c>
      <c r="E1330" s="98">
        <v>777.45913166771709</v>
      </c>
      <c r="F1330" s="96">
        <v>5613.06</v>
      </c>
      <c r="G1330" s="97">
        <v>4182.6702637583958</v>
      </c>
      <c r="H1330" s="98">
        <v>745.16756702376165</v>
      </c>
      <c r="I1330" s="96">
        <v>4765.3700000000017</v>
      </c>
      <c r="J1330" s="97">
        <v>4076.2868833569082</v>
      </c>
      <c r="K1330" s="98">
        <v>855.39777254586886</v>
      </c>
      <c r="L1330" s="96">
        <v>4380.170000000001</v>
      </c>
      <c r="M1330" s="97">
        <v>3468.7871551706908</v>
      </c>
      <c r="N1330" s="98">
        <v>791.92980070880583</v>
      </c>
    </row>
    <row r="1331" spans="1:14" ht="34.5" customHeight="1" x14ac:dyDescent="0.2">
      <c r="A1331" s="153" t="s">
        <v>247</v>
      </c>
      <c r="B1331" s="154"/>
      <c r="C1331" s="154"/>
      <c r="D1331" s="154"/>
      <c r="E1331" s="154"/>
      <c r="F1331" s="154"/>
      <c r="G1331" s="154"/>
      <c r="H1331" s="154"/>
      <c r="I1331" s="154"/>
      <c r="J1331" s="154"/>
      <c r="K1331" s="154"/>
      <c r="L1331" s="154"/>
      <c r="M1331" s="154"/>
      <c r="N1331" s="154"/>
    </row>
    <row r="1332" spans="1:14" ht="19.5" customHeight="1" thickBot="1" x14ac:dyDescent="0.25">
      <c r="A1332" s="50"/>
      <c r="B1332" s="138" t="s">
        <v>77</v>
      </c>
      <c r="C1332" s="52"/>
      <c r="D1332" s="52"/>
      <c r="E1332" s="52"/>
      <c r="F1332" s="52"/>
      <c r="G1332" s="52"/>
      <c r="H1332" s="52"/>
      <c r="I1332" s="52"/>
      <c r="J1332" s="52"/>
      <c r="K1332" s="155" t="s">
        <v>1</v>
      </c>
      <c r="L1332" s="154"/>
      <c r="M1332" s="154"/>
      <c r="N1332" s="154"/>
    </row>
    <row r="1333" spans="1:14" ht="19.5" customHeight="1" x14ac:dyDescent="0.2">
      <c r="A1333" s="156" t="s">
        <v>2</v>
      </c>
      <c r="B1333" s="158" t="s">
        <v>3</v>
      </c>
      <c r="C1333" s="148" t="s">
        <v>243</v>
      </c>
      <c r="D1333" s="149"/>
      <c r="E1333" s="150"/>
      <c r="F1333" s="148" t="s">
        <v>244</v>
      </c>
      <c r="G1333" s="149"/>
      <c r="H1333" s="150"/>
      <c r="I1333" s="148" t="s">
        <v>246</v>
      </c>
      <c r="J1333" s="149"/>
      <c r="K1333" s="150"/>
      <c r="L1333" s="148" t="s">
        <v>4</v>
      </c>
      <c r="M1333" s="149"/>
      <c r="N1333" s="150"/>
    </row>
    <row r="1334" spans="1:14" ht="19.5" customHeight="1" thickBot="1" x14ac:dyDescent="0.25">
      <c r="A1334" s="157"/>
      <c r="B1334" s="159"/>
      <c r="C1334" s="85" t="s">
        <v>5</v>
      </c>
      <c r="D1334" s="79" t="s">
        <v>6</v>
      </c>
      <c r="E1334" s="80" t="s">
        <v>7</v>
      </c>
      <c r="F1334" s="85" t="s">
        <v>5</v>
      </c>
      <c r="G1334" s="79" t="s">
        <v>6</v>
      </c>
      <c r="H1334" s="80" t="s">
        <v>7</v>
      </c>
      <c r="I1334" s="85" t="s">
        <v>5</v>
      </c>
      <c r="J1334" s="79" t="s">
        <v>6</v>
      </c>
      <c r="K1334" s="80" t="s">
        <v>7</v>
      </c>
      <c r="L1334" s="85" t="s">
        <v>5</v>
      </c>
      <c r="M1334" s="79" t="s">
        <v>6</v>
      </c>
      <c r="N1334" s="80" t="s">
        <v>7</v>
      </c>
    </row>
    <row r="1335" spans="1:14" ht="19.5" customHeight="1" outlineLevel="1" x14ac:dyDescent="0.2">
      <c r="A1335" s="100">
        <v>1</v>
      </c>
      <c r="B1335" s="86" t="s">
        <v>8</v>
      </c>
      <c r="C1335" s="87">
        <v>28</v>
      </c>
      <c r="D1335" s="88">
        <v>59.85717073170732</v>
      </c>
      <c r="E1335" s="89">
        <v>2137.7560975609758</v>
      </c>
      <c r="F1335" s="87">
        <v>110.05</v>
      </c>
      <c r="G1335" s="88">
        <v>237.28279621841892</v>
      </c>
      <c r="H1335" s="89">
        <v>2156.1362673186636</v>
      </c>
      <c r="I1335" s="87">
        <v>64.94</v>
      </c>
      <c r="J1335" s="88">
        <v>140.66399890909091</v>
      </c>
      <c r="K1335" s="89">
        <v>2166.0609625668449</v>
      </c>
      <c r="L1335" s="87">
        <v>67.663333333333341</v>
      </c>
      <c r="M1335" s="88">
        <v>145.9346552864057</v>
      </c>
      <c r="N1335" s="89">
        <v>2156.776027682236</v>
      </c>
    </row>
    <row r="1336" spans="1:14" ht="19.5" customHeight="1" outlineLevel="1" x14ac:dyDescent="0.2">
      <c r="A1336" s="101">
        <v>2</v>
      </c>
      <c r="B1336" s="81" t="s">
        <v>9</v>
      </c>
      <c r="C1336" s="84">
        <v>23</v>
      </c>
      <c r="D1336" s="53">
        <v>34.249489059727971</v>
      </c>
      <c r="E1336" s="78">
        <v>1489.1082199881728</v>
      </c>
      <c r="F1336" s="84">
        <v>61.84</v>
      </c>
      <c r="G1336" s="53">
        <v>80.028672996040498</v>
      </c>
      <c r="H1336" s="78">
        <v>1294.1247250329961</v>
      </c>
      <c r="I1336" s="84">
        <v>41.11</v>
      </c>
      <c r="J1336" s="53">
        <v>55.991636199701937</v>
      </c>
      <c r="K1336" s="78">
        <v>1361.9955290611028</v>
      </c>
      <c r="L1336" s="84">
        <v>41.983333333333334</v>
      </c>
      <c r="M1336" s="53">
        <v>56.756599418490133</v>
      </c>
      <c r="N1336" s="78">
        <v>1351.8840671335483</v>
      </c>
    </row>
    <row r="1337" spans="1:14" ht="19.5" customHeight="1" outlineLevel="1" x14ac:dyDescent="0.2">
      <c r="A1337" s="101">
        <v>3</v>
      </c>
      <c r="B1337" s="81" t="s">
        <v>10</v>
      </c>
      <c r="C1337" s="84">
        <v>20.73</v>
      </c>
      <c r="D1337" s="53">
        <v>26.947089918699191</v>
      </c>
      <c r="E1337" s="78">
        <v>1299.9078590785909</v>
      </c>
      <c r="F1337" s="84">
        <v>50.09</v>
      </c>
      <c r="G1337" s="53">
        <v>72.957564603746405</v>
      </c>
      <c r="H1337" s="78">
        <v>1456.529538904899</v>
      </c>
      <c r="I1337" s="84">
        <v>33.96</v>
      </c>
      <c r="J1337" s="53">
        <v>51.492859195757845</v>
      </c>
      <c r="K1337" s="78">
        <v>1516.2797171895713</v>
      </c>
      <c r="L1337" s="84">
        <v>34.926666666666669</v>
      </c>
      <c r="M1337" s="53">
        <v>50.465837906067812</v>
      </c>
      <c r="N1337" s="78">
        <v>1444.9085103856025</v>
      </c>
    </row>
    <row r="1338" spans="1:14" ht="19.5" customHeight="1" outlineLevel="1" x14ac:dyDescent="0.2">
      <c r="A1338" s="101">
        <v>4</v>
      </c>
      <c r="B1338" s="81" t="s">
        <v>11</v>
      </c>
      <c r="C1338" s="84">
        <v>31.92</v>
      </c>
      <c r="D1338" s="53">
        <v>48.252559977304969</v>
      </c>
      <c r="E1338" s="78">
        <v>1511.6716784869977</v>
      </c>
      <c r="F1338" s="84">
        <v>51.6</v>
      </c>
      <c r="G1338" s="53">
        <v>73.198538896429639</v>
      </c>
      <c r="H1338" s="78">
        <v>1418.5763352021247</v>
      </c>
      <c r="I1338" s="84">
        <v>44.91</v>
      </c>
      <c r="J1338" s="53">
        <v>60.942793881355932</v>
      </c>
      <c r="K1338" s="78">
        <v>1356.9983050847459</v>
      </c>
      <c r="L1338" s="84">
        <v>42.81</v>
      </c>
      <c r="M1338" s="53">
        <v>60.797964251696847</v>
      </c>
      <c r="N1338" s="78">
        <v>1420.1813653748386</v>
      </c>
    </row>
    <row r="1339" spans="1:14" ht="19.5" customHeight="1" outlineLevel="1" x14ac:dyDescent="0.2">
      <c r="A1339" s="101">
        <v>5</v>
      </c>
      <c r="B1339" s="81" t="s">
        <v>12</v>
      </c>
      <c r="C1339" s="84">
        <v>21.47</v>
      </c>
      <c r="D1339" s="53">
        <v>32.359583999999998</v>
      </c>
      <c r="E1339" s="78">
        <v>1507.2</v>
      </c>
      <c r="F1339" s="84">
        <v>44.71</v>
      </c>
      <c r="G1339" s="53">
        <v>69.693948000000006</v>
      </c>
      <c r="H1339" s="78">
        <v>1558.8</v>
      </c>
      <c r="I1339" s="84">
        <v>30.53</v>
      </c>
      <c r="J1339" s="53">
        <v>50.446360051139528</v>
      </c>
      <c r="K1339" s="78">
        <v>1652.3537520844916</v>
      </c>
      <c r="L1339" s="84">
        <v>32.236666666666672</v>
      </c>
      <c r="M1339" s="53">
        <v>50.833297350379844</v>
      </c>
      <c r="N1339" s="78">
        <v>1576.878213743558</v>
      </c>
    </row>
    <row r="1340" spans="1:14" ht="19.5" customHeight="1" outlineLevel="1" x14ac:dyDescent="0.2">
      <c r="A1340" s="101">
        <v>6</v>
      </c>
      <c r="B1340" s="81" t="s">
        <v>13</v>
      </c>
      <c r="C1340" s="84">
        <v>23.75</v>
      </c>
      <c r="D1340" s="53">
        <v>37.411000000000001</v>
      </c>
      <c r="E1340" s="78">
        <v>1575.2</v>
      </c>
      <c r="F1340" s="84">
        <v>33.22</v>
      </c>
      <c r="G1340" s="53">
        <v>56.939079999999997</v>
      </c>
      <c r="H1340" s="78">
        <v>1714</v>
      </c>
      <c r="I1340" s="84">
        <v>20.91</v>
      </c>
      <c r="J1340" s="53">
        <v>38.641680000000001</v>
      </c>
      <c r="K1340" s="78">
        <v>1848</v>
      </c>
      <c r="L1340" s="84">
        <v>25.959999999999997</v>
      </c>
      <c r="M1340" s="53">
        <v>44.330586666666669</v>
      </c>
      <c r="N1340" s="78">
        <v>1707.6497175141246</v>
      </c>
    </row>
    <row r="1341" spans="1:14" ht="19.5" customHeight="1" outlineLevel="1" x14ac:dyDescent="0.2">
      <c r="A1341" s="101">
        <v>7</v>
      </c>
      <c r="B1341" s="81" t="s">
        <v>14</v>
      </c>
      <c r="C1341" s="84">
        <v>10.3</v>
      </c>
      <c r="D1341" s="53">
        <v>18.849</v>
      </c>
      <c r="E1341" s="78">
        <v>1830</v>
      </c>
      <c r="F1341" s="84">
        <v>14.97</v>
      </c>
      <c r="G1341" s="53">
        <v>20.383151999999999</v>
      </c>
      <c r="H1341" s="78">
        <v>1361.6</v>
      </c>
      <c r="I1341" s="84">
        <v>10.46</v>
      </c>
      <c r="J1341" s="53">
        <v>13.380432000000001</v>
      </c>
      <c r="K1341" s="78">
        <v>1279.2</v>
      </c>
      <c r="L1341" s="84">
        <v>11.910000000000002</v>
      </c>
      <c r="M1341" s="53">
        <v>17.537527999999998</v>
      </c>
      <c r="N1341" s="78">
        <v>1472.5044500419813</v>
      </c>
    </row>
    <row r="1342" spans="1:14" ht="19.5" customHeight="1" outlineLevel="1" x14ac:dyDescent="0.2">
      <c r="A1342" s="101">
        <v>8</v>
      </c>
      <c r="B1342" s="81" t="s">
        <v>15</v>
      </c>
      <c r="C1342" s="84">
        <v>3.68</v>
      </c>
      <c r="D1342" s="53">
        <v>6.0883195616028898</v>
      </c>
      <c r="E1342" s="78">
        <v>1654.4346634790461</v>
      </c>
      <c r="F1342" s="84">
        <v>13.69</v>
      </c>
      <c r="G1342" s="53">
        <v>22.389610113566167</v>
      </c>
      <c r="H1342" s="78">
        <v>1635.4718855782444</v>
      </c>
      <c r="I1342" s="84">
        <v>8.74</v>
      </c>
      <c r="J1342" s="53">
        <v>13.551850323419163</v>
      </c>
      <c r="K1342" s="78">
        <v>1550.5549569129478</v>
      </c>
      <c r="L1342" s="84">
        <v>8.7033333333333331</v>
      </c>
      <c r="M1342" s="53">
        <v>14.009926666196074</v>
      </c>
      <c r="N1342" s="78">
        <v>1609.7196475905102</v>
      </c>
    </row>
    <row r="1343" spans="1:14" ht="19.5" customHeight="1" outlineLevel="1" x14ac:dyDescent="0.2">
      <c r="A1343" s="101">
        <v>9</v>
      </c>
      <c r="B1343" s="81" t="s">
        <v>16</v>
      </c>
      <c r="C1343" s="84">
        <v>278.85000000000002</v>
      </c>
      <c r="D1343" s="53">
        <v>456.60898074903304</v>
      </c>
      <c r="E1343" s="78">
        <v>1637.4716899732223</v>
      </c>
      <c r="F1343" s="84">
        <v>697.19</v>
      </c>
      <c r="G1343" s="53">
        <v>1082.9962183915654</v>
      </c>
      <c r="H1343" s="78">
        <v>1553.3731384437028</v>
      </c>
      <c r="I1343" s="84">
        <v>246.86</v>
      </c>
      <c r="J1343" s="53">
        <v>342.7786376093087</v>
      </c>
      <c r="K1343" s="78">
        <v>1388.5547987090199</v>
      </c>
      <c r="L1343" s="84">
        <v>407.63333333333338</v>
      </c>
      <c r="M1343" s="53">
        <v>627.46127891663571</v>
      </c>
      <c r="N1343" s="78">
        <v>1539.2786301005044</v>
      </c>
    </row>
    <row r="1344" spans="1:14" ht="19.5" customHeight="1" outlineLevel="1" x14ac:dyDescent="0.2">
      <c r="A1344" s="101">
        <v>10</v>
      </c>
      <c r="B1344" s="81" t="s">
        <v>17</v>
      </c>
      <c r="C1344" s="84">
        <v>46.95</v>
      </c>
      <c r="D1344" s="53">
        <v>87.721380000000011</v>
      </c>
      <c r="E1344" s="78">
        <v>1868.4</v>
      </c>
      <c r="F1344" s="84">
        <v>148.05000000000001</v>
      </c>
      <c r="G1344" s="53">
        <v>294.61950000000002</v>
      </c>
      <c r="H1344" s="78">
        <v>1990</v>
      </c>
      <c r="I1344" s="84">
        <v>35.799999999999997</v>
      </c>
      <c r="J1344" s="53">
        <v>63.634262804314325</v>
      </c>
      <c r="K1344" s="78">
        <v>1777.493374422188</v>
      </c>
      <c r="L1344" s="84">
        <v>76.933333333333337</v>
      </c>
      <c r="M1344" s="53">
        <v>148.65838093477146</v>
      </c>
      <c r="N1344" s="78">
        <v>1932.3013119770987</v>
      </c>
    </row>
    <row r="1345" spans="1:14" ht="19.5" customHeight="1" outlineLevel="1" x14ac:dyDescent="0.2">
      <c r="A1345" s="101">
        <v>11</v>
      </c>
      <c r="B1345" s="81" t="s">
        <v>18</v>
      </c>
      <c r="C1345" s="84">
        <v>0</v>
      </c>
      <c r="D1345" s="53">
        <v>0</v>
      </c>
      <c r="E1345" s="78">
        <v>0</v>
      </c>
      <c r="F1345" s="84">
        <v>1.1399999999999999</v>
      </c>
      <c r="G1345" s="53">
        <v>1.8644379495591983</v>
      </c>
      <c r="H1345" s="78">
        <v>1635.4718855782444</v>
      </c>
      <c r="I1345" s="84">
        <v>0.74</v>
      </c>
      <c r="J1345" s="53">
        <v>1.1474106681155813</v>
      </c>
      <c r="K1345" s="78">
        <v>1550.5549569129478</v>
      </c>
      <c r="L1345" s="84">
        <v>0.94</v>
      </c>
      <c r="M1345" s="53">
        <v>1.5059243088373897</v>
      </c>
      <c r="N1345" s="78">
        <v>1602.0471370610528</v>
      </c>
    </row>
    <row r="1346" spans="1:14" ht="19.5" customHeight="1" outlineLevel="1" x14ac:dyDescent="0.2">
      <c r="A1346" s="101">
        <v>12</v>
      </c>
      <c r="B1346" s="81" t="s">
        <v>19</v>
      </c>
      <c r="C1346" s="84">
        <v>0</v>
      </c>
      <c r="D1346" s="53">
        <v>0</v>
      </c>
      <c r="E1346" s="78">
        <v>0</v>
      </c>
      <c r="F1346" s="84">
        <v>0.23</v>
      </c>
      <c r="G1346" s="53">
        <v>0.37615853368299623</v>
      </c>
      <c r="H1346" s="78">
        <v>1635.4718855782444</v>
      </c>
      <c r="I1346" s="84">
        <v>0.05</v>
      </c>
      <c r="J1346" s="53">
        <v>7.7527747845647393E-2</v>
      </c>
      <c r="K1346" s="78">
        <v>1550.5549569129478</v>
      </c>
      <c r="L1346" s="84">
        <v>0.14000000000000001</v>
      </c>
      <c r="M1346" s="53">
        <v>0.22684314076432183</v>
      </c>
      <c r="N1346" s="78">
        <v>1620.3081483165843</v>
      </c>
    </row>
    <row r="1347" spans="1:14" ht="19.5" customHeight="1" outlineLevel="1" x14ac:dyDescent="0.2">
      <c r="A1347" s="101">
        <v>13</v>
      </c>
      <c r="B1347" s="81" t="s">
        <v>20</v>
      </c>
      <c r="C1347" s="84">
        <v>0</v>
      </c>
      <c r="D1347" s="53">
        <v>0</v>
      </c>
      <c r="E1347" s="78">
        <v>0</v>
      </c>
      <c r="F1347" s="84">
        <v>0</v>
      </c>
      <c r="G1347" s="53">
        <v>0</v>
      </c>
      <c r="H1347" s="78">
        <v>0</v>
      </c>
      <c r="I1347" s="84">
        <v>0</v>
      </c>
      <c r="J1347" s="53">
        <v>0</v>
      </c>
      <c r="K1347" s="78">
        <v>0</v>
      </c>
      <c r="L1347" s="84">
        <v>0</v>
      </c>
      <c r="M1347" s="53">
        <v>0</v>
      </c>
      <c r="N1347" s="78">
        <v>0</v>
      </c>
    </row>
    <row r="1348" spans="1:14" ht="19.5" customHeight="1" outlineLevel="1" x14ac:dyDescent="0.2">
      <c r="A1348" s="101">
        <v>14</v>
      </c>
      <c r="B1348" s="81" t="s">
        <v>21</v>
      </c>
      <c r="C1348" s="84">
        <v>0</v>
      </c>
      <c r="D1348" s="53">
        <v>0</v>
      </c>
      <c r="E1348" s="78">
        <v>0</v>
      </c>
      <c r="F1348" s="84">
        <v>0</v>
      </c>
      <c r="G1348" s="53">
        <v>0</v>
      </c>
      <c r="H1348" s="78">
        <v>0</v>
      </c>
      <c r="I1348" s="84">
        <v>0</v>
      </c>
      <c r="J1348" s="53">
        <v>0</v>
      </c>
      <c r="K1348" s="78">
        <v>0</v>
      </c>
      <c r="L1348" s="84">
        <v>0</v>
      </c>
      <c r="M1348" s="53">
        <v>0</v>
      </c>
      <c r="N1348" s="78">
        <v>0</v>
      </c>
    </row>
    <row r="1349" spans="1:14" ht="19.5" customHeight="1" outlineLevel="1" x14ac:dyDescent="0.2">
      <c r="A1349" s="101">
        <v>15</v>
      </c>
      <c r="B1349" s="81" t="s">
        <v>22</v>
      </c>
      <c r="C1349" s="84">
        <v>0</v>
      </c>
      <c r="D1349" s="53">
        <v>0</v>
      </c>
      <c r="E1349" s="78">
        <v>0</v>
      </c>
      <c r="F1349" s="84">
        <v>0</v>
      </c>
      <c r="G1349" s="53">
        <v>0</v>
      </c>
      <c r="H1349" s="78">
        <v>0</v>
      </c>
      <c r="I1349" s="84">
        <v>0</v>
      </c>
      <c r="J1349" s="53">
        <v>0</v>
      </c>
      <c r="K1349" s="78">
        <v>0</v>
      </c>
      <c r="L1349" s="84">
        <v>0</v>
      </c>
      <c r="M1349" s="53">
        <v>0</v>
      </c>
      <c r="N1349" s="78">
        <v>0</v>
      </c>
    </row>
    <row r="1350" spans="1:14" ht="19.5" customHeight="1" outlineLevel="1" x14ac:dyDescent="0.2">
      <c r="A1350" s="101">
        <v>16</v>
      </c>
      <c r="B1350" s="81" t="s">
        <v>23</v>
      </c>
      <c r="C1350" s="84">
        <v>0</v>
      </c>
      <c r="D1350" s="53">
        <v>0</v>
      </c>
      <c r="E1350" s="78">
        <v>0</v>
      </c>
      <c r="F1350" s="84">
        <v>0</v>
      </c>
      <c r="G1350" s="53">
        <v>0</v>
      </c>
      <c r="H1350" s="78">
        <v>0</v>
      </c>
      <c r="I1350" s="84">
        <v>0</v>
      </c>
      <c r="J1350" s="53">
        <v>0</v>
      </c>
      <c r="K1350" s="78">
        <v>0</v>
      </c>
      <c r="L1350" s="84">
        <v>0</v>
      </c>
      <c r="M1350" s="53">
        <v>0</v>
      </c>
      <c r="N1350" s="78">
        <v>0</v>
      </c>
    </row>
    <row r="1351" spans="1:14" ht="19.5" customHeight="1" outlineLevel="1" x14ac:dyDescent="0.2">
      <c r="A1351" s="101">
        <v>17</v>
      </c>
      <c r="B1351" s="81" t="s">
        <v>24</v>
      </c>
      <c r="C1351" s="84">
        <v>0.05</v>
      </c>
      <c r="D1351" s="53">
        <v>8.2721733173952317E-2</v>
      </c>
      <c r="E1351" s="78">
        <v>1654.4346634790461</v>
      </c>
      <c r="F1351" s="84">
        <v>0.88</v>
      </c>
      <c r="G1351" s="53">
        <v>1.4392152593088552</v>
      </c>
      <c r="H1351" s="78">
        <v>1635.4718855782444</v>
      </c>
      <c r="I1351" s="84">
        <v>0.88</v>
      </c>
      <c r="J1351" s="53">
        <v>1.3644883620833941</v>
      </c>
      <c r="K1351" s="78">
        <v>1550.5549569129478</v>
      </c>
      <c r="L1351" s="84">
        <v>0.60333333333333339</v>
      </c>
      <c r="M1351" s="53">
        <v>0.96214178485540047</v>
      </c>
      <c r="N1351" s="78">
        <v>1594.7101406443101</v>
      </c>
    </row>
    <row r="1352" spans="1:14" ht="19.5" customHeight="1" outlineLevel="1" x14ac:dyDescent="0.2">
      <c r="A1352" s="101">
        <v>18</v>
      </c>
      <c r="B1352" s="81" t="s">
        <v>25</v>
      </c>
      <c r="C1352" s="84">
        <v>0.08</v>
      </c>
      <c r="D1352" s="53">
        <v>0.13235477307832369</v>
      </c>
      <c r="E1352" s="78">
        <v>1654.4346634790461</v>
      </c>
      <c r="F1352" s="84">
        <v>0.88</v>
      </c>
      <c r="G1352" s="53">
        <v>1.4392152593088552</v>
      </c>
      <c r="H1352" s="78">
        <v>1635.4718855782444</v>
      </c>
      <c r="I1352" s="84">
        <v>0.3</v>
      </c>
      <c r="J1352" s="53">
        <v>0.4651664870738843</v>
      </c>
      <c r="K1352" s="78">
        <v>1550.5549569129478</v>
      </c>
      <c r="L1352" s="84">
        <v>0.42</v>
      </c>
      <c r="M1352" s="53">
        <v>0.67891217315368768</v>
      </c>
      <c r="N1352" s="78">
        <v>1616.4575551278281</v>
      </c>
    </row>
    <row r="1353" spans="1:14" ht="19.5" customHeight="1" outlineLevel="1" x14ac:dyDescent="0.2">
      <c r="A1353" s="101">
        <v>19</v>
      </c>
      <c r="B1353" s="81" t="s">
        <v>26</v>
      </c>
      <c r="C1353" s="84">
        <v>10.58</v>
      </c>
      <c r="D1353" s="53">
        <v>17.503918739608306</v>
      </c>
      <c r="E1353" s="78">
        <v>1654.4346634790461</v>
      </c>
      <c r="F1353" s="84">
        <v>82.21</v>
      </c>
      <c r="G1353" s="53">
        <v>134.45214371338744</v>
      </c>
      <c r="H1353" s="78">
        <v>1635.4718855782444</v>
      </c>
      <c r="I1353" s="84">
        <v>18.61</v>
      </c>
      <c r="J1353" s="53">
        <v>30.849361446808512</v>
      </c>
      <c r="K1353" s="78">
        <v>1657.676595744681</v>
      </c>
      <c r="L1353" s="84">
        <v>37.133333333333333</v>
      </c>
      <c r="M1353" s="53">
        <v>60.935141299934749</v>
      </c>
      <c r="N1353" s="78">
        <v>1640.9822612190687</v>
      </c>
    </row>
    <row r="1354" spans="1:14" ht="19.5" customHeight="1" outlineLevel="1" x14ac:dyDescent="0.2">
      <c r="A1354" s="101">
        <v>20</v>
      </c>
      <c r="B1354" s="81" t="s">
        <v>27</v>
      </c>
      <c r="C1354" s="84">
        <v>0</v>
      </c>
      <c r="D1354" s="53">
        <v>0</v>
      </c>
      <c r="E1354" s="78">
        <v>0</v>
      </c>
      <c r="F1354" s="84">
        <v>0</v>
      </c>
      <c r="G1354" s="53">
        <v>0</v>
      </c>
      <c r="H1354" s="78">
        <v>0</v>
      </c>
      <c r="I1354" s="84">
        <v>0</v>
      </c>
      <c r="J1354" s="53">
        <v>0</v>
      </c>
      <c r="K1354" s="78">
        <v>0</v>
      </c>
      <c r="L1354" s="84">
        <v>0</v>
      </c>
      <c r="M1354" s="53">
        <v>0</v>
      </c>
      <c r="N1354" s="78">
        <v>0</v>
      </c>
    </row>
    <row r="1355" spans="1:14" ht="19.5" customHeight="1" outlineLevel="1" x14ac:dyDescent="0.2">
      <c r="A1355" s="101">
        <v>21</v>
      </c>
      <c r="B1355" s="81" t="s">
        <v>28</v>
      </c>
      <c r="C1355" s="84">
        <v>5.53</v>
      </c>
      <c r="D1355" s="53">
        <v>9.2439479999999996</v>
      </c>
      <c r="E1355" s="78">
        <v>1671.6</v>
      </c>
      <c r="F1355" s="84">
        <v>15.44</v>
      </c>
      <c r="G1355" s="53">
        <v>18.886207999999996</v>
      </c>
      <c r="H1355" s="78">
        <v>1223.1999999999998</v>
      </c>
      <c r="I1355" s="84">
        <v>7.82</v>
      </c>
      <c r="J1355" s="53">
        <v>13.146984</v>
      </c>
      <c r="K1355" s="78">
        <v>1681.2</v>
      </c>
      <c r="L1355" s="84">
        <v>9.5966666666666658</v>
      </c>
      <c r="M1355" s="53">
        <v>13.759046666666665</v>
      </c>
      <c r="N1355" s="78">
        <v>1433.73185133727</v>
      </c>
    </row>
    <row r="1356" spans="1:14" ht="19.5" customHeight="1" outlineLevel="1" x14ac:dyDescent="0.2">
      <c r="A1356" s="101">
        <v>22</v>
      </c>
      <c r="B1356" s="81" t="s">
        <v>29</v>
      </c>
      <c r="C1356" s="84">
        <v>2.46</v>
      </c>
      <c r="D1356" s="53">
        <v>4.0699092721584531</v>
      </c>
      <c r="E1356" s="78">
        <v>1654.4346634790461</v>
      </c>
      <c r="F1356" s="84">
        <v>2.0699999999999998</v>
      </c>
      <c r="G1356" s="53">
        <v>3.3854268031469656</v>
      </c>
      <c r="H1356" s="78">
        <v>1635.4718855782444</v>
      </c>
      <c r="I1356" s="84">
        <v>2.2200000000000002</v>
      </c>
      <c r="J1356" s="53">
        <v>3.4422320043467445</v>
      </c>
      <c r="K1356" s="78">
        <v>1550.5549569129478</v>
      </c>
      <c r="L1356" s="84">
        <v>2.25</v>
      </c>
      <c r="M1356" s="53">
        <v>3.6325226932173877</v>
      </c>
      <c r="N1356" s="78">
        <v>1614.454530318839</v>
      </c>
    </row>
    <row r="1357" spans="1:14" ht="19.5" customHeight="1" outlineLevel="1" x14ac:dyDescent="0.2">
      <c r="A1357" s="101">
        <v>23</v>
      </c>
      <c r="B1357" s="81" t="s">
        <v>30</v>
      </c>
      <c r="C1357" s="84">
        <v>1.48</v>
      </c>
      <c r="D1357" s="53">
        <v>2.4485633019489881</v>
      </c>
      <c r="E1357" s="78">
        <v>1654.4346634790461</v>
      </c>
      <c r="F1357" s="84">
        <v>3.21</v>
      </c>
      <c r="G1357" s="53">
        <v>5.2498647527061646</v>
      </c>
      <c r="H1357" s="78">
        <v>1635.4718855782444</v>
      </c>
      <c r="I1357" s="84">
        <v>2.5099999999999998</v>
      </c>
      <c r="J1357" s="53">
        <v>3.8918929418514985</v>
      </c>
      <c r="K1357" s="78">
        <v>1550.5549569129478</v>
      </c>
      <c r="L1357" s="84">
        <v>2.4</v>
      </c>
      <c r="M1357" s="53">
        <v>3.8634403321688837</v>
      </c>
      <c r="N1357" s="78">
        <v>1609.7668050703683</v>
      </c>
    </row>
    <row r="1358" spans="1:14" ht="19.5" customHeight="1" outlineLevel="1" x14ac:dyDescent="0.2">
      <c r="A1358" s="101">
        <v>24</v>
      </c>
      <c r="B1358" s="81" t="s">
        <v>31</v>
      </c>
      <c r="C1358" s="84">
        <v>0.12</v>
      </c>
      <c r="D1358" s="53">
        <v>0.19853215961748552</v>
      </c>
      <c r="E1358" s="78">
        <v>1654.4346634790461</v>
      </c>
      <c r="F1358" s="84">
        <v>0.1</v>
      </c>
      <c r="G1358" s="53">
        <v>0.16354718855782446</v>
      </c>
      <c r="H1358" s="78">
        <v>1635.4718855782444</v>
      </c>
      <c r="I1358" s="84">
        <v>0.12</v>
      </c>
      <c r="J1358" s="53">
        <v>0.18606659482955373</v>
      </c>
      <c r="K1358" s="78">
        <v>1550.5549569129478</v>
      </c>
      <c r="L1358" s="84">
        <v>0.11333333333333333</v>
      </c>
      <c r="M1358" s="53">
        <v>0.18271531433495455</v>
      </c>
      <c r="N1358" s="78">
        <v>1612.1939500143048</v>
      </c>
    </row>
    <row r="1359" spans="1:14" ht="19.5" customHeight="1" outlineLevel="1" x14ac:dyDescent="0.2">
      <c r="A1359" s="101">
        <v>25</v>
      </c>
      <c r="B1359" s="81" t="s">
        <v>32</v>
      </c>
      <c r="C1359" s="84">
        <v>0.02</v>
      </c>
      <c r="D1359" s="53">
        <v>3.3088693269580922E-2</v>
      </c>
      <c r="E1359" s="78">
        <v>1654.4346634790461</v>
      </c>
      <c r="F1359" s="84">
        <v>0.5</v>
      </c>
      <c r="G1359" s="53">
        <v>0.81773594278912221</v>
      </c>
      <c r="H1359" s="78">
        <v>1635.4718855782444</v>
      </c>
      <c r="I1359" s="84">
        <v>0.13</v>
      </c>
      <c r="J1359" s="53">
        <v>0.20157214439868321</v>
      </c>
      <c r="K1359" s="78">
        <v>1550.5549569129478</v>
      </c>
      <c r="L1359" s="84">
        <v>0.21666666666666667</v>
      </c>
      <c r="M1359" s="53">
        <v>0.35079892681912878</v>
      </c>
      <c r="N1359" s="78">
        <v>1619.0719699344404</v>
      </c>
    </row>
    <row r="1360" spans="1:14" ht="19.5" customHeight="1" outlineLevel="1" x14ac:dyDescent="0.2">
      <c r="A1360" s="101">
        <v>26</v>
      </c>
      <c r="B1360" s="81" t="s">
        <v>33</v>
      </c>
      <c r="C1360" s="84">
        <v>0</v>
      </c>
      <c r="D1360" s="53">
        <v>0</v>
      </c>
      <c r="E1360" s="78">
        <v>0</v>
      </c>
      <c r="F1360" s="84">
        <v>0</v>
      </c>
      <c r="G1360" s="53">
        <v>0</v>
      </c>
      <c r="H1360" s="78">
        <v>0</v>
      </c>
      <c r="I1360" s="84">
        <v>0</v>
      </c>
      <c r="J1360" s="53">
        <v>0</v>
      </c>
      <c r="K1360" s="78">
        <v>0</v>
      </c>
      <c r="L1360" s="84">
        <v>0</v>
      </c>
      <c r="M1360" s="53">
        <v>0</v>
      </c>
      <c r="N1360" s="78">
        <v>0</v>
      </c>
    </row>
    <row r="1361" spans="1:14" ht="19.5" customHeight="1" outlineLevel="1" x14ac:dyDescent="0.2">
      <c r="A1361" s="101">
        <v>27</v>
      </c>
      <c r="B1361" s="81" t="s">
        <v>34</v>
      </c>
      <c r="C1361" s="84">
        <v>0</v>
      </c>
      <c r="D1361" s="53">
        <v>0</v>
      </c>
      <c r="E1361" s="78">
        <v>0</v>
      </c>
      <c r="F1361" s="84">
        <v>0</v>
      </c>
      <c r="G1361" s="53">
        <v>0</v>
      </c>
      <c r="H1361" s="78">
        <v>0</v>
      </c>
      <c r="I1361" s="84">
        <v>0</v>
      </c>
      <c r="J1361" s="53">
        <v>0</v>
      </c>
      <c r="K1361" s="78">
        <v>0</v>
      </c>
      <c r="L1361" s="84">
        <v>0</v>
      </c>
      <c r="M1361" s="53">
        <v>0</v>
      </c>
      <c r="N1361" s="78">
        <v>0</v>
      </c>
    </row>
    <row r="1362" spans="1:14" ht="19.5" customHeight="1" outlineLevel="1" x14ac:dyDescent="0.2">
      <c r="A1362" s="101">
        <v>28</v>
      </c>
      <c r="B1362" s="81" t="s">
        <v>35</v>
      </c>
      <c r="C1362" s="84">
        <v>0</v>
      </c>
      <c r="D1362" s="53">
        <v>0</v>
      </c>
      <c r="E1362" s="78">
        <v>0</v>
      </c>
      <c r="F1362" s="84">
        <v>0</v>
      </c>
      <c r="G1362" s="53">
        <v>0</v>
      </c>
      <c r="H1362" s="78">
        <v>0</v>
      </c>
      <c r="I1362" s="84">
        <v>0</v>
      </c>
      <c r="J1362" s="53">
        <v>0</v>
      </c>
      <c r="K1362" s="78">
        <v>0</v>
      </c>
      <c r="L1362" s="84">
        <v>0</v>
      </c>
      <c r="M1362" s="53">
        <v>0</v>
      </c>
      <c r="N1362" s="78">
        <v>0</v>
      </c>
    </row>
    <row r="1363" spans="1:14" ht="19.5" customHeight="1" outlineLevel="1" x14ac:dyDescent="0.2">
      <c r="A1363" s="101">
        <v>29</v>
      </c>
      <c r="B1363" s="81" t="s">
        <v>36</v>
      </c>
      <c r="C1363" s="84">
        <v>0</v>
      </c>
      <c r="D1363" s="53">
        <v>0</v>
      </c>
      <c r="E1363" s="78">
        <v>0</v>
      </c>
      <c r="F1363" s="84">
        <v>0</v>
      </c>
      <c r="G1363" s="53">
        <v>0</v>
      </c>
      <c r="H1363" s="78">
        <v>0</v>
      </c>
      <c r="I1363" s="84">
        <v>0.01</v>
      </c>
      <c r="J1363" s="53">
        <v>1.5505549569129478E-2</v>
      </c>
      <c r="K1363" s="78">
        <v>1550.5549569129478</v>
      </c>
      <c r="L1363" s="84">
        <v>0.01</v>
      </c>
      <c r="M1363" s="53">
        <v>1.5505549569129478E-2</v>
      </c>
      <c r="N1363" s="78">
        <v>1550.5549569129478</v>
      </c>
    </row>
    <row r="1364" spans="1:14" ht="19.5" customHeight="1" outlineLevel="1" x14ac:dyDescent="0.2">
      <c r="A1364" s="101">
        <v>30</v>
      </c>
      <c r="B1364" s="81" t="s">
        <v>37</v>
      </c>
      <c r="C1364" s="84">
        <v>0</v>
      </c>
      <c r="D1364" s="53">
        <v>0</v>
      </c>
      <c r="E1364" s="78">
        <v>0</v>
      </c>
      <c r="F1364" s="84">
        <v>0</v>
      </c>
      <c r="G1364" s="53">
        <v>0</v>
      </c>
      <c r="H1364" s="78">
        <v>0</v>
      </c>
      <c r="I1364" s="84">
        <v>0</v>
      </c>
      <c r="J1364" s="53">
        <v>0</v>
      </c>
      <c r="K1364" s="78">
        <v>0</v>
      </c>
      <c r="L1364" s="84">
        <v>0</v>
      </c>
      <c r="M1364" s="53">
        <v>0</v>
      </c>
      <c r="N1364" s="78">
        <v>0</v>
      </c>
    </row>
    <row r="1365" spans="1:14" ht="19.5" customHeight="1" outlineLevel="1" x14ac:dyDescent="0.2">
      <c r="A1365" s="101">
        <v>31</v>
      </c>
      <c r="B1365" s="81" t="s">
        <v>38</v>
      </c>
      <c r="C1365" s="84">
        <v>0</v>
      </c>
      <c r="D1365" s="53">
        <v>0</v>
      </c>
      <c r="E1365" s="78">
        <v>0</v>
      </c>
      <c r="F1365" s="84">
        <v>0</v>
      </c>
      <c r="G1365" s="53">
        <v>0</v>
      </c>
      <c r="H1365" s="78">
        <v>0</v>
      </c>
      <c r="I1365" s="84">
        <v>0</v>
      </c>
      <c r="J1365" s="53">
        <v>0</v>
      </c>
      <c r="K1365" s="78">
        <v>0</v>
      </c>
      <c r="L1365" s="84">
        <v>0</v>
      </c>
      <c r="M1365" s="53">
        <v>0</v>
      </c>
      <c r="N1365" s="78">
        <v>0</v>
      </c>
    </row>
    <row r="1366" spans="1:14" ht="19.5" customHeight="1" outlineLevel="1" x14ac:dyDescent="0.2">
      <c r="A1366" s="101">
        <v>32</v>
      </c>
      <c r="B1366" s="81" t="s">
        <v>39</v>
      </c>
      <c r="C1366" s="84">
        <v>0</v>
      </c>
      <c r="D1366" s="53">
        <v>0</v>
      </c>
      <c r="E1366" s="78">
        <v>0</v>
      </c>
      <c r="F1366" s="84">
        <v>0</v>
      </c>
      <c r="G1366" s="53">
        <v>0</v>
      </c>
      <c r="H1366" s="78">
        <v>0</v>
      </c>
      <c r="I1366" s="84">
        <v>0</v>
      </c>
      <c r="J1366" s="53">
        <v>0</v>
      </c>
      <c r="K1366" s="78">
        <v>0</v>
      </c>
      <c r="L1366" s="84">
        <v>0</v>
      </c>
      <c r="M1366" s="53">
        <v>0</v>
      </c>
      <c r="N1366" s="78">
        <v>0</v>
      </c>
    </row>
    <row r="1367" spans="1:14" ht="19.5" customHeight="1" outlineLevel="1" thickBot="1" x14ac:dyDescent="0.25">
      <c r="A1367" s="102">
        <v>33</v>
      </c>
      <c r="B1367" s="91" t="s">
        <v>40</v>
      </c>
      <c r="C1367" s="92">
        <v>0</v>
      </c>
      <c r="D1367" s="93">
        <v>0</v>
      </c>
      <c r="E1367" s="94">
        <v>0</v>
      </c>
      <c r="F1367" s="92">
        <v>0</v>
      </c>
      <c r="G1367" s="93">
        <v>0</v>
      </c>
      <c r="H1367" s="94">
        <v>0</v>
      </c>
      <c r="I1367" s="92">
        <v>0</v>
      </c>
      <c r="J1367" s="93">
        <v>0</v>
      </c>
      <c r="K1367" s="94">
        <v>0</v>
      </c>
      <c r="L1367" s="92">
        <v>0</v>
      </c>
      <c r="M1367" s="93">
        <v>0</v>
      </c>
      <c r="N1367" s="94">
        <v>0</v>
      </c>
    </row>
    <row r="1368" spans="1:14" ht="19.5" customHeight="1" thickBot="1" x14ac:dyDescent="0.25">
      <c r="A1368" s="151" t="s">
        <v>41</v>
      </c>
      <c r="B1368" s="152"/>
      <c r="C1368" s="96">
        <v>508.96999999999997</v>
      </c>
      <c r="D1368" s="97">
        <v>842.05761067093033</v>
      </c>
      <c r="E1368" s="98">
        <v>1654.4346634790468</v>
      </c>
      <c r="F1368" s="96">
        <v>1332.0700000000004</v>
      </c>
      <c r="G1368" s="97">
        <v>2178.5630346222147</v>
      </c>
      <c r="H1368" s="98">
        <v>1635.471885578246</v>
      </c>
      <c r="I1368" s="96">
        <v>571.61</v>
      </c>
      <c r="J1368" s="97">
        <v>886.31271892101108</v>
      </c>
      <c r="K1368" s="98">
        <v>1550.5549569129496</v>
      </c>
      <c r="L1368" s="96">
        <v>804.21666666666681</v>
      </c>
      <c r="M1368" s="97">
        <v>1302.3111214047187</v>
      </c>
      <c r="N1368" s="98">
        <v>1619.3535590384663</v>
      </c>
    </row>
    <row r="1369" spans="1:14" ht="34.5" customHeight="1" x14ac:dyDescent="0.2">
      <c r="A1369" s="153" t="s">
        <v>247</v>
      </c>
      <c r="B1369" s="154"/>
      <c r="C1369" s="154"/>
      <c r="D1369" s="154"/>
      <c r="E1369" s="154"/>
      <c r="F1369" s="154"/>
      <c r="G1369" s="154"/>
      <c r="H1369" s="154"/>
      <c r="I1369" s="154"/>
      <c r="J1369" s="154"/>
      <c r="K1369" s="154"/>
      <c r="L1369" s="154"/>
      <c r="M1369" s="154"/>
      <c r="N1369" s="154"/>
    </row>
    <row r="1370" spans="1:14" ht="19.5" customHeight="1" thickBot="1" x14ac:dyDescent="0.25">
      <c r="A1370" s="50"/>
      <c r="B1370" s="138" t="s">
        <v>78</v>
      </c>
      <c r="C1370" s="52"/>
      <c r="D1370" s="52"/>
      <c r="E1370" s="52"/>
      <c r="F1370" s="52"/>
      <c r="G1370" s="52"/>
      <c r="H1370" s="52"/>
      <c r="I1370" s="52"/>
      <c r="J1370" s="52"/>
      <c r="K1370" s="155" t="s">
        <v>1</v>
      </c>
      <c r="L1370" s="154"/>
      <c r="M1370" s="154"/>
      <c r="N1370" s="154"/>
    </row>
    <row r="1371" spans="1:14" ht="19.5" customHeight="1" x14ac:dyDescent="0.2">
      <c r="A1371" s="156" t="s">
        <v>2</v>
      </c>
      <c r="B1371" s="158" t="s">
        <v>3</v>
      </c>
      <c r="C1371" s="148" t="s">
        <v>243</v>
      </c>
      <c r="D1371" s="149"/>
      <c r="E1371" s="150"/>
      <c r="F1371" s="148" t="s">
        <v>244</v>
      </c>
      <c r="G1371" s="149"/>
      <c r="H1371" s="150"/>
      <c r="I1371" s="148" t="s">
        <v>246</v>
      </c>
      <c r="J1371" s="149"/>
      <c r="K1371" s="150"/>
      <c r="L1371" s="148" t="s">
        <v>4</v>
      </c>
      <c r="M1371" s="149"/>
      <c r="N1371" s="150"/>
    </row>
    <row r="1372" spans="1:14" ht="19.5" customHeight="1" thickBot="1" x14ac:dyDescent="0.25">
      <c r="A1372" s="157"/>
      <c r="B1372" s="159"/>
      <c r="C1372" s="85" t="s">
        <v>5</v>
      </c>
      <c r="D1372" s="79" t="s">
        <v>6</v>
      </c>
      <c r="E1372" s="80" t="s">
        <v>7</v>
      </c>
      <c r="F1372" s="85" t="s">
        <v>5</v>
      </c>
      <c r="G1372" s="79" t="s">
        <v>6</v>
      </c>
      <c r="H1372" s="80" t="s">
        <v>7</v>
      </c>
      <c r="I1372" s="85" t="s">
        <v>5</v>
      </c>
      <c r="J1372" s="79" t="s">
        <v>6</v>
      </c>
      <c r="K1372" s="80" t="s">
        <v>7</v>
      </c>
      <c r="L1372" s="85" t="s">
        <v>5</v>
      </c>
      <c r="M1372" s="79" t="s">
        <v>6</v>
      </c>
      <c r="N1372" s="80" t="s">
        <v>7</v>
      </c>
    </row>
    <row r="1373" spans="1:14" ht="19.5" customHeight="1" outlineLevel="1" x14ac:dyDescent="0.2">
      <c r="A1373" s="100">
        <v>1</v>
      </c>
      <c r="B1373" s="86" t="s">
        <v>8</v>
      </c>
      <c r="C1373" s="87">
        <v>59.78</v>
      </c>
      <c r="D1373" s="88">
        <v>21.791021517751481</v>
      </c>
      <c r="E1373" s="89">
        <v>364.52026627218936</v>
      </c>
      <c r="F1373" s="87">
        <v>115.2</v>
      </c>
      <c r="G1373" s="88">
        <v>89.564859412277215</v>
      </c>
      <c r="H1373" s="89">
        <v>777.47273795379533</v>
      </c>
      <c r="I1373" s="87">
        <v>91.5</v>
      </c>
      <c r="J1373" s="88">
        <v>73.728005996156313</v>
      </c>
      <c r="K1373" s="89">
        <v>805.77055733504164</v>
      </c>
      <c r="L1373" s="87">
        <v>88.826666666666668</v>
      </c>
      <c r="M1373" s="88">
        <v>61.694628975395005</v>
      </c>
      <c r="N1373" s="89">
        <v>694.55076150624814</v>
      </c>
    </row>
    <row r="1374" spans="1:14" ht="19.5" customHeight="1" outlineLevel="1" x14ac:dyDescent="0.2">
      <c r="A1374" s="101">
        <v>2</v>
      </c>
      <c r="B1374" s="81" t="s">
        <v>9</v>
      </c>
      <c r="C1374" s="84">
        <v>17.95</v>
      </c>
      <c r="D1374" s="53">
        <v>10.948248335974643</v>
      </c>
      <c r="E1374" s="78">
        <v>609.93026941362916</v>
      </c>
      <c r="F1374" s="84">
        <v>73.180000000000007</v>
      </c>
      <c r="G1374" s="53">
        <v>59.948939121575116</v>
      </c>
      <c r="H1374" s="78">
        <v>819.19840286383044</v>
      </c>
      <c r="I1374" s="84">
        <v>72.47</v>
      </c>
      <c r="J1374" s="53">
        <v>57.149714841944018</v>
      </c>
      <c r="K1374" s="78">
        <v>788.59824536972565</v>
      </c>
      <c r="L1374" s="84">
        <v>54.533333333333339</v>
      </c>
      <c r="M1374" s="53">
        <v>42.682300766497924</v>
      </c>
      <c r="N1374" s="78">
        <v>782.68277689177114</v>
      </c>
    </row>
    <row r="1375" spans="1:14" ht="19.5" customHeight="1" outlineLevel="1" x14ac:dyDescent="0.2">
      <c r="A1375" s="101">
        <v>3</v>
      </c>
      <c r="B1375" s="81" t="s">
        <v>10</v>
      </c>
      <c r="C1375" s="84">
        <v>32.5</v>
      </c>
      <c r="D1375" s="53">
        <v>17.109444444444446</v>
      </c>
      <c r="E1375" s="78">
        <v>526.44444444444446</v>
      </c>
      <c r="F1375" s="84">
        <v>50.58</v>
      </c>
      <c r="G1375" s="53">
        <v>38.259166354562737</v>
      </c>
      <c r="H1375" s="78">
        <v>756.40898288973392</v>
      </c>
      <c r="I1375" s="84">
        <v>50.68</v>
      </c>
      <c r="J1375" s="53">
        <v>35.639932017543863</v>
      </c>
      <c r="K1375" s="78">
        <v>703.23464912280701</v>
      </c>
      <c r="L1375" s="84">
        <v>44.586666666666666</v>
      </c>
      <c r="M1375" s="53">
        <v>30.336180938850351</v>
      </c>
      <c r="N1375" s="78">
        <v>680.38683325770819</v>
      </c>
    </row>
    <row r="1376" spans="1:14" ht="19.5" customHeight="1" outlineLevel="1" x14ac:dyDescent="0.2">
      <c r="A1376" s="101">
        <v>4</v>
      </c>
      <c r="B1376" s="81" t="s">
        <v>11</v>
      </c>
      <c r="C1376" s="84">
        <v>0.27</v>
      </c>
      <c r="D1376" s="53">
        <v>0.12210063377035341</v>
      </c>
      <c r="E1376" s="78">
        <v>452.22456951982741</v>
      </c>
      <c r="F1376" s="84">
        <v>0</v>
      </c>
      <c r="G1376" s="53">
        <v>0</v>
      </c>
      <c r="H1376" s="78">
        <v>0</v>
      </c>
      <c r="I1376" s="84">
        <v>0</v>
      </c>
      <c r="J1376" s="53">
        <v>0</v>
      </c>
      <c r="K1376" s="78">
        <v>0</v>
      </c>
      <c r="L1376" s="84">
        <v>0.27</v>
      </c>
      <c r="M1376" s="53">
        <v>0.12210063377035341</v>
      </c>
      <c r="N1376" s="78">
        <v>452.22456951982741</v>
      </c>
    </row>
    <row r="1377" spans="1:14" ht="19.5" customHeight="1" outlineLevel="1" x14ac:dyDescent="0.2">
      <c r="A1377" s="101">
        <v>5</v>
      </c>
      <c r="B1377" s="81" t="s">
        <v>12</v>
      </c>
      <c r="C1377" s="84">
        <v>0</v>
      </c>
      <c r="D1377" s="53">
        <v>0</v>
      </c>
      <c r="E1377" s="78">
        <v>0</v>
      </c>
      <c r="F1377" s="84">
        <v>0</v>
      </c>
      <c r="G1377" s="53">
        <v>0</v>
      </c>
      <c r="H1377" s="78">
        <v>0</v>
      </c>
      <c r="I1377" s="84">
        <v>0</v>
      </c>
      <c r="J1377" s="53">
        <v>0</v>
      </c>
      <c r="K1377" s="78">
        <v>0</v>
      </c>
      <c r="L1377" s="84">
        <v>0</v>
      </c>
      <c r="M1377" s="53">
        <v>0</v>
      </c>
      <c r="N1377" s="78">
        <v>0</v>
      </c>
    </row>
    <row r="1378" spans="1:14" ht="19.5" customHeight="1" outlineLevel="1" x14ac:dyDescent="0.2">
      <c r="A1378" s="101">
        <v>6</v>
      </c>
      <c r="B1378" s="81" t="s">
        <v>13</v>
      </c>
      <c r="C1378" s="84">
        <v>0</v>
      </c>
      <c r="D1378" s="53">
        <v>0</v>
      </c>
      <c r="E1378" s="78">
        <v>0</v>
      </c>
      <c r="F1378" s="84">
        <v>0</v>
      </c>
      <c r="G1378" s="53">
        <v>0</v>
      </c>
      <c r="H1378" s="78">
        <v>0</v>
      </c>
      <c r="I1378" s="84">
        <v>0</v>
      </c>
      <c r="J1378" s="53">
        <v>0</v>
      </c>
      <c r="K1378" s="78">
        <v>0</v>
      </c>
      <c r="L1378" s="84">
        <v>0</v>
      </c>
      <c r="M1378" s="53">
        <v>0</v>
      </c>
      <c r="N1378" s="78">
        <v>0</v>
      </c>
    </row>
    <row r="1379" spans="1:14" ht="19.5" customHeight="1" outlineLevel="1" x14ac:dyDescent="0.2">
      <c r="A1379" s="101">
        <v>7</v>
      </c>
      <c r="B1379" s="81" t="s">
        <v>14</v>
      </c>
      <c r="C1379" s="84">
        <v>0</v>
      </c>
      <c r="D1379" s="53">
        <v>0</v>
      </c>
      <c r="E1379" s="78">
        <v>0</v>
      </c>
      <c r="F1379" s="84">
        <v>0</v>
      </c>
      <c r="G1379" s="53">
        <v>0</v>
      </c>
      <c r="H1379" s="78">
        <v>0</v>
      </c>
      <c r="I1379" s="84">
        <v>0</v>
      </c>
      <c r="J1379" s="53">
        <v>0</v>
      </c>
      <c r="K1379" s="78">
        <v>0</v>
      </c>
      <c r="L1379" s="84">
        <v>0</v>
      </c>
      <c r="M1379" s="53">
        <v>0</v>
      </c>
      <c r="N1379" s="78">
        <v>0</v>
      </c>
    </row>
    <row r="1380" spans="1:14" ht="19.5" customHeight="1" outlineLevel="1" x14ac:dyDescent="0.2">
      <c r="A1380" s="101">
        <v>8</v>
      </c>
      <c r="B1380" s="81" t="s">
        <v>15</v>
      </c>
      <c r="C1380" s="84">
        <v>13</v>
      </c>
      <c r="D1380" s="53">
        <v>5.8789194037577559</v>
      </c>
      <c r="E1380" s="78">
        <v>452.22456951982741</v>
      </c>
      <c r="F1380" s="84">
        <v>34.71</v>
      </c>
      <c r="G1380" s="53">
        <v>27.274856090043897</v>
      </c>
      <c r="H1380" s="78">
        <v>785.79245433719086</v>
      </c>
      <c r="I1380" s="84">
        <v>20.28</v>
      </c>
      <c r="J1380" s="53">
        <v>14.857122598621469</v>
      </c>
      <c r="K1380" s="78">
        <v>732.59973365983569</v>
      </c>
      <c r="L1380" s="84">
        <v>22.663333333333338</v>
      </c>
      <c r="M1380" s="53">
        <v>16.003632697474373</v>
      </c>
      <c r="N1380" s="78">
        <v>706.14646407446844</v>
      </c>
    </row>
    <row r="1381" spans="1:14" ht="19.5" customHeight="1" outlineLevel="1" x14ac:dyDescent="0.2">
      <c r="A1381" s="101">
        <v>9</v>
      </c>
      <c r="B1381" s="81" t="s">
        <v>16</v>
      </c>
      <c r="C1381" s="84">
        <v>7.82</v>
      </c>
      <c r="D1381" s="53">
        <v>3.5363961336450505</v>
      </c>
      <c r="E1381" s="78">
        <v>452.22456951982741</v>
      </c>
      <c r="F1381" s="84">
        <v>36.14</v>
      </c>
      <c r="G1381" s="53">
        <v>28.398539299746076</v>
      </c>
      <c r="H1381" s="78">
        <v>785.79245433719086</v>
      </c>
      <c r="I1381" s="84">
        <v>37.450000000000003</v>
      </c>
      <c r="J1381" s="53">
        <v>18.170740000000002</v>
      </c>
      <c r="K1381" s="78">
        <v>485.20000000000005</v>
      </c>
      <c r="L1381" s="84">
        <v>27.136666666666667</v>
      </c>
      <c r="M1381" s="53">
        <v>16.701891811130377</v>
      </c>
      <c r="N1381" s="78">
        <v>615.47322728646509</v>
      </c>
    </row>
    <row r="1382" spans="1:14" ht="19.5" customHeight="1" outlineLevel="1" x14ac:dyDescent="0.2">
      <c r="A1382" s="101">
        <v>10</v>
      </c>
      <c r="B1382" s="81" t="s">
        <v>17</v>
      </c>
      <c r="C1382" s="84">
        <v>0</v>
      </c>
      <c r="D1382" s="53">
        <v>0</v>
      </c>
      <c r="E1382" s="78">
        <v>0</v>
      </c>
      <c r="F1382" s="84">
        <v>0.15</v>
      </c>
      <c r="G1382" s="53">
        <v>0.11786886815057862</v>
      </c>
      <c r="H1382" s="78">
        <v>785.79245433719086</v>
      </c>
      <c r="I1382" s="84">
        <v>0.52</v>
      </c>
      <c r="J1382" s="53">
        <v>0.38095186150311455</v>
      </c>
      <c r="K1382" s="78">
        <v>732.59973365983569</v>
      </c>
      <c r="L1382" s="84">
        <v>0.33500000000000002</v>
      </c>
      <c r="M1382" s="53">
        <v>0.24941036482684659</v>
      </c>
      <c r="N1382" s="78">
        <v>744.50855172193008</v>
      </c>
    </row>
    <row r="1383" spans="1:14" ht="19.5" customHeight="1" outlineLevel="1" x14ac:dyDescent="0.2">
      <c r="A1383" s="101">
        <v>11</v>
      </c>
      <c r="B1383" s="81" t="s">
        <v>18</v>
      </c>
      <c r="C1383" s="84">
        <v>0</v>
      </c>
      <c r="D1383" s="53">
        <v>0</v>
      </c>
      <c r="E1383" s="78">
        <v>0</v>
      </c>
      <c r="F1383" s="84">
        <v>0</v>
      </c>
      <c r="G1383" s="53">
        <v>0</v>
      </c>
      <c r="H1383" s="78">
        <v>0</v>
      </c>
      <c r="I1383" s="84">
        <v>0</v>
      </c>
      <c r="J1383" s="53">
        <v>0</v>
      </c>
      <c r="K1383" s="78">
        <v>0</v>
      </c>
      <c r="L1383" s="84">
        <v>0</v>
      </c>
      <c r="M1383" s="53">
        <v>0</v>
      </c>
      <c r="N1383" s="78">
        <v>0</v>
      </c>
    </row>
    <row r="1384" spans="1:14" ht="19.5" customHeight="1" outlineLevel="1" x14ac:dyDescent="0.2">
      <c r="A1384" s="101">
        <v>12</v>
      </c>
      <c r="B1384" s="81" t="s">
        <v>19</v>
      </c>
      <c r="C1384" s="84">
        <v>0</v>
      </c>
      <c r="D1384" s="53">
        <v>0</v>
      </c>
      <c r="E1384" s="78">
        <v>0</v>
      </c>
      <c r="F1384" s="84">
        <v>0.04</v>
      </c>
      <c r="G1384" s="53">
        <v>3.1431698173487635E-2</v>
      </c>
      <c r="H1384" s="78">
        <v>785.79245433719086</v>
      </c>
      <c r="I1384" s="84">
        <v>0.1</v>
      </c>
      <c r="J1384" s="53">
        <v>7.3259973365983569E-2</v>
      </c>
      <c r="K1384" s="78">
        <v>732.59973365983569</v>
      </c>
      <c r="L1384" s="84">
        <v>7.0000000000000007E-2</v>
      </c>
      <c r="M1384" s="53">
        <v>5.2345835769735602E-2</v>
      </c>
      <c r="N1384" s="78">
        <v>747.79765385336566</v>
      </c>
    </row>
    <row r="1385" spans="1:14" ht="19.5" customHeight="1" outlineLevel="1" x14ac:dyDescent="0.2">
      <c r="A1385" s="101">
        <v>13</v>
      </c>
      <c r="B1385" s="81" t="s">
        <v>20</v>
      </c>
      <c r="C1385" s="84">
        <v>0</v>
      </c>
      <c r="D1385" s="53">
        <v>0</v>
      </c>
      <c r="E1385" s="78">
        <v>0</v>
      </c>
      <c r="F1385" s="84">
        <v>0</v>
      </c>
      <c r="G1385" s="53">
        <v>0</v>
      </c>
      <c r="H1385" s="78">
        <v>0</v>
      </c>
      <c r="I1385" s="84">
        <v>0.54</v>
      </c>
      <c r="J1385" s="53">
        <v>0.39560385617631127</v>
      </c>
      <c r="K1385" s="78">
        <v>732.59973365983569</v>
      </c>
      <c r="L1385" s="84">
        <v>0.54</v>
      </c>
      <c r="M1385" s="53">
        <v>0.39560385617631127</v>
      </c>
      <c r="N1385" s="78">
        <v>732.59973365983569</v>
      </c>
    </row>
    <row r="1386" spans="1:14" ht="19.5" customHeight="1" outlineLevel="1" x14ac:dyDescent="0.2">
      <c r="A1386" s="101">
        <v>14</v>
      </c>
      <c r="B1386" s="81" t="s">
        <v>21</v>
      </c>
      <c r="C1386" s="84">
        <v>0</v>
      </c>
      <c r="D1386" s="53">
        <v>0</v>
      </c>
      <c r="E1386" s="78">
        <v>0</v>
      </c>
      <c r="F1386" s="84">
        <v>0</v>
      </c>
      <c r="G1386" s="53">
        <v>0</v>
      </c>
      <c r="H1386" s="78">
        <v>0</v>
      </c>
      <c r="I1386" s="84">
        <v>0</v>
      </c>
      <c r="J1386" s="53">
        <v>0</v>
      </c>
      <c r="K1386" s="78">
        <v>0</v>
      </c>
      <c r="L1386" s="84">
        <v>0</v>
      </c>
      <c r="M1386" s="53">
        <v>0</v>
      </c>
      <c r="N1386" s="78">
        <v>0</v>
      </c>
    </row>
    <row r="1387" spans="1:14" ht="19.5" customHeight="1" outlineLevel="1" x14ac:dyDescent="0.2">
      <c r="A1387" s="101">
        <v>15</v>
      </c>
      <c r="B1387" s="81" t="s">
        <v>22</v>
      </c>
      <c r="C1387" s="84">
        <v>0.32</v>
      </c>
      <c r="D1387" s="53">
        <v>0.14471186224634477</v>
      </c>
      <c r="E1387" s="78">
        <v>452.22456951982741</v>
      </c>
      <c r="F1387" s="84">
        <v>0.4</v>
      </c>
      <c r="G1387" s="53">
        <v>0.31431698173487638</v>
      </c>
      <c r="H1387" s="78">
        <v>785.79245433719086</v>
      </c>
      <c r="I1387" s="84">
        <v>0</v>
      </c>
      <c r="J1387" s="53">
        <v>0</v>
      </c>
      <c r="K1387" s="78">
        <v>0</v>
      </c>
      <c r="L1387" s="84">
        <v>0.36</v>
      </c>
      <c r="M1387" s="53">
        <v>0.22951442199061056</v>
      </c>
      <c r="N1387" s="78">
        <v>637.54006108502938</v>
      </c>
    </row>
    <row r="1388" spans="1:14" ht="19.5" customHeight="1" outlineLevel="1" x14ac:dyDescent="0.2">
      <c r="A1388" s="101">
        <v>16</v>
      </c>
      <c r="B1388" s="81" t="s">
        <v>23</v>
      </c>
      <c r="C1388" s="84">
        <v>0</v>
      </c>
      <c r="D1388" s="53">
        <v>0</v>
      </c>
      <c r="E1388" s="78">
        <v>0</v>
      </c>
      <c r="F1388" s="84">
        <v>0.45</v>
      </c>
      <c r="G1388" s="53">
        <v>0.35360660445173592</v>
      </c>
      <c r="H1388" s="78">
        <v>785.79245433719086</v>
      </c>
      <c r="I1388" s="84">
        <v>0.59</v>
      </c>
      <c r="J1388" s="53">
        <v>0.432233842859303</v>
      </c>
      <c r="K1388" s="78">
        <v>732.59973365983569</v>
      </c>
      <c r="L1388" s="84">
        <v>0.52</v>
      </c>
      <c r="M1388" s="53">
        <v>0.39292022365551948</v>
      </c>
      <c r="N1388" s="78">
        <v>755.61581472215278</v>
      </c>
    </row>
    <row r="1389" spans="1:14" ht="19.5" customHeight="1" outlineLevel="1" x14ac:dyDescent="0.2">
      <c r="A1389" s="101">
        <v>17</v>
      </c>
      <c r="B1389" s="81" t="s">
        <v>24</v>
      </c>
      <c r="C1389" s="84">
        <v>0.81</v>
      </c>
      <c r="D1389" s="53">
        <v>0.36630190131106027</v>
      </c>
      <c r="E1389" s="78">
        <v>452.22456951982741</v>
      </c>
      <c r="F1389" s="84">
        <v>1.04</v>
      </c>
      <c r="G1389" s="53">
        <v>0.81722415251067859</v>
      </c>
      <c r="H1389" s="78">
        <v>785.79245433719086</v>
      </c>
      <c r="I1389" s="84">
        <v>0.75</v>
      </c>
      <c r="J1389" s="53">
        <v>0.54944980024487677</v>
      </c>
      <c r="K1389" s="78">
        <v>732.59973365983569</v>
      </c>
      <c r="L1389" s="84">
        <v>0.8666666666666667</v>
      </c>
      <c r="M1389" s="53">
        <v>0.57765861802220531</v>
      </c>
      <c r="N1389" s="78">
        <v>666.52917464100619</v>
      </c>
    </row>
    <row r="1390" spans="1:14" ht="19.5" customHeight="1" outlineLevel="1" x14ac:dyDescent="0.2">
      <c r="A1390" s="101">
        <v>18</v>
      </c>
      <c r="B1390" s="81" t="s">
        <v>25</v>
      </c>
      <c r="C1390" s="84">
        <v>0</v>
      </c>
      <c r="D1390" s="53">
        <v>0</v>
      </c>
      <c r="E1390" s="78">
        <v>0</v>
      </c>
      <c r="F1390" s="84">
        <v>0.19</v>
      </c>
      <c r="G1390" s="53">
        <v>0.14930056632406627</v>
      </c>
      <c r="H1390" s="78">
        <v>785.79245433719086</v>
      </c>
      <c r="I1390" s="84">
        <v>0</v>
      </c>
      <c r="J1390" s="53">
        <v>0</v>
      </c>
      <c r="K1390" s="78">
        <v>0</v>
      </c>
      <c r="L1390" s="84">
        <v>0.19</v>
      </c>
      <c r="M1390" s="53">
        <v>0.14930056632406627</v>
      </c>
      <c r="N1390" s="78">
        <v>785.79245433719086</v>
      </c>
    </row>
    <row r="1391" spans="1:14" ht="19.5" customHeight="1" outlineLevel="1" x14ac:dyDescent="0.2">
      <c r="A1391" s="101">
        <v>19</v>
      </c>
      <c r="B1391" s="81" t="s">
        <v>26</v>
      </c>
      <c r="C1391" s="84">
        <v>0</v>
      </c>
      <c r="D1391" s="53">
        <v>0</v>
      </c>
      <c r="E1391" s="78">
        <v>0</v>
      </c>
      <c r="F1391" s="84">
        <v>0</v>
      </c>
      <c r="G1391" s="53">
        <v>0</v>
      </c>
      <c r="H1391" s="78">
        <v>0</v>
      </c>
      <c r="I1391" s="84">
        <v>0</v>
      </c>
      <c r="J1391" s="53">
        <v>0</v>
      </c>
      <c r="K1391" s="78">
        <v>0</v>
      </c>
      <c r="L1391" s="84">
        <v>0</v>
      </c>
      <c r="M1391" s="53">
        <v>0</v>
      </c>
      <c r="N1391" s="78">
        <v>0</v>
      </c>
    </row>
    <row r="1392" spans="1:14" ht="19.5" customHeight="1" outlineLevel="1" x14ac:dyDescent="0.2">
      <c r="A1392" s="101">
        <v>20</v>
      </c>
      <c r="B1392" s="81" t="s">
        <v>27</v>
      </c>
      <c r="C1392" s="84">
        <v>0</v>
      </c>
      <c r="D1392" s="53">
        <v>0</v>
      </c>
      <c r="E1392" s="78">
        <v>0</v>
      </c>
      <c r="F1392" s="84">
        <v>0</v>
      </c>
      <c r="G1392" s="53">
        <v>0</v>
      </c>
      <c r="H1392" s="78">
        <v>0</v>
      </c>
      <c r="I1392" s="84">
        <v>0</v>
      </c>
      <c r="J1392" s="53">
        <v>0</v>
      </c>
      <c r="K1392" s="78">
        <v>0</v>
      </c>
      <c r="L1392" s="84">
        <v>0</v>
      </c>
      <c r="M1392" s="53">
        <v>0</v>
      </c>
      <c r="N1392" s="78">
        <v>0</v>
      </c>
    </row>
    <row r="1393" spans="1:14" ht="19.5" customHeight="1" outlineLevel="1" x14ac:dyDescent="0.2">
      <c r="A1393" s="101">
        <v>21</v>
      </c>
      <c r="B1393" s="81" t="s">
        <v>28</v>
      </c>
      <c r="C1393" s="84">
        <v>0</v>
      </c>
      <c r="D1393" s="53">
        <v>0</v>
      </c>
      <c r="E1393" s="78">
        <v>0</v>
      </c>
      <c r="F1393" s="84">
        <v>0</v>
      </c>
      <c r="G1393" s="53">
        <v>0</v>
      </c>
      <c r="H1393" s="78">
        <v>0</v>
      </c>
      <c r="I1393" s="84">
        <v>0</v>
      </c>
      <c r="J1393" s="53">
        <v>0</v>
      </c>
      <c r="K1393" s="78">
        <v>0</v>
      </c>
      <c r="L1393" s="84">
        <v>0</v>
      </c>
      <c r="M1393" s="53">
        <v>0</v>
      </c>
      <c r="N1393" s="78">
        <v>0</v>
      </c>
    </row>
    <row r="1394" spans="1:14" ht="19.5" customHeight="1" outlineLevel="1" x14ac:dyDescent="0.2">
      <c r="A1394" s="101">
        <v>22</v>
      </c>
      <c r="B1394" s="81" t="s">
        <v>29</v>
      </c>
      <c r="C1394" s="84">
        <v>0</v>
      </c>
      <c r="D1394" s="53">
        <v>0</v>
      </c>
      <c r="E1394" s="78">
        <v>0</v>
      </c>
      <c r="F1394" s="84">
        <v>0</v>
      </c>
      <c r="G1394" s="53">
        <v>0</v>
      </c>
      <c r="H1394" s="78">
        <v>0</v>
      </c>
      <c r="I1394" s="84">
        <v>0</v>
      </c>
      <c r="J1394" s="53">
        <v>0</v>
      </c>
      <c r="K1394" s="78">
        <v>0</v>
      </c>
      <c r="L1394" s="84">
        <v>0</v>
      </c>
      <c r="M1394" s="53">
        <v>0</v>
      </c>
      <c r="N1394" s="78">
        <v>0</v>
      </c>
    </row>
    <row r="1395" spans="1:14" ht="19.5" customHeight="1" outlineLevel="1" x14ac:dyDescent="0.2">
      <c r="A1395" s="101">
        <v>23</v>
      </c>
      <c r="B1395" s="81" t="s">
        <v>30</v>
      </c>
      <c r="C1395" s="84">
        <v>0</v>
      </c>
      <c r="D1395" s="53">
        <v>0</v>
      </c>
      <c r="E1395" s="78">
        <v>0</v>
      </c>
      <c r="F1395" s="84">
        <v>0</v>
      </c>
      <c r="G1395" s="53">
        <v>0</v>
      </c>
      <c r="H1395" s="78">
        <v>0</v>
      </c>
      <c r="I1395" s="84">
        <v>0</v>
      </c>
      <c r="J1395" s="53">
        <v>0</v>
      </c>
      <c r="K1395" s="78">
        <v>0</v>
      </c>
      <c r="L1395" s="84">
        <v>0</v>
      </c>
      <c r="M1395" s="53">
        <v>0</v>
      </c>
      <c r="N1395" s="78">
        <v>0</v>
      </c>
    </row>
    <row r="1396" spans="1:14" ht="19.5" customHeight="1" outlineLevel="1" x14ac:dyDescent="0.2">
      <c r="A1396" s="101">
        <v>24</v>
      </c>
      <c r="B1396" s="81" t="s">
        <v>31</v>
      </c>
      <c r="C1396" s="84">
        <v>0</v>
      </c>
      <c r="D1396" s="53">
        <v>0</v>
      </c>
      <c r="E1396" s="78">
        <v>0</v>
      </c>
      <c r="F1396" s="84">
        <v>0</v>
      </c>
      <c r="G1396" s="53">
        <v>0</v>
      </c>
      <c r="H1396" s="78">
        <v>0</v>
      </c>
      <c r="I1396" s="84">
        <v>0</v>
      </c>
      <c r="J1396" s="53">
        <v>0</v>
      </c>
      <c r="K1396" s="78">
        <v>0</v>
      </c>
      <c r="L1396" s="84">
        <v>0</v>
      </c>
      <c r="M1396" s="53">
        <v>0</v>
      </c>
      <c r="N1396" s="78">
        <v>0</v>
      </c>
    </row>
    <row r="1397" spans="1:14" ht="19.5" customHeight="1" outlineLevel="1" x14ac:dyDescent="0.2">
      <c r="A1397" s="101">
        <v>25</v>
      </c>
      <c r="B1397" s="81" t="s">
        <v>32</v>
      </c>
      <c r="C1397" s="84">
        <v>0</v>
      </c>
      <c r="D1397" s="53">
        <v>0</v>
      </c>
      <c r="E1397" s="78">
        <v>0</v>
      </c>
      <c r="F1397" s="84">
        <v>0</v>
      </c>
      <c r="G1397" s="53">
        <v>0</v>
      </c>
      <c r="H1397" s="78">
        <v>0</v>
      </c>
      <c r="I1397" s="84">
        <v>0</v>
      </c>
      <c r="J1397" s="53">
        <v>0</v>
      </c>
      <c r="K1397" s="78">
        <v>0</v>
      </c>
      <c r="L1397" s="84">
        <v>0</v>
      </c>
      <c r="M1397" s="53">
        <v>0</v>
      </c>
      <c r="N1397" s="78">
        <v>0</v>
      </c>
    </row>
    <row r="1398" spans="1:14" ht="19.5" customHeight="1" outlineLevel="1" x14ac:dyDescent="0.2">
      <c r="A1398" s="101">
        <v>26</v>
      </c>
      <c r="B1398" s="81" t="s">
        <v>33</v>
      </c>
      <c r="C1398" s="84">
        <v>0</v>
      </c>
      <c r="D1398" s="53">
        <v>0</v>
      </c>
      <c r="E1398" s="78">
        <v>0</v>
      </c>
      <c r="F1398" s="84">
        <v>0</v>
      </c>
      <c r="G1398" s="53">
        <v>0</v>
      </c>
      <c r="H1398" s="78">
        <v>0</v>
      </c>
      <c r="I1398" s="84">
        <v>0</v>
      </c>
      <c r="J1398" s="53">
        <v>0</v>
      </c>
      <c r="K1398" s="78">
        <v>0</v>
      </c>
      <c r="L1398" s="84">
        <v>0</v>
      </c>
      <c r="M1398" s="53">
        <v>0</v>
      </c>
      <c r="N1398" s="78">
        <v>0</v>
      </c>
    </row>
    <row r="1399" spans="1:14" ht="19.5" customHeight="1" outlineLevel="1" x14ac:dyDescent="0.2">
      <c r="A1399" s="101">
        <v>27</v>
      </c>
      <c r="B1399" s="81" t="s">
        <v>34</v>
      </c>
      <c r="C1399" s="84">
        <v>0</v>
      </c>
      <c r="D1399" s="53">
        <v>0</v>
      </c>
      <c r="E1399" s="78">
        <v>0</v>
      </c>
      <c r="F1399" s="84">
        <v>0</v>
      </c>
      <c r="G1399" s="53">
        <v>0</v>
      </c>
      <c r="H1399" s="78">
        <v>0</v>
      </c>
      <c r="I1399" s="84">
        <v>0</v>
      </c>
      <c r="J1399" s="53">
        <v>0</v>
      </c>
      <c r="K1399" s="78">
        <v>0</v>
      </c>
      <c r="L1399" s="84">
        <v>0</v>
      </c>
      <c r="M1399" s="53">
        <v>0</v>
      </c>
      <c r="N1399" s="78">
        <v>0</v>
      </c>
    </row>
    <row r="1400" spans="1:14" ht="19.5" customHeight="1" outlineLevel="1" x14ac:dyDescent="0.2">
      <c r="A1400" s="101">
        <v>28</v>
      </c>
      <c r="B1400" s="81" t="s">
        <v>35</v>
      </c>
      <c r="C1400" s="84">
        <v>0</v>
      </c>
      <c r="D1400" s="53">
        <v>0</v>
      </c>
      <c r="E1400" s="78">
        <v>0</v>
      </c>
      <c r="F1400" s="84">
        <v>0</v>
      </c>
      <c r="G1400" s="53">
        <v>0</v>
      </c>
      <c r="H1400" s="78">
        <v>0</v>
      </c>
      <c r="I1400" s="84">
        <v>0</v>
      </c>
      <c r="J1400" s="53">
        <v>0</v>
      </c>
      <c r="K1400" s="78">
        <v>0</v>
      </c>
      <c r="L1400" s="84">
        <v>0</v>
      </c>
      <c r="M1400" s="53">
        <v>0</v>
      </c>
      <c r="N1400" s="78">
        <v>0</v>
      </c>
    </row>
    <row r="1401" spans="1:14" ht="19.5" customHeight="1" outlineLevel="1" x14ac:dyDescent="0.2">
      <c r="A1401" s="101">
        <v>29</v>
      </c>
      <c r="B1401" s="81" t="s">
        <v>36</v>
      </c>
      <c r="C1401" s="84">
        <v>0</v>
      </c>
      <c r="D1401" s="53">
        <v>0</v>
      </c>
      <c r="E1401" s="78">
        <v>0</v>
      </c>
      <c r="F1401" s="84">
        <v>0</v>
      </c>
      <c r="G1401" s="53">
        <v>0</v>
      </c>
      <c r="H1401" s="78">
        <v>0</v>
      </c>
      <c r="I1401" s="84">
        <v>0</v>
      </c>
      <c r="J1401" s="53">
        <v>0</v>
      </c>
      <c r="K1401" s="78">
        <v>0</v>
      </c>
      <c r="L1401" s="84">
        <v>0</v>
      </c>
      <c r="M1401" s="53">
        <v>0</v>
      </c>
      <c r="N1401" s="78">
        <v>0</v>
      </c>
    </row>
    <row r="1402" spans="1:14" ht="19.5" customHeight="1" outlineLevel="1" x14ac:dyDescent="0.2">
      <c r="A1402" s="101">
        <v>30</v>
      </c>
      <c r="B1402" s="81" t="s">
        <v>37</v>
      </c>
      <c r="C1402" s="84">
        <v>0</v>
      </c>
      <c r="D1402" s="53">
        <v>0</v>
      </c>
      <c r="E1402" s="78">
        <v>0</v>
      </c>
      <c r="F1402" s="84">
        <v>0</v>
      </c>
      <c r="G1402" s="53">
        <v>0</v>
      </c>
      <c r="H1402" s="78">
        <v>0</v>
      </c>
      <c r="I1402" s="84">
        <v>0</v>
      </c>
      <c r="J1402" s="53">
        <v>0</v>
      </c>
      <c r="K1402" s="78">
        <v>0</v>
      </c>
      <c r="L1402" s="84">
        <v>0</v>
      </c>
      <c r="M1402" s="53">
        <v>0</v>
      </c>
      <c r="N1402" s="78">
        <v>0</v>
      </c>
    </row>
    <row r="1403" spans="1:14" ht="19.5" customHeight="1" outlineLevel="1" x14ac:dyDescent="0.2">
      <c r="A1403" s="101">
        <v>31</v>
      </c>
      <c r="B1403" s="81" t="s">
        <v>38</v>
      </c>
      <c r="C1403" s="84">
        <v>0</v>
      </c>
      <c r="D1403" s="53">
        <v>0</v>
      </c>
      <c r="E1403" s="78">
        <v>0</v>
      </c>
      <c r="F1403" s="84">
        <v>0</v>
      </c>
      <c r="G1403" s="53">
        <v>0</v>
      </c>
      <c r="H1403" s="78">
        <v>0</v>
      </c>
      <c r="I1403" s="84">
        <v>0</v>
      </c>
      <c r="J1403" s="53">
        <v>0</v>
      </c>
      <c r="K1403" s="78">
        <v>0</v>
      </c>
      <c r="L1403" s="84">
        <v>0</v>
      </c>
      <c r="M1403" s="53">
        <v>0</v>
      </c>
      <c r="N1403" s="78">
        <v>0</v>
      </c>
    </row>
    <row r="1404" spans="1:14" ht="19.5" customHeight="1" outlineLevel="1" x14ac:dyDescent="0.2">
      <c r="A1404" s="101">
        <v>32</v>
      </c>
      <c r="B1404" s="81" t="s">
        <v>39</v>
      </c>
      <c r="C1404" s="84">
        <v>0</v>
      </c>
      <c r="D1404" s="53">
        <v>0</v>
      </c>
      <c r="E1404" s="78">
        <v>0</v>
      </c>
      <c r="F1404" s="84">
        <v>0</v>
      </c>
      <c r="G1404" s="53">
        <v>0</v>
      </c>
      <c r="H1404" s="78">
        <v>0</v>
      </c>
      <c r="I1404" s="84">
        <v>0</v>
      </c>
      <c r="J1404" s="53">
        <v>0</v>
      </c>
      <c r="K1404" s="78">
        <v>0</v>
      </c>
      <c r="L1404" s="84">
        <v>0</v>
      </c>
      <c r="M1404" s="53">
        <v>0</v>
      </c>
      <c r="N1404" s="78">
        <v>0</v>
      </c>
    </row>
    <row r="1405" spans="1:14" ht="19.5" customHeight="1" outlineLevel="1" thickBot="1" x14ac:dyDescent="0.25">
      <c r="A1405" s="102">
        <v>33</v>
      </c>
      <c r="B1405" s="91" t="s">
        <v>40</v>
      </c>
      <c r="C1405" s="92">
        <v>0</v>
      </c>
      <c r="D1405" s="93">
        <v>0</v>
      </c>
      <c r="E1405" s="94">
        <v>0</v>
      </c>
      <c r="F1405" s="92">
        <v>0</v>
      </c>
      <c r="G1405" s="93">
        <v>0</v>
      </c>
      <c r="H1405" s="94">
        <v>0</v>
      </c>
      <c r="I1405" s="92">
        <v>0</v>
      </c>
      <c r="J1405" s="93">
        <v>0</v>
      </c>
      <c r="K1405" s="94">
        <v>0</v>
      </c>
      <c r="L1405" s="92">
        <v>0</v>
      </c>
      <c r="M1405" s="93">
        <v>0</v>
      </c>
      <c r="N1405" s="94">
        <v>0</v>
      </c>
    </row>
    <row r="1406" spans="1:14" ht="19.5" customHeight="1" thickBot="1" x14ac:dyDescent="0.25">
      <c r="A1406" s="151" t="s">
        <v>41</v>
      </c>
      <c r="B1406" s="152"/>
      <c r="C1406" s="96">
        <v>132.44999999999999</v>
      </c>
      <c r="D1406" s="97">
        <v>59.897144232901141</v>
      </c>
      <c r="E1406" s="98">
        <v>452.22456951982747</v>
      </c>
      <c r="F1406" s="96">
        <v>312.07999999999993</v>
      </c>
      <c r="G1406" s="97">
        <v>245.23010914955043</v>
      </c>
      <c r="H1406" s="98">
        <v>785.79245433719075</v>
      </c>
      <c r="I1406" s="96">
        <v>274.88</v>
      </c>
      <c r="J1406" s="97">
        <v>201.37701478841524</v>
      </c>
      <c r="K1406" s="98">
        <v>732.59973365983421</v>
      </c>
      <c r="L1406" s="96">
        <v>239.80333333333328</v>
      </c>
      <c r="M1406" s="97">
        <v>168.8347560569556</v>
      </c>
      <c r="N1406" s="98">
        <v>704.05508426469873</v>
      </c>
    </row>
    <row r="1407" spans="1:14" ht="34.5" customHeight="1" x14ac:dyDescent="0.2">
      <c r="A1407" s="153" t="s">
        <v>247</v>
      </c>
      <c r="B1407" s="154"/>
      <c r="C1407" s="154"/>
      <c r="D1407" s="154"/>
      <c r="E1407" s="154"/>
      <c r="F1407" s="154"/>
      <c r="G1407" s="154"/>
      <c r="H1407" s="154"/>
      <c r="I1407" s="154"/>
      <c r="J1407" s="154"/>
      <c r="K1407" s="154"/>
      <c r="L1407" s="154"/>
      <c r="M1407" s="154"/>
      <c r="N1407" s="154"/>
    </row>
    <row r="1408" spans="1:14" ht="19.5" customHeight="1" thickBot="1" x14ac:dyDescent="0.25">
      <c r="A1408" s="50"/>
      <c r="B1408" s="138" t="s">
        <v>79</v>
      </c>
      <c r="C1408" s="52"/>
      <c r="D1408" s="52"/>
      <c r="E1408" s="52"/>
      <c r="F1408" s="52"/>
      <c r="G1408" s="52"/>
      <c r="H1408" s="52"/>
      <c r="I1408" s="52"/>
      <c r="J1408" s="52"/>
      <c r="K1408" s="155" t="s">
        <v>1</v>
      </c>
      <c r="L1408" s="154"/>
      <c r="M1408" s="154"/>
      <c r="N1408" s="154"/>
    </row>
    <row r="1409" spans="1:14" ht="19.5" customHeight="1" x14ac:dyDescent="0.2">
      <c r="A1409" s="156" t="s">
        <v>2</v>
      </c>
      <c r="B1409" s="158" t="s">
        <v>3</v>
      </c>
      <c r="C1409" s="148" t="s">
        <v>243</v>
      </c>
      <c r="D1409" s="149"/>
      <c r="E1409" s="150"/>
      <c r="F1409" s="148" t="s">
        <v>244</v>
      </c>
      <c r="G1409" s="149"/>
      <c r="H1409" s="150"/>
      <c r="I1409" s="148" t="s">
        <v>246</v>
      </c>
      <c r="J1409" s="149"/>
      <c r="K1409" s="150"/>
      <c r="L1409" s="148" t="s">
        <v>4</v>
      </c>
      <c r="M1409" s="149"/>
      <c r="N1409" s="150"/>
    </row>
    <row r="1410" spans="1:14" ht="19.5" customHeight="1" thickBot="1" x14ac:dyDescent="0.25">
      <c r="A1410" s="157"/>
      <c r="B1410" s="159"/>
      <c r="C1410" s="85" t="s">
        <v>5</v>
      </c>
      <c r="D1410" s="79" t="s">
        <v>6</v>
      </c>
      <c r="E1410" s="80" t="s">
        <v>7</v>
      </c>
      <c r="F1410" s="85" t="s">
        <v>5</v>
      </c>
      <c r="G1410" s="79" t="s">
        <v>6</v>
      </c>
      <c r="H1410" s="80" t="s">
        <v>7</v>
      </c>
      <c r="I1410" s="85" t="s">
        <v>5</v>
      </c>
      <c r="J1410" s="79" t="s">
        <v>6</v>
      </c>
      <c r="K1410" s="80" t="s">
        <v>7</v>
      </c>
      <c r="L1410" s="85" t="s">
        <v>5</v>
      </c>
      <c r="M1410" s="79" t="s">
        <v>6</v>
      </c>
      <c r="N1410" s="80" t="s">
        <v>7</v>
      </c>
    </row>
    <row r="1411" spans="1:14" ht="19.5" customHeight="1" outlineLevel="1" x14ac:dyDescent="0.2">
      <c r="A1411" s="100">
        <v>1</v>
      </c>
      <c r="B1411" s="86" t="s">
        <v>8</v>
      </c>
      <c r="C1411" s="87">
        <v>0</v>
      </c>
      <c r="D1411" s="88">
        <v>0</v>
      </c>
      <c r="E1411" s="89">
        <v>0</v>
      </c>
      <c r="F1411" s="87">
        <v>0</v>
      </c>
      <c r="G1411" s="88">
        <v>0</v>
      </c>
      <c r="H1411" s="89">
        <v>0</v>
      </c>
      <c r="I1411" s="87">
        <v>0</v>
      </c>
      <c r="J1411" s="88">
        <v>0</v>
      </c>
      <c r="K1411" s="89">
        <v>0</v>
      </c>
      <c r="L1411" s="87">
        <v>0</v>
      </c>
      <c r="M1411" s="88">
        <v>0</v>
      </c>
      <c r="N1411" s="89">
        <v>0</v>
      </c>
    </row>
    <row r="1412" spans="1:14" ht="19.5" customHeight="1" outlineLevel="1" x14ac:dyDescent="0.2">
      <c r="A1412" s="101">
        <v>2</v>
      </c>
      <c r="B1412" s="81" t="s">
        <v>9</v>
      </c>
      <c r="C1412" s="84">
        <v>67.180000000000007</v>
      </c>
      <c r="D1412" s="53">
        <v>198.53933527626901</v>
      </c>
      <c r="E1412" s="78">
        <v>2955.3339576699759</v>
      </c>
      <c r="F1412" s="84">
        <v>63.03</v>
      </c>
      <c r="G1412" s="53">
        <v>188.64539174793958</v>
      </c>
      <c r="H1412" s="78">
        <v>2992.9460851648355</v>
      </c>
      <c r="I1412" s="84">
        <v>73.099999999999994</v>
      </c>
      <c r="J1412" s="53">
        <v>214.25499979739507</v>
      </c>
      <c r="K1412" s="78">
        <v>2930.98494934877</v>
      </c>
      <c r="L1412" s="84">
        <v>67.77</v>
      </c>
      <c r="M1412" s="53">
        <v>200.47990894053456</v>
      </c>
      <c r="N1412" s="78">
        <v>2958.2397659810322</v>
      </c>
    </row>
    <row r="1413" spans="1:14" ht="19.5" customHeight="1" outlineLevel="1" x14ac:dyDescent="0.2">
      <c r="A1413" s="101">
        <v>3</v>
      </c>
      <c r="B1413" s="81" t="s">
        <v>10</v>
      </c>
      <c r="C1413" s="84">
        <v>65.86</v>
      </c>
      <c r="D1413" s="53">
        <v>141.3897976470588</v>
      </c>
      <c r="E1413" s="78">
        <v>2146.8235294117644</v>
      </c>
      <c r="F1413" s="84">
        <v>63.15</v>
      </c>
      <c r="G1413" s="53">
        <v>145.94176225420634</v>
      </c>
      <c r="H1413" s="78">
        <v>2311.0334482059598</v>
      </c>
      <c r="I1413" s="84">
        <v>79.67</v>
      </c>
      <c r="J1413" s="53">
        <v>192.2022764847512</v>
      </c>
      <c r="K1413" s="78">
        <v>2412.4799357945426</v>
      </c>
      <c r="L1413" s="84">
        <v>69.56</v>
      </c>
      <c r="M1413" s="53">
        <v>159.84461212867211</v>
      </c>
      <c r="N1413" s="78">
        <v>2297.9386447480174</v>
      </c>
    </row>
    <row r="1414" spans="1:14" ht="19.5" customHeight="1" outlineLevel="1" x14ac:dyDescent="0.2">
      <c r="A1414" s="101">
        <v>4</v>
      </c>
      <c r="B1414" s="81" t="s">
        <v>11</v>
      </c>
      <c r="C1414" s="84">
        <v>157.41999999999999</v>
      </c>
      <c r="D1414" s="53">
        <v>464.98299354959954</v>
      </c>
      <c r="E1414" s="78">
        <v>2953.7733042154719</v>
      </c>
      <c r="F1414" s="84">
        <v>151.94</v>
      </c>
      <c r="G1414" s="53">
        <v>431.65159502538484</v>
      </c>
      <c r="H1414" s="78">
        <v>2840.9345466985974</v>
      </c>
      <c r="I1414" s="84">
        <v>202.68</v>
      </c>
      <c r="J1414" s="53">
        <v>587.61761258261936</v>
      </c>
      <c r="K1414" s="78">
        <v>2899.2382700938392</v>
      </c>
      <c r="L1414" s="84">
        <v>170.67999999999998</v>
      </c>
      <c r="M1414" s="53">
        <v>494.75073371920126</v>
      </c>
      <c r="N1414" s="78">
        <v>2898.703619165698</v>
      </c>
    </row>
    <row r="1415" spans="1:14" ht="19.5" customHeight="1" outlineLevel="1" x14ac:dyDescent="0.2">
      <c r="A1415" s="101">
        <v>5</v>
      </c>
      <c r="B1415" s="81" t="s">
        <v>12</v>
      </c>
      <c r="C1415" s="84">
        <v>52.43</v>
      </c>
      <c r="D1415" s="53">
        <v>144.38144161470217</v>
      </c>
      <c r="E1415" s="78">
        <v>2753.7944233206595</v>
      </c>
      <c r="F1415" s="84">
        <v>59.29</v>
      </c>
      <c r="G1415" s="53">
        <v>163.60442311111109</v>
      </c>
      <c r="H1415" s="78">
        <v>2759.3932047750227</v>
      </c>
      <c r="I1415" s="84">
        <v>72.41</v>
      </c>
      <c r="J1415" s="53">
        <v>191.11131884841942</v>
      </c>
      <c r="K1415" s="78">
        <v>2639.2945566692365</v>
      </c>
      <c r="L1415" s="84">
        <v>61.376666666666665</v>
      </c>
      <c r="M1415" s="53">
        <v>166.36572785807755</v>
      </c>
      <c r="N1415" s="78">
        <v>2710.5696169783996</v>
      </c>
    </row>
    <row r="1416" spans="1:14" ht="19.5" customHeight="1" outlineLevel="1" x14ac:dyDescent="0.2">
      <c r="A1416" s="101">
        <v>6</v>
      </c>
      <c r="B1416" s="81" t="s">
        <v>13</v>
      </c>
      <c r="C1416" s="84">
        <v>17.559999999999999</v>
      </c>
      <c r="D1416" s="53">
        <v>30.224271999999996</v>
      </c>
      <c r="E1416" s="78">
        <v>1721.2</v>
      </c>
      <c r="F1416" s="84">
        <v>16.14</v>
      </c>
      <c r="G1416" s="53">
        <v>31.698960000000003</v>
      </c>
      <c r="H1416" s="78">
        <v>1964</v>
      </c>
      <c r="I1416" s="84">
        <v>16.52</v>
      </c>
      <c r="J1416" s="53">
        <v>27.991488</v>
      </c>
      <c r="K1416" s="78">
        <v>1694.4</v>
      </c>
      <c r="L1416" s="84">
        <v>16.739999999999998</v>
      </c>
      <c r="M1416" s="53">
        <v>29.971573333333335</v>
      </c>
      <c r="N1416" s="78">
        <v>1790.4165671047394</v>
      </c>
    </row>
    <row r="1417" spans="1:14" ht="19.5" customHeight="1" outlineLevel="1" x14ac:dyDescent="0.2">
      <c r="A1417" s="101">
        <v>7</v>
      </c>
      <c r="B1417" s="81" t="s">
        <v>14</v>
      </c>
      <c r="C1417" s="84">
        <v>48.46</v>
      </c>
      <c r="D1417" s="53">
        <v>121.11123200000002</v>
      </c>
      <c r="E1417" s="78">
        <v>2499.2000000000003</v>
      </c>
      <c r="F1417" s="84">
        <v>35.9</v>
      </c>
      <c r="G1417" s="53">
        <v>77.831199999999995</v>
      </c>
      <c r="H1417" s="78">
        <v>2168</v>
      </c>
      <c r="I1417" s="84">
        <v>31.45</v>
      </c>
      <c r="J1417" s="53">
        <v>91.368539999999996</v>
      </c>
      <c r="K1417" s="78">
        <v>2905.2</v>
      </c>
      <c r="L1417" s="84">
        <v>38.603333333333332</v>
      </c>
      <c r="M1417" s="53">
        <v>96.770324000000002</v>
      </c>
      <c r="N1417" s="78">
        <v>2506.7867368966413</v>
      </c>
    </row>
    <row r="1418" spans="1:14" ht="19.5" customHeight="1" outlineLevel="1" x14ac:dyDescent="0.2">
      <c r="A1418" s="101">
        <v>8</v>
      </c>
      <c r="B1418" s="81" t="s">
        <v>15</v>
      </c>
      <c r="C1418" s="84">
        <v>0.38</v>
      </c>
      <c r="D1418" s="53">
        <v>0.94357834342262725</v>
      </c>
      <c r="E1418" s="78">
        <v>2483.1009037437557</v>
      </c>
      <c r="F1418" s="84">
        <v>0.09</v>
      </c>
      <c r="G1418" s="53">
        <v>0.20837675664067237</v>
      </c>
      <c r="H1418" s="78">
        <v>2315.2972960074708</v>
      </c>
      <c r="I1418" s="84">
        <v>0.46</v>
      </c>
      <c r="J1418" s="53">
        <v>1.0808274028624616</v>
      </c>
      <c r="K1418" s="78">
        <v>2349.6247888314383</v>
      </c>
      <c r="L1418" s="84">
        <v>0.31</v>
      </c>
      <c r="M1418" s="53">
        <v>0.74426083430858714</v>
      </c>
      <c r="N1418" s="78">
        <v>2400.8414009954427</v>
      </c>
    </row>
    <row r="1419" spans="1:14" ht="19.5" customHeight="1" outlineLevel="1" x14ac:dyDescent="0.2">
      <c r="A1419" s="101">
        <v>9</v>
      </c>
      <c r="B1419" s="81" t="s">
        <v>16</v>
      </c>
      <c r="C1419" s="84">
        <v>0</v>
      </c>
      <c r="D1419" s="53">
        <v>0</v>
      </c>
      <c r="E1419" s="78">
        <v>0</v>
      </c>
      <c r="F1419" s="84">
        <v>0.05</v>
      </c>
      <c r="G1419" s="53">
        <v>0.11576486480037354</v>
      </c>
      <c r="H1419" s="78">
        <v>2315.2972960074708</v>
      </c>
      <c r="I1419" s="84">
        <v>0.75</v>
      </c>
      <c r="J1419" s="53">
        <v>1.7622185916235786</v>
      </c>
      <c r="K1419" s="78">
        <v>2349.6247888314383</v>
      </c>
      <c r="L1419" s="84">
        <v>0.4</v>
      </c>
      <c r="M1419" s="53">
        <v>0.93899172821197607</v>
      </c>
      <c r="N1419" s="78">
        <v>2347.4793205299402</v>
      </c>
    </row>
    <row r="1420" spans="1:14" ht="19.5" customHeight="1" outlineLevel="1" x14ac:dyDescent="0.2">
      <c r="A1420" s="101">
        <v>10</v>
      </c>
      <c r="B1420" s="81" t="s">
        <v>17</v>
      </c>
      <c r="C1420" s="84">
        <v>0</v>
      </c>
      <c r="D1420" s="53">
        <v>0</v>
      </c>
      <c r="E1420" s="78">
        <v>0</v>
      </c>
      <c r="F1420" s="84">
        <v>0</v>
      </c>
      <c r="G1420" s="53">
        <v>0</v>
      </c>
      <c r="H1420" s="78">
        <v>0</v>
      </c>
      <c r="I1420" s="84">
        <v>0</v>
      </c>
      <c r="J1420" s="53">
        <v>0</v>
      </c>
      <c r="K1420" s="78">
        <v>0</v>
      </c>
      <c r="L1420" s="84">
        <v>0</v>
      </c>
      <c r="M1420" s="53">
        <v>0</v>
      </c>
      <c r="N1420" s="78">
        <v>0</v>
      </c>
    </row>
    <row r="1421" spans="1:14" ht="19.5" customHeight="1" outlineLevel="1" x14ac:dyDescent="0.2">
      <c r="A1421" s="101">
        <v>11</v>
      </c>
      <c r="B1421" s="81" t="s">
        <v>18</v>
      </c>
      <c r="C1421" s="84">
        <v>0</v>
      </c>
      <c r="D1421" s="53">
        <v>0</v>
      </c>
      <c r="E1421" s="78">
        <v>0</v>
      </c>
      <c r="F1421" s="84">
        <v>0</v>
      </c>
      <c r="G1421" s="53">
        <v>0</v>
      </c>
      <c r="H1421" s="78">
        <v>0</v>
      </c>
      <c r="I1421" s="84">
        <v>0</v>
      </c>
      <c r="J1421" s="53">
        <v>0</v>
      </c>
      <c r="K1421" s="78">
        <v>0</v>
      </c>
      <c r="L1421" s="84">
        <v>0</v>
      </c>
      <c r="M1421" s="53">
        <v>0</v>
      </c>
      <c r="N1421" s="78">
        <v>0</v>
      </c>
    </row>
    <row r="1422" spans="1:14" ht="19.5" customHeight="1" outlineLevel="1" x14ac:dyDescent="0.2">
      <c r="A1422" s="101">
        <v>12</v>
      </c>
      <c r="B1422" s="81" t="s">
        <v>19</v>
      </c>
      <c r="C1422" s="84">
        <v>0</v>
      </c>
      <c r="D1422" s="53">
        <v>0</v>
      </c>
      <c r="E1422" s="78">
        <v>0</v>
      </c>
      <c r="F1422" s="84">
        <v>0</v>
      </c>
      <c r="G1422" s="53">
        <v>0</v>
      </c>
      <c r="H1422" s="78">
        <v>0</v>
      </c>
      <c r="I1422" s="84">
        <v>0</v>
      </c>
      <c r="J1422" s="53">
        <v>0</v>
      </c>
      <c r="K1422" s="78">
        <v>0</v>
      </c>
      <c r="L1422" s="84">
        <v>0</v>
      </c>
      <c r="M1422" s="53">
        <v>0</v>
      </c>
      <c r="N1422" s="78">
        <v>0</v>
      </c>
    </row>
    <row r="1423" spans="1:14" ht="19.5" customHeight="1" outlineLevel="1" x14ac:dyDescent="0.2">
      <c r="A1423" s="101">
        <v>13</v>
      </c>
      <c r="B1423" s="81" t="s">
        <v>20</v>
      </c>
      <c r="C1423" s="84">
        <v>0</v>
      </c>
      <c r="D1423" s="53">
        <v>0</v>
      </c>
      <c r="E1423" s="78">
        <v>0</v>
      </c>
      <c r="F1423" s="84">
        <v>0</v>
      </c>
      <c r="G1423" s="53">
        <v>0</v>
      </c>
      <c r="H1423" s="78">
        <v>0</v>
      </c>
      <c r="I1423" s="84">
        <v>0</v>
      </c>
      <c r="J1423" s="53">
        <v>0</v>
      </c>
      <c r="K1423" s="78">
        <v>0</v>
      </c>
      <c r="L1423" s="84">
        <v>0</v>
      </c>
      <c r="M1423" s="53">
        <v>0</v>
      </c>
      <c r="N1423" s="78">
        <v>0</v>
      </c>
    </row>
    <row r="1424" spans="1:14" ht="19.5" customHeight="1" outlineLevel="1" x14ac:dyDescent="0.2">
      <c r="A1424" s="101">
        <v>14</v>
      </c>
      <c r="B1424" s="81" t="s">
        <v>21</v>
      </c>
      <c r="C1424" s="84">
        <v>0</v>
      </c>
      <c r="D1424" s="53">
        <v>0</v>
      </c>
      <c r="E1424" s="78">
        <v>0</v>
      </c>
      <c r="F1424" s="84">
        <v>0</v>
      </c>
      <c r="G1424" s="53">
        <v>0</v>
      </c>
      <c r="H1424" s="78">
        <v>0</v>
      </c>
      <c r="I1424" s="84">
        <v>0</v>
      </c>
      <c r="J1424" s="53">
        <v>0</v>
      </c>
      <c r="K1424" s="78">
        <v>0</v>
      </c>
      <c r="L1424" s="84">
        <v>0</v>
      </c>
      <c r="M1424" s="53">
        <v>0</v>
      </c>
      <c r="N1424" s="78">
        <v>0</v>
      </c>
    </row>
    <row r="1425" spans="1:14" ht="19.5" customHeight="1" outlineLevel="1" x14ac:dyDescent="0.2">
      <c r="A1425" s="101">
        <v>15</v>
      </c>
      <c r="B1425" s="81" t="s">
        <v>22</v>
      </c>
      <c r="C1425" s="84">
        <v>0</v>
      </c>
      <c r="D1425" s="53">
        <v>0</v>
      </c>
      <c r="E1425" s="78">
        <v>0</v>
      </c>
      <c r="F1425" s="84">
        <v>0</v>
      </c>
      <c r="G1425" s="53">
        <v>0</v>
      </c>
      <c r="H1425" s="78">
        <v>0</v>
      </c>
      <c r="I1425" s="84">
        <v>0</v>
      </c>
      <c r="J1425" s="53">
        <v>0</v>
      </c>
      <c r="K1425" s="78">
        <v>0</v>
      </c>
      <c r="L1425" s="84">
        <v>0</v>
      </c>
      <c r="M1425" s="53">
        <v>0</v>
      </c>
      <c r="N1425" s="78">
        <v>0</v>
      </c>
    </row>
    <row r="1426" spans="1:14" ht="19.5" customHeight="1" outlineLevel="1" x14ac:dyDescent="0.2">
      <c r="A1426" s="101">
        <v>16</v>
      </c>
      <c r="B1426" s="81" t="s">
        <v>23</v>
      </c>
      <c r="C1426" s="84">
        <v>0</v>
      </c>
      <c r="D1426" s="53">
        <v>0</v>
      </c>
      <c r="E1426" s="78">
        <v>0</v>
      </c>
      <c r="F1426" s="84">
        <v>0</v>
      </c>
      <c r="G1426" s="53">
        <v>0</v>
      </c>
      <c r="H1426" s="78">
        <v>0</v>
      </c>
      <c r="I1426" s="84">
        <v>0</v>
      </c>
      <c r="J1426" s="53">
        <v>0</v>
      </c>
      <c r="K1426" s="78">
        <v>0</v>
      </c>
      <c r="L1426" s="84">
        <v>0</v>
      </c>
      <c r="M1426" s="53">
        <v>0</v>
      </c>
      <c r="N1426" s="78">
        <v>0</v>
      </c>
    </row>
    <row r="1427" spans="1:14" ht="19.5" customHeight="1" outlineLevel="1" x14ac:dyDescent="0.2">
      <c r="A1427" s="101">
        <v>17</v>
      </c>
      <c r="B1427" s="81" t="s">
        <v>24</v>
      </c>
      <c r="C1427" s="84">
        <v>0</v>
      </c>
      <c r="D1427" s="53">
        <v>0</v>
      </c>
      <c r="E1427" s="78">
        <v>0</v>
      </c>
      <c r="F1427" s="84">
        <v>0</v>
      </c>
      <c r="G1427" s="53">
        <v>0</v>
      </c>
      <c r="H1427" s="78">
        <v>0</v>
      </c>
      <c r="I1427" s="84">
        <v>0</v>
      </c>
      <c r="J1427" s="53">
        <v>0</v>
      </c>
      <c r="K1427" s="78">
        <v>0</v>
      </c>
      <c r="L1427" s="84">
        <v>0</v>
      </c>
      <c r="M1427" s="53">
        <v>0</v>
      </c>
      <c r="N1427" s="78">
        <v>0</v>
      </c>
    </row>
    <row r="1428" spans="1:14" ht="19.5" customHeight="1" outlineLevel="1" x14ac:dyDescent="0.2">
      <c r="A1428" s="101">
        <v>18</v>
      </c>
      <c r="B1428" s="81" t="s">
        <v>25</v>
      </c>
      <c r="C1428" s="84">
        <v>0</v>
      </c>
      <c r="D1428" s="53">
        <v>0</v>
      </c>
      <c r="E1428" s="78">
        <v>0</v>
      </c>
      <c r="F1428" s="84">
        <v>0</v>
      </c>
      <c r="G1428" s="53">
        <v>0</v>
      </c>
      <c r="H1428" s="78">
        <v>0</v>
      </c>
      <c r="I1428" s="84">
        <v>0</v>
      </c>
      <c r="J1428" s="53">
        <v>0</v>
      </c>
      <c r="K1428" s="78">
        <v>0</v>
      </c>
      <c r="L1428" s="84">
        <v>0</v>
      </c>
      <c r="M1428" s="53">
        <v>0</v>
      </c>
      <c r="N1428" s="78">
        <v>0</v>
      </c>
    </row>
    <row r="1429" spans="1:14" ht="19.5" customHeight="1" outlineLevel="1" x14ac:dyDescent="0.2">
      <c r="A1429" s="101">
        <v>19</v>
      </c>
      <c r="B1429" s="81" t="s">
        <v>26</v>
      </c>
      <c r="C1429" s="84">
        <v>0</v>
      </c>
      <c r="D1429" s="53">
        <v>0</v>
      </c>
      <c r="E1429" s="78">
        <v>0</v>
      </c>
      <c r="F1429" s="84">
        <v>0</v>
      </c>
      <c r="G1429" s="53">
        <v>0</v>
      </c>
      <c r="H1429" s="78">
        <v>0</v>
      </c>
      <c r="I1429" s="84">
        <v>0</v>
      </c>
      <c r="J1429" s="53">
        <v>0</v>
      </c>
      <c r="K1429" s="78">
        <v>0</v>
      </c>
      <c r="L1429" s="84">
        <v>0</v>
      </c>
      <c r="M1429" s="53">
        <v>0</v>
      </c>
      <c r="N1429" s="78">
        <v>0</v>
      </c>
    </row>
    <row r="1430" spans="1:14" ht="19.5" customHeight="1" outlineLevel="1" x14ac:dyDescent="0.2">
      <c r="A1430" s="101">
        <v>20</v>
      </c>
      <c r="B1430" s="81" t="s">
        <v>27</v>
      </c>
      <c r="C1430" s="84">
        <v>642.09</v>
      </c>
      <c r="D1430" s="53">
        <v>1600.5309841578946</v>
      </c>
      <c r="E1430" s="78">
        <v>2492.6894736842105</v>
      </c>
      <c r="F1430" s="84">
        <v>648.48</v>
      </c>
      <c r="G1430" s="53">
        <v>1416.0824215858106</v>
      </c>
      <c r="H1430" s="78">
        <v>2183.6948272665472</v>
      </c>
      <c r="I1430" s="84">
        <v>724.52</v>
      </c>
      <c r="J1430" s="53">
        <v>1607.2591651259063</v>
      </c>
      <c r="K1430" s="78">
        <v>2218.3779124467319</v>
      </c>
      <c r="L1430" s="84">
        <v>671.69666666666672</v>
      </c>
      <c r="M1430" s="53">
        <v>1541.290856956537</v>
      </c>
      <c r="N1430" s="78">
        <v>2294.6233522421385</v>
      </c>
    </row>
    <row r="1431" spans="1:14" ht="19.5" customHeight="1" outlineLevel="1" x14ac:dyDescent="0.2">
      <c r="A1431" s="101">
        <v>21</v>
      </c>
      <c r="B1431" s="81" t="s">
        <v>28</v>
      </c>
      <c r="C1431" s="84">
        <v>284.33</v>
      </c>
      <c r="D1431" s="53">
        <v>644.86260898798719</v>
      </c>
      <c r="E1431" s="78">
        <v>2268.0076284176384</v>
      </c>
      <c r="F1431" s="84">
        <v>270.49</v>
      </c>
      <c r="G1431" s="53">
        <v>599.85571309689931</v>
      </c>
      <c r="H1431" s="78">
        <v>2217.6631782945738</v>
      </c>
      <c r="I1431" s="84">
        <v>379.29</v>
      </c>
      <c r="J1431" s="53">
        <v>835.66622613810136</v>
      </c>
      <c r="K1431" s="78">
        <v>2203.2382244143037</v>
      </c>
      <c r="L1431" s="84">
        <v>311.36999999999995</v>
      </c>
      <c r="M1431" s="53">
        <v>693.46151607432932</v>
      </c>
      <c r="N1431" s="78">
        <v>2227.1301540749896</v>
      </c>
    </row>
    <row r="1432" spans="1:14" ht="19.5" customHeight="1" outlineLevel="1" x14ac:dyDescent="0.2">
      <c r="A1432" s="101">
        <v>22</v>
      </c>
      <c r="B1432" s="81" t="s">
        <v>29</v>
      </c>
      <c r="C1432" s="84">
        <v>4.72</v>
      </c>
      <c r="D1432" s="53">
        <v>11.720236265670525</v>
      </c>
      <c r="E1432" s="78">
        <v>2483.1009037437557</v>
      </c>
      <c r="F1432" s="84">
        <v>0.3</v>
      </c>
      <c r="G1432" s="53">
        <v>0.69458918880224119</v>
      </c>
      <c r="H1432" s="78">
        <v>2315.2972960074708</v>
      </c>
      <c r="I1432" s="84">
        <v>0.6</v>
      </c>
      <c r="J1432" s="53">
        <v>1.4097748732988631</v>
      </c>
      <c r="K1432" s="78">
        <v>2349.6247888314383</v>
      </c>
      <c r="L1432" s="84">
        <v>1.8733333333333331</v>
      </c>
      <c r="M1432" s="53">
        <v>4.6082001092572105</v>
      </c>
      <c r="N1432" s="78">
        <v>2459.8932967565188</v>
      </c>
    </row>
    <row r="1433" spans="1:14" ht="19.5" customHeight="1" outlineLevel="1" x14ac:dyDescent="0.2">
      <c r="A1433" s="101">
        <v>23</v>
      </c>
      <c r="B1433" s="81" t="s">
        <v>30</v>
      </c>
      <c r="C1433" s="84">
        <v>8.76</v>
      </c>
      <c r="D1433" s="53">
        <v>21.751963916795297</v>
      </c>
      <c r="E1433" s="78">
        <v>2483.1009037437557</v>
      </c>
      <c r="F1433" s="84">
        <v>2.1</v>
      </c>
      <c r="G1433" s="53">
        <v>3.6502200000000005</v>
      </c>
      <c r="H1433" s="78">
        <v>1738.2</v>
      </c>
      <c r="I1433" s="84">
        <v>1.44</v>
      </c>
      <c r="J1433" s="53">
        <v>2.3039999999999998</v>
      </c>
      <c r="K1433" s="78">
        <v>1600</v>
      </c>
      <c r="L1433" s="84">
        <v>4.0999999999999996</v>
      </c>
      <c r="M1433" s="53">
        <v>9.2353946389317656</v>
      </c>
      <c r="N1433" s="78">
        <v>2252.5352777882358</v>
      </c>
    </row>
    <row r="1434" spans="1:14" ht="19.5" customHeight="1" outlineLevel="1" x14ac:dyDescent="0.2">
      <c r="A1434" s="101">
        <v>24</v>
      </c>
      <c r="B1434" s="81" t="s">
        <v>31</v>
      </c>
      <c r="C1434" s="84">
        <v>0</v>
      </c>
      <c r="D1434" s="53">
        <v>0</v>
      </c>
      <c r="E1434" s="78">
        <v>0</v>
      </c>
      <c r="F1434" s="84">
        <v>0</v>
      </c>
      <c r="G1434" s="53">
        <v>0</v>
      </c>
      <c r="H1434" s="78">
        <v>0</v>
      </c>
      <c r="I1434" s="84">
        <v>0</v>
      </c>
      <c r="J1434" s="53">
        <v>0</v>
      </c>
      <c r="K1434" s="78">
        <v>0</v>
      </c>
      <c r="L1434" s="84">
        <v>0</v>
      </c>
      <c r="M1434" s="53">
        <v>0</v>
      </c>
      <c r="N1434" s="78">
        <v>0</v>
      </c>
    </row>
    <row r="1435" spans="1:14" ht="19.5" customHeight="1" outlineLevel="1" x14ac:dyDescent="0.2">
      <c r="A1435" s="101">
        <v>25</v>
      </c>
      <c r="B1435" s="81" t="s">
        <v>32</v>
      </c>
      <c r="C1435" s="84">
        <v>34.93</v>
      </c>
      <c r="D1435" s="53">
        <v>56.471179130434777</v>
      </c>
      <c r="E1435" s="78">
        <v>1616.695652173913</v>
      </c>
      <c r="F1435" s="84">
        <v>39.08</v>
      </c>
      <c r="G1435" s="53">
        <v>65.763543871843623</v>
      </c>
      <c r="H1435" s="78">
        <v>1682.7928319304917</v>
      </c>
      <c r="I1435" s="84">
        <v>54.43</v>
      </c>
      <c r="J1435" s="53">
        <v>93.059211404303511</v>
      </c>
      <c r="K1435" s="78">
        <v>1709.7044167610418</v>
      </c>
      <c r="L1435" s="84">
        <v>42.813333333333333</v>
      </c>
      <c r="M1435" s="53">
        <v>71.76464480219397</v>
      </c>
      <c r="N1435" s="78">
        <v>1676.2218499422447</v>
      </c>
    </row>
    <row r="1436" spans="1:14" ht="19.5" customHeight="1" outlineLevel="1" x14ac:dyDescent="0.2">
      <c r="A1436" s="101">
        <v>26</v>
      </c>
      <c r="B1436" s="81" t="s">
        <v>33</v>
      </c>
      <c r="C1436" s="84">
        <v>0</v>
      </c>
      <c r="D1436" s="53">
        <v>0</v>
      </c>
      <c r="E1436" s="78">
        <v>0</v>
      </c>
      <c r="F1436" s="84">
        <v>0</v>
      </c>
      <c r="G1436" s="53">
        <v>0</v>
      </c>
      <c r="H1436" s="78">
        <v>0</v>
      </c>
      <c r="I1436" s="84">
        <v>0</v>
      </c>
      <c r="J1436" s="53">
        <v>0</v>
      </c>
      <c r="K1436" s="78">
        <v>0</v>
      </c>
      <c r="L1436" s="84">
        <v>0</v>
      </c>
      <c r="M1436" s="53">
        <v>0</v>
      </c>
      <c r="N1436" s="78">
        <v>0</v>
      </c>
    </row>
    <row r="1437" spans="1:14" ht="19.5" customHeight="1" outlineLevel="1" x14ac:dyDescent="0.2">
      <c r="A1437" s="101">
        <v>27</v>
      </c>
      <c r="B1437" s="81" t="s">
        <v>34</v>
      </c>
      <c r="C1437" s="84">
        <v>0</v>
      </c>
      <c r="D1437" s="53">
        <v>0</v>
      </c>
      <c r="E1437" s="78">
        <v>0</v>
      </c>
      <c r="F1437" s="84">
        <v>0</v>
      </c>
      <c r="G1437" s="53">
        <v>0</v>
      </c>
      <c r="H1437" s="78">
        <v>0</v>
      </c>
      <c r="I1437" s="84">
        <v>0</v>
      </c>
      <c r="J1437" s="53">
        <v>0</v>
      </c>
      <c r="K1437" s="78">
        <v>0</v>
      </c>
      <c r="L1437" s="84">
        <v>0</v>
      </c>
      <c r="M1437" s="53">
        <v>0</v>
      </c>
      <c r="N1437" s="78">
        <v>0</v>
      </c>
    </row>
    <row r="1438" spans="1:14" ht="19.5" customHeight="1" outlineLevel="1" x14ac:dyDescent="0.2">
      <c r="A1438" s="101">
        <v>28</v>
      </c>
      <c r="B1438" s="81" t="s">
        <v>35</v>
      </c>
      <c r="C1438" s="84">
        <v>0</v>
      </c>
      <c r="D1438" s="53">
        <v>0</v>
      </c>
      <c r="E1438" s="78">
        <v>0</v>
      </c>
      <c r="F1438" s="84">
        <v>0</v>
      </c>
      <c r="G1438" s="53">
        <v>0</v>
      </c>
      <c r="H1438" s="78">
        <v>0</v>
      </c>
      <c r="I1438" s="84">
        <v>0</v>
      </c>
      <c r="J1438" s="53">
        <v>0</v>
      </c>
      <c r="K1438" s="78">
        <v>0</v>
      </c>
      <c r="L1438" s="84">
        <v>0</v>
      </c>
      <c r="M1438" s="53">
        <v>0</v>
      </c>
      <c r="N1438" s="78">
        <v>0</v>
      </c>
    </row>
    <row r="1439" spans="1:14" ht="19.5" customHeight="1" outlineLevel="1" x14ac:dyDescent="0.2">
      <c r="A1439" s="101">
        <v>29</v>
      </c>
      <c r="B1439" s="81" t="s">
        <v>36</v>
      </c>
      <c r="C1439" s="84">
        <v>0</v>
      </c>
      <c r="D1439" s="53">
        <v>0</v>
      </c>
      <c r="E1439" s="78">
        <v>0</v>
      </c>
      <c r="F1439" s="84">
        <v>0</v>
      </c>
      <c r="G1439" s="53">
        <v>0</v>
      </c>
      <c r="H1439" s="78">
        <v>0</v>
      </c>
      <c r="I1439" s="84">
        <v>0</v>
      </c>
      <c r="J1439" s="53">
        <v>0</v>
      </c>
      <c r="K1439" s="78">
        <v>0</v>
      </c>
      <c r="L1439" s="84">
        <v>0</v>
      </c>
      <c r="M1439" s="53">
        <v>0</v>
      </c>
      <c r="N1439" s="78">
        <v>0</v>
      </c>
    </row>
    <row r="1440" spans="1:14" ht="19.5" customHeight="1" outlineLevel="1" x14ac:dyDescent="0.2">
      <c r="A1440" s="101">
        <v>30</v>
      </c>
      <c r="B1440" s="81" t="s">
        <v>37</v>
      </c>
      <c r="C1440" s="84">
        <v>0</v>
      </c>
      <c r="D1440" s="53">
        <v>0</v>
      </c>
      <c r="E1440" s="78">
        <v>0</v>
      </c>
      <c r="F1440" s="84">
        <v>0</v>
      </c>
      <c r="G1440" s="53">
        <v>0</v>
      </c>
      <c r="H1440" s="78">
        <v>0</v>
      </c>
      <c r="I1440" s="84">
        <v>0</v>
      </c>
      <c r="J1440" s="53">
        <v>0</v>
      </c>
      <c r="K1440" s="78">
        <v>0</v>
      </c>
      <c r="L1440" s="84">
        <v>0</v>
      </c>
      <c r="M1440" s="53">
        <v>0</v>
      </c>
      <c r="N1440" s="78">
        <v>0</v>
      </c>
    </row>
    <row r="1441" spans="1:14" ht="19.5" customHeight="1" outlineLevel="1" x14ac:dyDescent="0.2">
      <c r="A1441" s="101">
        <v>31</v>
      </c>
      <c r="B1441" s="81" t="s">
        <v>38</v>
      </c>
      <c r="C1441" s="84">
        <v>0</v>
      </c>
      <c r="D1441" s="53">
        <v>0</v>
      </c>
      <c r="E1441" s="78">
        <v>0</v>
      </c>
      <c r="F1441" s="84">
        <v>0</v>
      </c>
      <c r="G1441" s="53">
        <v>0</v>
      </c>
      <c r="H1441" s="78">
        <v>0</v>
      </c>
      <c r="I1441" s="84">
        <v>0</v>
      </c>
      <c r="J1441" s="53">
        <v>0</v>
      </c>
      <c r="K1441" s="78">
        <v>0</v>
      </c>
      <c r="L1441" s="84">
        <v>0</v>
      </c>
      <c r="M1441" s="53">
        <v>0</v>
      </c>
      <c r="N1441" s="78">
        <v>0</v>
      </c>
    </row>
    <row r="1442" spans="1:14" ht="19.5" customHeight="1" outlineLevel="1" x14ac:dyDescent="0.2">
      <c r="A1442" s="101">
        <v>32</v>
      </c>
      <c r="B1442" s="81" t="s">
        <v>39</v>
      </c>
      <c r="C1442" s="84">
        <v>0</v>
      </c>
      <c r="D1442" s="53">
        <v>0</v>
      </c>
      <c r="E1442" s="78">
        <v>0</v>
      </c>
      <c r="F1442" s="84">
        <v>0</v>
      </c>
      <c r="G1442" s="53">
        <v>0</v>
      </c>
      <c r="H1442" s="78">
        <v>0</v>
      </c>
      <c r="I1442" s="84">
        <v>0</v>
      </c>
      <c r="J1442" s="53">
        <v>0</v>
      </c>
      <c r="K1442" s="78">
        <v>0</v>
      </c>
      <c r="L1442" s="84">
        <v>0</v>
      </c>
      <c r="M1442" s="53">
        <v>0</v>
      </c>
      <c r="N1442" s="78">
        <v>0</v>
      </c>
    </row>
    <row r="1443" spans="1:14" ht="19.5" customHeight="1" outlineLevel="1" thickBot="1" x14ac:dyDescent="0.25">
      <c r="A1443" s="102">
        <v>33</v>
      </c>
      <c r="B1443" s="91" t="s">
        <v>40</v>
      </c>
      <c r="C1443" s="92">
        <v>0</v>
      </c>
      <c r="D1443" s="93">
        <v>0</v>
      </c>
      <c r="E1443" s="94">
        <v>0</v>
      </c>
      <c r="F1443" s="92">
        <v>0</v>
      </c>
      <c r="G1443" s="93">
        <v>0</v>
      </c>
      <c r="H1443" s="94">
        <v>0</v>
      </c>
      <c r="I1443" s="92">
        <v>0</v>
      </c>
      <c r="J1443" s="93">
        <v>0</v>
      </c>
      <c r="K1443" s="94">
        <v>0</v>
      </c>
      <c r="L1443" s="92">
        <v>0</v>
      </c>
      <c r="M1443" s="93">
        <v>0</v>
      </c>
      <c r="N1443" s="94">
        <v>0</v>
      </c>
    </row>
    <row r="1444" spans="1:14" ht="19.5" customHeight="1" thickBot="1" x14ac:dyDescent="0.25">
      <c r="A1444" s="151" t="s">
        <v>41</v>
      </c>
      <c r="B1444" s="152"/>
      <c r="C1444" s="96">
        <v>1384.1200000000001</v>
      </c>
      <c r="D1444" s="97">
        <v>3436.9096228898347</v>
      </c>
      <c r="E1444" s="98">
        <v>2483.1009037437757</v>
      </c>
      <c r="F1444" s="96">
        <v>1350.0399999999997</v>
      </c>
      <c r="G1444" s="97">
        <v>3125.7439615034386</v>
      </c>
      <c r="H1444" s="98">
        <v>2315.2972960085917</v>
      </c>
      <c r="I1444" s="96">
        <v>1637.32</v>
      </c>
      <c r="J1444" s="97">
        <v>3847.0876592492814</v>
      </c>
      <c r="K1444" s="98">
        <v>2349.6247888313105</v>
      </c>
      <c r="L1444" s="96">
        <v>1457.1599999999999</v>
      </c>
      <c r="M1444" s="97">
        <v>3469.9137478808516</v>
      </c>
      <c r="N1444" s="98">
        <v>2381.2853412671579</v>
      </c>
    </row>
    <row r="1445" spans="1:14" ht="34.5" customHeight="1" x14ac:dyDescent="0.2">
      <c r="A1445" s="153" t="s">
        <v>247</v>
      </c>
      <c r="B1445" s="154"/>
      <c r="C1445" s="154"/>
      <c r="D1445" s="154"/>
      <c r="E1445" s="154"/>
      <c r="F1445" s="154"/>
      <c r="G1445" s="154"/>
      <c r="H1445" s="154"/>
      <c r="I1445" s="154"/>
      <c r="J1445" s="154"/>
      <c r="K1445" s="154"/>
      <c r="L1445" s="154"/>
      <c r="M1445" s="154"/>
      <c r="N1445" s="154"/>
    </row>
    <row r="1446" spans="1:14" ht="19.5" customHeight="1" thickBot="1" x14ac:dyDescent="0.25">
      <c r="A1446" s="50"/>
      <c r="B1446" s="138" t="s">
        <v>80</v>
      </c>
      <c r="C1446" s="52"/>
      <c r="D1446" s="52"/>
      <c r="E1446" s="52"/>
      <c r="F1446" s="52"/>
      <c r="G1446" s="52"/>
      <c r="H1446" s="52"/>
      <c r="I1446" s="52"/>
      <c r="J1446" s="52"/>
      <c r="K1446" s="155" t="s">
        <v>1</v>
      </c>
      <c r="L1446" s="154"/>
      <c r="M1446" s="154"/>
      <c r="N1446" s="154"/>
    </row>
    <row r="1447" spans="1:14" ht="19.5" customHeight="1" x14ac:dyDescent="0.2">
      <c r="A1447" s="156" t="s">
        <v>2</v>
      </c>
      <c r="B1447" s="158" t="s">
        <v>3</v>
      </c>
      <c r="C1447" s="148" t="s">
        <v>243</v>
      </c>
      <c r="D1447" s="149"/>
      <c r="E1447" s="150"/>
      <c r="F1447" s="148" t="s">
        <v>244</v>
      </c>
      <c r="G1447" s="149"/>
      <c r="H1447" s="150"/>
      <c r="I1447" s="148" t="s">
        <v>246</v>
      </c>
      <c r="J1447" s="149"/>
      <c r="K1447" s="150"/>
      <c r="L1447" s="148" t="s">
        <v>4</v>
      </c>
      <c r="M1447" s="149"/>
      <c r="N1447" s="150"/>
    </row>
    <row r="1448" spans="1:14" ht="19.5" customHeight="1" thickBot="1" x14ac:dyDescent="0.25">
      <c r="A1448" s="157"/>
      <c r="B1448" s="159"/>
      <c r="C1448" s="85" t="s">
        <v>5</v>
      </c>
      <c r="D1448" s="79" t="s">
        <v>6</v>
      </c>
      <c r="E1448" s="80" t="s">
        <v>7</v>
      </c>
      <c r="F1448" s="85" t="s">
        <v>5</v>
      </c>
      <c r="G1448" s="79" t="s">
        <v>6</v>
      </c>
      <c r="H1448" s="80" t="s">
        <v>7</v>
      </c>
      <c r="I1448" s="85" t="s">
        <v>5</v>
      </c>
      <c r="J1448" s="79" t="s">
        <v>6</v>
      </c>
      <c r="K1448" s="80" t="s">
        <v>7</v>
      </c>
      <c r="L1448" s="85" t="s">
        <v>5</v>
      </c>
      <c r="M1448" s="79" t="s">
        <v>6</v>
      </c>
      <c r="N1448" s="80" t="s">
        <v>7</v>
      </c>
    </row>
    <row r="1449" spans="1:14" ht="19.5" customHeight="1" outlineLevel="1" x14ac:dyDescent="0.2">
      <c r="A1449" s="100">
        <v>1</v>
      </c>
      <c r="B1449" s="86" t="s">
        <v>8</v>
      </c>
      <c r="C1449" s="87">
        <v>2.6</v>
      </c>
      <c r="D1449" s="88">
        <v>71.622722349352514</v>
      </c>
      <c r="E1449" s="89">
        <v>27547.20090359712</v>
      </c>
      <c r="F1449" s="87">
        <v>2.7</v>
      </c>
      <c r="G1449" s="88">
        <v>76.099064829980193</v>
      </c>
      <c r="H1449" s="89">
        <v>28184.838825918592</v>
      </c>
      <c r="I1449" s="87">
        <v>1.88</v>
      </c>
      <c r="J1449" s="88">
        <v>57.038911230120469</v>
      </c>
      <c r="K1449" s="89">
        <v>30339.846399000249</v>
      </c>
      <c r="L1449" s="87">
        <v>2.3933333333333335</v>
      </c>
      <c r="M1449" s="88">
        <v>68.253566136484395</v>
      </c>
      <c r="N1449" s="89">
        <v>28518.203121093757</v>
      </c>
    </row>
    <row r="1450" spans="1:14" ht="19.5" customHeight="1" outlineLevel="1" x14ac:dyDescent="0.2">
      <c r="A1450" s="101">
        <v>2</v>
      </c>
      <c r="B1450" s="81" t="s">
        <v>9</v>
      </c>
      <c r="C1450" s="84">
        <v>5.76</v>
      </c>
      <c r="D1450" s="53">
        <v>158.67187720471941</v>
      </c>
      <c r="E1450" s="78">
        <v>27547.20090359712</v>
      </c>
      <c r="F1450" s="84">
        <v>4.3099999999999996</v>
      </c>
      <c r="G1450" s="53">
        <v>121.47665533970913</v>
      </c>
      <c r="H1450" s="78">
        <v>28184.838825918592</v>
      </c>
      <c r="I1450" s="84">
        <v>3.97</v>
      </c>
      <c r="J1450" s="53">
        <v>120.449190204031</v>
      </c>
      <c r="K1450" s="78">
        <v>30339.846399000249</v>
      </c>
      <c r="L1450" s="84">
        <v>4.6800000000000006</v>
      </c>
      <c r="M1450" s="53">
        <v>133.53257424948652</v>
      </c>
      <c r="N1450" s="78">
        <v>28532.601335360367</v>
      </c>
    </row>
    <row r="1451" spans="1:14" ht="19.5" customHeight="1" outlineLevel="1" x14ac:dyDescent="0.2">
      <c r="A1451" s="101">
        <v>3</v>
      </c>
      <c r="B1451" s="81" t="s">
        <v>10</v>
      </c>
      <c r="C1451" s="84">
        <v>1.2</v>
      </c>
      <c r="D1451" s="53">
        <v>33.056641084316546</v>
      </c>
      <c r="E1451" s="78">
        <v>27547.20090359712</v>
      </c>
      <c r="F1451" s="84">
        <v>1.1000000000000001</v>
      </c>
      <c r="G1451" s="53">
        <v>31.003322708510456</v>
      </c>
      <c r="H1451" s="78">
        <v>28184.838825918592</v>
      </c>
      <c r="I1451" s="84">
        <v>1.91</v>
      </c>
      <c r="J1451" s="53">
        <v>57.949106622090476</v>
      </c>
      <c r="K1451" s="78">
        <v>30339.846399000249</v>
      </c>
      <c r="L1451" s="84">
        <v>1.4033333333333333</v>
      </c>
      <c r="M1451" s="53">
        <v>40.669690138305832</v>
      </c>
      <c r="N1451" s="78">
        <v>28980.776820645482</v>
      </c>
    </row>
    <row r="1452" spans="1:14" ht="19.5" customHeight="1" outlineLevel="1" x14ac:dyDescent="0.2">
      <c r="A1452" s="101">
        <v>4</v>
      </c>
      <c r="B1452" s="81" t="s">
        <v>11</v>
      </c>
      <c r="C1452" s="84">
        <v>2.16</v>
      </c>
      <c r="D1452" s="53">
        <v>59.501953951769785</v>
      </c>
      <c r="E1452" s="78">
        <v>27547.20090359712</v>
      </c>
      <c r="F1452" s="84">
        <v>2.06</v>
      </c>
      <c r="G1452" s="53">
        <v>58.060767981392303</v>
      </c>
      <c r="H1452" s="78">
        <v>28184.838825918592</v>
      </c>
      <c r="I1452" s="84">
        <v>1.66</v>
      </c>
      <c r="J1452" s="53">
        <v>50.364145022340409</v>
      </c>
      <c r="K1452" s="78">
        <v>30339.846399000249</v>
      </c>
      <c r="L1452" s="84">
        <v>1.9600000000000002</v>
      </c>
      <c r="M1452" s="53">
        <v>55.975622318500832</v>
      </c>
      <c r="N1452" s="78">
        <v>28558.990978826954</v>
      </c>
    </row>
    <row r="1453" spans="1:14" ht="19.5" customHeight="1" outlineLevel="1" x14ac:dyDescent="0.2">
      <c r="A1453" s="101">
        <v>5</v>
      </c>
      <c r="B1453" s="81" t="s">
        <v>12</v>
      </c>
      <c r="C1453" s="84">
        <v>0.87</v>
      </c>
      <c r="D1453" s="53">
        <v>23.966064786129497</v>
      </c>
      <c r="E1453" s="78">
        <v>27547.20090359712</v>
      </c>
      <c r="F1453" s="84">
        <v>0.73</v>
      </c>
      <c r="G1453" s="53">
        <v>20.574932342920572</v>
      </c>
      <c r="H1453" s="78">
        <v>28184.838825918592</v>
      </c>
      <c r="I1453" s="84">
        <v>1.39</v>
      </c>
      <c r="J1453" s="53">
        <v>42.172386494610343</v>
      </c>
      <c r="K1453" s="78">
        <v>30339.846399000249</v>
      </c>
      <c r="L1453" s="84">
        <v>0.9966666666666667</v>
      </c>
      <c r="M1453" s="53">
        <v>28.904461207886801</v>
      </c>
      <c r="N1453" s="78">
        <v>29001.131646709164</v>
      </c>
    </row>
    <row r="1454" spans="1:14" ht="19.5" customHeight="1" outlineLevel="1" x14ac:dyDescent="0.2">
      <c r="A1454" s="101">
        <v>6</v>
      </c>
      <c r="B1454" s="81" t="s">
        <v>13</v>
      </c>
      <c r="C1454" s="84">
        <v>0.67</v>
      </c>
      <c r="D1454" s="53">
        <v>18.45662460541007</v>
      </c>
      <c r="E1454" s="78">
        <v>27547.20090359712</v>
      </c>
      <c r="F1454" s="84">
        <v>0.53</v>
      </c>
      <c r="G1454" s="53">
        <v>14.937964577736855</v>
      </c>
      <c r="H1454" s="78">
        <v>28184.838825918592</v>
      </c>
      <c r="I1454" s="84">
        <v>0.05</v>
      </c>
      <c r="J1454" s="53">
        <v>1.5169923199500126</v>
      </c>
      <c r="K1454" s="78">
        <v>30339.846399000249</v>
      </c>
      <c r="L1454" s="84">
        <v>0.41666666666666674</v>
      </c>
      <c r="M1454" s="53">
        <v>11.637193834365647</v>
      </c>
      <c r="N1454" s="78">
        <v>27929.265202477549</v>
      </c>
    </row>
    <row r="1455" spans="1:14" ht="19.5" customHeight="1" outlineLevel="1" x14ac:dyDescent="0.2">
      <c r="A1455" s="101">
        <v>7</v>
      </c>
      <c r="B1455" s="81" t="s">
        <v>14</v>
      </c>
      <c r="C1455" s="84">
        <v>0</v>
      </c>
      <c r="D1455" s="53">
        <v>0</v>
      </c>
      <c r="E1455" s="78">
        <v>0</v>
      </c>
      <c r="F1455" s="84">
        <v>0</v>
      </c>
      <c r="G1455" s="53">
        <v>0</v>
      </c>
      <c r="H1455" s="78">
        <v>0</v>
      </c>
      <c r="I1455" s="84">
        <v>0</v>
      </c>
      <c r="J1455" s="53">
        <v>0</v>
      </c>
      <c r="K1455" s="78">
        <v>0</v>
      </c>
      <c r="L1455" s="84">
        <v>0</v>
      </c>
      <c r="M1455" s="53">
        <v>0</v>
      </c>
      <c r="N1455" s="78">
        <v>0</v>
      </c>
    </row>
    <row r="1456" spans="1:14" ht="19.5" customHeight="1" outlineLevel="1" x14ac:dyDescent="0.2">
      <c r="A1456" s="101">
        <v>8</v>
      </c>
      <c r="B1456" s="81" t="s">
        <v>15</v>
      </c>
      <c r="C1456" s="84">
        <v>0.46</v>
      </c>
      <c r="D1456" s="53">
        <v>12.671712415654676</v>
      </c>
      <c r="E1456" s="78">
        <v>27547.20090359712</v>
      </c>
      <c r="F1456" s="84">
        <v>0</v>
      </c>
      <c r="G1456" s="53">
        <v>0</v>
      </c>
      <c r="H1456" s="78">
        <v>0</v>
      </c>
      <c r="I1456" s="84">
        <v>0</v>
      </c>
      <c r="J1456" s="53">
        <v>0</v>
      </c>
      <c r="K1456" s="78">
        <v>0</v>
      </c>
      <c r="L1456" s="84">
        <v>0.46</v>
      </c>
      <c r="M1456" s="53">
        <v>12.671712415654676</v>
      </c>
      <c r="N1456" s="78">
        <v>27547.20090359712</v>
      </c>
    </row>
    <row r="1457" spans="1:14" ht="19.5" customHeight="1" outlineLevel="1" x14ac:dyDescent="0.2">
      <c r="A1457" s="101">
        <v>9</v>
      </c>
      <c r="B1457" s="81" t="s">
        <v>16</v>
      </c>
      <c r="C1457" s="84">
        <v>2.79</v>
      </c>
      <c r="D1457" s="53">
        <v>76.856690521035972</v>
      </c>
      <c r="E1457" s="78">
        <v>27547.20090359712</v>
      </c>
      <c r="F1457" s="84">
        <v>1.87</v>
      </c>
      <c r="G1457" s="53">
        <v>52.705648604467775</v>
      </c>
      <c r="H1457" s="78">
        <v>28184.838825918592</v>
      </c>
      <c r="I1457" s="84">
        <v>1.49</v>
      </c>
      <c r="J1457" s="53">
        <v>45.20637113451037</v>
      </c>
      <c r="K1457" s="78">
        <v>30339.846399000249</v>
      </c>
      <c r="L1457" s="84">
        <v>2.0500000000000003</v>
      </c>
      <c r="M1457" s="53">
        <v>58.256236753338037</v>
      </c>
      <c r="N1457" s="78">
        <v>28417.676465042943</v>
      </c>
    </row>
    <row r="1458" spans="1:14" ht="19.5" customHeight="1" outlineLevel="1" x14ac:dyDescent="0.2">
      <c r="A1458" s="101">
        <v>10</v>
      </c>
      <c r="B1458" s="81" t="s">
        <v>17</v>
      </c>
      <c r="C1458" s="84">
        <v>21.4</v>
      </c>
      <c r="D1458" s="53">
        <v>417.22872350597606</v>
      </c>
      <c r="E1458" s="78">
        <v>19496.669322709164</v>
      </c>
      <c r="F1458" s="84">
        <v>17.5</v>
      </c>
      <c r="G1458" s="53">
        <v>433.80379872204475</v>
      </c>
      <c r="H1458" s="78">
        <v>24788.788498402555</v>
      </c>
      <c r="I1458" s="84">
        <v>32.6</v>
      </c>
      <c r="J1458" s="53">
        <v>972.39817755752222</v>
      </c>
      <c r="K1458" s="78">
        <v>29828.164955752214</v>
      </c>
      <c r="L1458" s="84">
        <v>23.833333333333332</v>
      </c>
      <c r="M1458" s="53">
        <v>607.81023326184766</v>
      </c>
      <c r="N1458" s="78">
        <v>25502.527269727874</v>
      </c>
    </row>
    <row r="1459" spans="1:14" ht="19.5" customHeight="1" outlineLevel="1" x14ac:dyDescent="0.2">
      <c r="A1459" s="101">
        <v>11</v>
      </c>
      <c r="B1459" s="81" t="s">
        <v>18</v>
      </c>
      <c r="C1459" s="84">
        <v>109.17</v>
      </c>
      <c r="D1459" s="53">
        <v>3051.4048343460095</v>
      </c>
      <c r="E1459" s="78">
        <v>27950.946545259772</v>
      </c>
      <c r="F1459" s="84">
        <v>107.28</v>
      </c>
      <c r="G1459" s="53">
        <v>2775.5993434561369</v>
      </c>
      <c r="H1459" s="78">
        <v>25872.47710156727</v>
      </c>
      <c r="I1459" s="84">
        <v>128.52000000000001</v>
      </c>
      <c r="J1459" s="53">
        <v>3884.2364178166531</v>
      </c>
      <c r="K1459" s="78">
        <v>30222.816820857865</v>
      </c>
      <c r="L1459" s="84">
        <v>114.99000000000001</v>
      </c>
      <c r="M1459" s="53">
        <v>3237.0801985395997</v>
      </c>
      <c r="N1459" s="78">
        <v>28150.97137611618</v>
      </c>
    </row>
    <row r="1460" spans="1:14" ht="19.5" customHeight="1" outlineLevel="1" x14ac:dyDescent="0.2">
      <c r="A1460" s="101">
        <v>12</v>
      </c>
      <c r="B1460" s="81" t="s">
        <v>19</v>
      </c>
      <c r="C1460" s="84">
        <v>14.91</v>
      </c>
      <c r="D1460" s="53">
        <v>399.30211695652167</v>
      </c>
      <c r="E1460" s="78">
        <v>26780.82608695652</v>
      </c>
      <c r="F1460" s="84">
        <v>12.2</v>
      </c>
      <c r="G1460" s="53">
        <v>326.84319826086954</v>
      </c>
      <c r="H1460" s="78">
        <v>26790.426086956522</v>
      </c>
      <c r="I1460" s="84">
        <v>17.13</v>
      </c>
      <c r="J1460" s="53">
        <v>442.180116</v>
      </c>
      <c r="K1460" s="78">
        <v>25813.200000000001</v>
      </c>
      <c r="L1460" s="84">
        <v>14.746666666666664</v>
      </c>
      <c r="M1460" s="53">
        <v>389.44181040579707</v>
      </c>
      <c r="N1460" s="78">
        <v>26408.80269478733</v>
      </c>
    </row>
    <row r="1461" spans="1:14" ht="19.5" customHeight="1" outlineLevel="1" x14ac:dyDescent="0.2">
      <c r="A1461" s="101">
        <v>13</v>
      </c>
      <c r="B1461" s="81" t="s">
        <v>20</v>
      </c>
      <c r="C1461" s="84">
        <v>0</v>
      </c>
      <c r="D1461" s="53">
        <v>0</v>
      </c>
      <c r="E1461" s="78">
        <v>0</v>
      </c>
      <c r="F1461" s="84">
        <v>0</v>
      </c>
      <c r="G1461" s="53">
        <v>0</v>
      </c>
      <c r="H1461" s="78">
        <v>0</v>
      </c>
      <c r="I1461" s="84">
        <v>0</v>
      </c>
      <c r="J1461" s="53">
        <v>0</v>
      </c>
      <c r="K1461" s="78">
        <v>0</v>
      </c>
      <c r="L1461" s="84">
        <v>0</v>
      </c>
      <c r="M1461" s="53">
        <v>0</v>
      </c>
      <c r="N1461" s="78">
        <v>0</v>
      </c>
    </row>
    <row r="1462" spans="1:14" ht="19.5" customHeight="1" outlineLevel="1" x14ac:dyDescent="0.2">
      <c r="A1462" s="101">
        <v>14</v>
      </c>
      <c r="B1462" s="81" t="s">
        <v>21</v>
      </c>
      <c r="C1462" s="84">
        <v>6.5</v>
      </c>
      <c r="D1462" s="53">
        <v>179.05680587338131</v>
      </c>
      <c r="E1462" s="78">
        <v>27547.20090359712</v>
      </c>
      <c r="F1462" s="84">
        <v>5.15</v>
      </c>
      <c r="G1462" s="53">
        <v>145.15191995348076</v>
      </c>
      <c r="H1462" s="78">
        <v>28184.838825918592</v>
      </c>
      <c r="I1462" s="84">
        <v>3.75</v>
      </c>
      <c r="J1462" s="53">
        <v>113.77442399625093</v>
      </c>
      <c r="K1462" s="78">
        <v>30339.846399000249</v>
      </c>
      <c r="L1462" s="84">
        <v>5.1333333333333337</v>
      </c>
      <c r="M1462" s="53">
        <v>145.99438327437099</v>
      </c>
      <c r="N1462" s="78">
        <v>28440.46427422811</v>
      </c>
    </row>
    <row r="1463" spans="1:14" ht="19.5" customHeight="1" outlineLevel="1" x14ac:dyDescent="0.2">
      <c r="A1463" s="101">
        <v>15</v>
      </c>
      <c r="B1463" s="81" t="s">
        <v>22</v>
      </c>
      <c r="C1463" s="84">
        <v>39.33</v>
      </c>
      <c r="D1463" s="53">
        <v>943.68401999999992</v>
      </c>
      <c r="E1463" s="78">
        <v>23994</v>
      </c>
      <c r="F1463" s="84">
        <v>21.4</v>
      </c>
      <c r="G1463" s="53">
        <v>521.51267772020731</v>
      </c>
      <c r="H1463" s="78">
        <v>24369.751295336791</v>
      </c>
      <c r="I1463" s="84">
        <v>29.52</v>
      </c>
      <c r="J1463" s="53">
        <v>713.52607499999999</v>
      </c>
      <c r="K1463" s="78">
        <v>24170.9375</v>
      </c>
      <c r="L1463" s="84">
        <v>30.083333333333332</v>
      </c>
      <c r="M1463" s="53">
        <v>726.24092424006903</v>
      </c>
      <c r="N1463" s="78">
        <v>24140.972550916424</v>
      </c>
    </row>
    <row r="1464" spans="1:14" ht="19.5" customHeight="1" outlineLevel="1" x14ac:dyDescent="0.2">
      <c r="A1464" s="101">
        <v>16</v>
      </c>
      <c r="B1464" s="81" t="s">
        <v>23</v>
      </c>
      <c r="C1464" s="84">
        <v>44.55</v>
      </c>
      <c r="D1464" s="53">
        <v>1333.96065</v>
      </c>
      <c r="E1464" s="78">
        <v>29943</v>
      </c>
      <c r="F1464" s="84">
        <v>55.79</v>
      </c>
      <c r="G1464" s="53">
        <v>1549.3998800000002</v>
      </c>
      <c r="H1464" s="78">
        <v>27772.000000000004</v>
      </c>
      <c r="I1464" s="84">
        <v>60.68</v>
      </c>
      <c r="J1464" s="53">
        <v>1689.7923679999999</v>
      </c>
      <c r="K1464" s="78">
        <v>27847.599999999995</v>
      </c>
      <c r="L1464" s="84">
        <v>53.673333333333339</v>
      </c>
      <c r="M1464" s="53">
        <v>1524.3842993333335</v>
      </c>
      <c r="N1464" s="78">
        <v>28401.148292137623</v>
      </c>
    </row>
    <row r="1465" spans="1:14" ht="19.5" customHeight="1" outlineLevel="1" x14ac:dyDescent="0.2">
      <c r="A1465" s="101">
        <v>17</v>
      </c>
      <c r="B1465" s="81" t="s">
        <v>24</v>
      </c>
      <c r="C1465" s="84">
        <v>102.13</v>
      </c>
      <c r="D1465" s="53">
        <v>3503.1492336626102</v>
      </c>
      <c r="E1465" s="78">
        <v>34300.883517699112</v>
      </c>
      <c r="F1465" s="84">
        <v>117.72</v>
      </c>
      <c r="G1465" s="53">
        <v>3939.3167238171118</v>
      </c>
      <c r="H1465" s="78">
        <v>33463.444816659125</v>
      </c>
      <c r="I1465" s="84">
        <v>214.75</v>
      </c>
      <c r="J1465" s="53">
        <v>7531.539662552138</v>
      </c>
      <c r="K1465" s="78">
        <v>35071.197497332425</v>
      </c>
      <c r="L1465" s="84">
        <v>144.86666666666667</v>
      </c>
      <c r="M1465" s="53">
        <v>4991.3352066772868</v>
      </c>
      <c r="N1465" s="78">
        <v>34454.683893308465</v>
      </c>
    </row>
    <row r="1466" spans="1:14" ht="19.5" customHeight="1" outlineLevel="1" x14ac:dyDescent="0.2">
      <c r="A1466" s="101">
        <v>18</v>
      </c>
      <c r="B1466" s="81" t="s">
        <v>25</v>
      </c>
      <c r="C1466" s="84">
        <v>311.77999999999997</v>
      </c>
      <c r="D1466" s="53">
        <v>8071.5583467858287</v>
      </c>
      <c r="E1466" s="78">
        <v>25888.634122733431</v>
      </c>
      <c r="F1466" s="84">
        <v>311.58999999999997</v>
      </c>
      <c r="G1466" s="53">
        <v>8589.9044657257327</v>
      </c>
      <c r="H1466" s="78">
        <v>27567.972225442838</v>
      </c>
      <c r="I1466" s="84">
        <v>408.28</v>
      </c>
      <c r="J1466" s="53">
        <v>11813.693450854407</v>
      </c>
      <c r="K1466" s="78">
        <v>28935.273466381914</v>
      </c>
      <c r="L1466" s="84">
        <v>343.88333333333327</v>
      </c>
      <c r="M1466" s="53">
        <v>9491.7187544553235</v>
      </c>
      <c r="N1466" s="78">
        <v>27601.566678007053</v>
      </c>
    </row>
    <row r="1467" spans="1:14" ht="19.5" customHeight="1" outlineLevel="1" x14ac:dyDescent="0.2">
      <c r="A1467" s="101">
        <v>19</v>
      </c>
      <c r="B1467" s="81" t="s">
        <v>26</v>
      </c>
      <c r="C1467" s="84">
        <v>5.91</v>
      </c>
      <c r="D1467" s="53">
        <v>162.80395734025899</v>
      </c>
      <c r="E1467" s="78">
        <v>27547.20090359712</v>
      </c>
      <c r="F1467" s="84">
        <v>3.77</v>
      </c>
      <c r="G1467" s="53">
        <v>106.2568423737131</v>
      </c>
      <c r="H1467" s="78">
        <v>28184.838825918592</v>
      </c>
      <c r="I1467" s="84">
        <v>5.64</v>
      </c>
      <c r="J1467" s="53">
        <v>171.1167336903614</v>
      </c>
      <c r="K1467" s="78">
        <v>30339.846399000249</v>
      </c>
      <c r="L1467" s="84">
        <v>5.1066666666666665</v>
      </c>
      <c r="M1467" s="53">
        <v>146.72584446811115</v>
      </c>
      <c r="N1467" s="78">
        <v>28732.214974173203</v>
      </c>
    </row>
    <row r="1468" spans="1:14" ht="19.5" customHeight="1" outlineLevel="1" x14ac:dyDescent="0.2">
      <c r="A1468" s="101">
        <v>20</v>
      </c>
      <c r="B1468" s="81" t="s">
        <v>27</v>
      </c>
      <c r="C1468" s="84">
        <v>0.25</v>
      </c>
      <c r="D1468" s="53">
        <v>6.8868002258992798</v>
      </c>
      <c r="E1468" s="78">
        <v>27547.20090359712</v>
      </c>
      <c r="F1468" s="84">
        <v>0</v>
      </c>
      <c r="G1468" s="53">
        <v>0</v>
      </c>
      <c r="H1468" s="78">
        <v>0</v>
      </c>
      <c r="I1468" s="84">
        <v>0</v>
      </c>
      <c r="J1468" s="53">
        <v>0</v>
      </c>
      <c r="K1468" s="78">
        <v>0</v>
      </c>
      <c r="L1468" s="84">
        <v>0.25</v>
      </c>
      <c r="M1468" s="53">
        <v>6.8868002258992798</v>
      </c>
      <c r="N1468" s="78">
        <v>27547.20090359712</v>
      </c>
    </row>
    <row r="1469" spans="1:14" ht="19.5" customHeight="1" outlineLevel="1" x14ac:dyDescent="0.2">
      <c r="A1469" s="101">
        <v>21</v>
      </c>
      <c r="B1469" s="81" t="s">
        <v>28</v>
      </c>
      <c r="C1469" s="84">
        <v>2.37</v>
      </c>
      <c r="D1469" s="53">
        <v>65.286866141525181</v>
      </c>
      <c r="E1469" s="78">
        <v>27547.20090359712</v>
      </c>
      <c r="F1469" s="84">
        <v>2.92</v>
      </c>
      <c r="G1469" s="53">
        <v>82.29972937168229</v>
      </c>
      <c r="H1469" s="78">
        <v>28184.838825918592</v>
      </c>
      <c r="I1469" s="84">
        <v>1.62</v>
      </c>
      <c r="J1469" s="53">
        <v>49.150551166380403</v>
      </c>
      <c r="K1469" s="78">
        <v>30339.846399000249</v>
      </c>
      <c r="L1469" s="84">
        <v>2.3033333333333332</v>
      </c>
      <c r="M1469" s="53">
        <v>65.57904889319596</v>
      </c>
      <c r="N1469" s="78">
        <v>28471.367102689997</v>
      </c>
    </row>
    <row r="1470" spans="1:14" ht="19.5" customHeight="1" outlineLevel="1" x14ac:dyDescent="0.2">
      <c r="A1470" s="101">
        <v>22</v>
      </c>
      <c r="B1470" s="81" t="s">
        <v>29</v>
      </c>
      <c r="C1470" s="84">
        <v>0</v>
      </c>
      <c r="D1470" s="53">
        <v>0</v>
      </c>
      <c r="E1470" s="78">
        <v>0</v>
      </c>
      <c r="F1470" s="84">
        <v>0.01</v>
      </c>
      <c r="G1470" s="53">
        <v>0.2818483882591859</v>
      </c>
      <c r="H1470" s="78">
        <v>28184.838825918592</v>
      </c>
      <c r="I1470" s="84">
        <v>0.06</v>
      </c>
      <c r="J1470" s="53">
        <v>1.8203907839400149</v>
      </c>
      <c r="K1470" s="78">
        <v>30339.846399000249</v>
      </c>
      <c r="L1470" s="84">
        <v>3.4999999999999996E-2</v>
      </c>
      <c r="M1470" s="53">
        <v>1.0511195860996003</v>
      </c>
      <c r="N1470" s="78">
        <v>30031.988174274298</v>
      </c>
    </row>
    <row r="1471" spans="1:14" ht="19.5" customHeight="1" outlineLevel="1" x14ac:dyDescent="0.2">
      <c r="A1471" s="101">
        <v>23</v>
      </c>
      <c r="B1471" s="81" t="s">
        <v>30</v>
      </c>
      <c r="C1471" s="84">
        <v>1.88</v>
      </c>
      <c r="D1471" s="53">
        <v>51.788737698762581</v>
      </c>
      <c r="E1471" s="78">
        <v>27547.20090359712</v>
      </c>
      <c r="F1471" s="84">
        <v>2.37</v>
      </c>
      <c r="G1471" s="53">
        <v>66.79806801742707</v>
      </c>
      <c r="H1471" s="78">
        <v>28184.838825918592</v>
      </c>
      <c r="I1471" s="84">
        <v>2.2799999999999998</v>
      </c>
      <c r="J1471" s="53">
        <v>69.174849789720568</v>
      </c>
      <c r="K1471" s="78">
        <v>30339.846399000249</v>
      </c>
      <c r="L1471" s="84">
        <v>2.1766666666666663</v>
      </c>
      <c r="M1471" s="53">
        <v>62.587218501970064</v>
      </c>
      <c r="N1471" s="78">
        <v>28753.699158638625</v>
      </c>
    </row>
    <row r="1472" spans="1:14" ht="19.5" customHeight="1" outlineLevel="1" x14ac:dyDescent="0.2">
      <c r="A1472" s="101">
        <v>24</v>
      </c>
      <c r="B1472" s="81" t="s">
        <v>31</v>
      </c>
      <c r="C1472" s="84">
        <v>7.13</v>
      </c>
      <c r="D1472" s="53">
        <v>196.41154244264749</v>
      </c>
      <c r="E1472" s="78">
        <v>27547.20090359712</v>
      </c>
      <c r="F1472" s="84">
        <v>6.89</v>
      </c>
      <c r="G1472" s="53">
        <v>194.19353951057909</v>
      </c>
      <c r="H1472" s="78">
        <v>28184.838825918592</v>
      </c>
      <c r="I1472" s="84">
        <v>3.92</v>
      </c>
      <c r="J1472" s="53">
        <v>118.93219788408098</v>
      </c>
      <c r="K1472" s="78">
        <v>30339.846399000249</v>
      </c>
      <c r="L1472" s="84">
        <v>5.9799999999999995</v>
      </c>
      <c r="M1472" s="53">
        <v>169.84575994576917</v>
      </c>
      <c r="N1472" s="78">
        <v>28402.300994275785</v>
      </c>
    </row>
    <row r="1473" spans="1:14" ht="19.5" customHeight="1" outlineLevel="1" x14ac:dyDescent="0.2">
      <c r="A1473" s="101">
        <v>25</v>
      </c>
      <c r="B1473" s="81" t="s">
        <v>32</v>
      </c>
      <c r="C1473" s="84">
        <v>1.99</v>
      </c>
      <c r="D1473" s="53">
        <v>54.818929798158273</v>
      </c>
      <c r="E1473" s="78">
        <v>27547.20090359712</v>
      </c>
      <c r="F1473" s="84">
        <v>0.47</v>
      </c>
      <c r="G1473" s="53">
        <v>13.246874248181737</v>
      </c>
      <c r="H1473" s="78">
        <v>28184.838825918592</v>
      </c>
      <c r="I1473" s="84">
        <v>0.75</v>
      </c>
      <c r="J1473" s="53">
        <v>22.754884799250188</v>
      </c>
      <c r="K1473" s="78">
        <v>30339.846399000249</v>
      </c>
      <c r="L1473" s="84">
        <v>1.07</v>
      </c>
      <c r="M1473" s="53">
        <v>30.273562948530067</v>
      </c>
      <c r="N1473" s="78">
        <v>28293.049484607538</v>
      </c>
    </row>
    <row r="1474" spans="1:14" ht="19.5" customHeight="1" outlineLevel="1" x14ac:dyDescent="0.2">
      <c r="A1474" s="101">
        <v>26</v>
      </c>
      <c r="B1474" s="81" t="s">
        <v>33</v>
      </c>
      <c r="C1474" s="84">
        <v>0</v>
      </c>
      <c r="D1474" s="53">
        <v>0</v>
      </c>
      <c r="E1474" s="78">
        <v>0</v>
      </c>
      <c r="F1474" s="84">
        <v>0</v>
      </c>
      <c r="G1474" s="53">
        <v>0</v>
      </c>
      <c r="H1474" s="78">
        <v>0</v>
      </c>
      <c r="I1474" s="84">
        <v>0</v>
      </c>
      <c r="J1474" s="53">
        <v>0</v>
      </c>
      <c r="K1474" s="78">
        <v>0</v>
      </c>
      <c r="L1474" s="84">
        <v>0</v>
      </c>
      <c r="M1474" s="53">
        <v>0</v>
      </c>
      <c r="N1474" s="78">
        <v>0</v>
      </c>
    </row>
    <row r="1475" spans="1:14" ht="19.5" customHeight="1" outlineLevel="1" x14ac:dyDescent="0.2">
      <c r="A1475" s="101">
        <v>27</v>
      </c>
      <c r="B1475" s="81" t="s">
        <v>34</v>
      </c>
      <c r="C1475" s="84">
        <v>0.02</v>
      </c>
      <c r="D1475" s="53">
        <v>0.55094401807194238</v>
      </c>
      <c r="E1475" s="78">
        <v>27547.20090359712</v>
      </c>
      <c r="F1475" s="84">
        <v>0</v>
      </c>
      <c r="G1475" s="53">
        <v>0</v>
      </c>
      <c r="H1475" s="78">
        <v>0</v>
      </c>
      <c r="I1475" s="84">
        <v>0</v>
      </c>
      <c r="J1475" s="53">
        <v>0</v>
      </c>
      <c r="K1475" s="78">
        <v>0</v>
      </c>
      <c r="L1475" s="84">
        <v>0.02</v>
      </c>
      <c r="M1475" s="53">
        <v>0.55094401807194238</v>
      </c>
      <c r="N1475" s="78">
        <v>27547.20090359712</v>
      </c>
    </row>
    <row r="1476" spans="1:14" ht="19.5" customHeight="1" outlineLevel="1" x14ac:dyDescent="0.2">
      <c r="A1476" s="101">
        <v>28</v>
      </c>
      <c r="B1476" s="81" t="s">
        <v>35</v>
      </c>
      <c r="C1476" s="84">
        <v>0.1</v>
      </c>
      <c r="D1476" s="53">
        <v>2.7547200903597124</v>
      </c>
      <c r="E1476" s="78">
        <v>27547.20090359712</v>
      </c>
      <c r="F1476" s="84">
        <v>0</v>
      </c>
      <c r="G1476" s="53">
        <v>0</v>
      </c>
      <c r="H1476" s="78">
        <v>0</v>
      </c>
      <c r="I1476" s="84">
        <v>0</v>
      </c>
      <c r="J1476" s="53">
        <v>0</v>
      </c>
      <c r="K1476" s="78">
        <v>0</v>
      </c>
      <c r="L1476" s="84">
        <v>0.1</v>
      </c>
      <c r="M1476" s="53">
        <v>2.7547200903597124</v>
      </c>
      <c r="N1476" s="78">
        <v>27547.20090359712</v>
      </c>
    </row>
    <row r="1477" spans="1:14" ht="19.5" customHeight="1" outlineLevel="1" x14ac:dyDescent="0.2">
      <c r="A1477" s="101">
        <v>29</v>
      </c>
      <c r="B1477" s="81" t="s">
        <v>36</v>
      </c>
      <c r="C1477" s="84">
        <v>5.1100000000000003</v>
      </c>
      <c r="D1477" s="53">
        <v>140.7661966173813</v>
      </c>
      <c r="E1477" s="78">
        <v>27547.20090359712</v>
      </c>
      <c r="F1477" s="84">
        <v>2.4700000000000002</v>
      </c>
      <c r="G1477" s="53">
        <v>69.616551900018919</v>
      </c>
      <c r="H1477" s="78">
        <v>28184.838825918592</v>
      </c>
      <c r="I1477" s="84">
        <v>2.31</v>
      </c>
      <c r="J1477" s="53">
        <v>70.085045181690589</v>
      </c>
      <c r="K1477" s="78">
        <v>30339.846399000249</v>
      </c>
      <c r="L1477" s="84">
        <v>3.2966666666666669</v>
      </c>
      <c r="M1477" s="53">
        <v>93.489264566363602</v>
      </c>
      <c r="N1477" s="78">
        <v>28358.72534874528</v>
      </c>
    </row>
    <row r="1478" spans="1:14" ht="19.5" customHeight="1" outlineLevel="1" x14ac:dyDescent="0.2">
      <c r="A1478" s="101">
        <v>30</v>
      </c>
      <c r="B1478" s="81" t="s">
        <v>37</v>
      </c>
      <c r="C1478" s="84">
        <v>1.42</v>
      </c>
      <c r="D1478" s="53">
        <v>39.117025283107914</v>
      </c>
      <c r="E1478" s="78">
        <v>27547.20090359712</v>
      </c>
      <c r="F1478" s="84">
        <v>6.64</v>
      </c>
      <c r="G1478" s="53">
        <v>187.14732980409946</v>
      </c>
      <c r="H1478" s="78">
        <v>28184.838825918592</v>
      </c>
      <c r="I1478" s="84">
        <v>7.48</v>
      </c>
      <c r="J1478" s="53">
        <v>226.94205106452188</v>
      </c>
      <c r="K1478" s="78">
        <v>30339.846399000249</v>
      </c>
      <c r="L1478" s="84">
        <v>5.18</v>
      </c>
      <c r="M1478" s="53">
        <v>151.06880205057641</v>
      </c>
      <c r="N1478" s="78">
        <v>29163.861399725174</v>
      </c>
    </row>
    <row r="1479" spans="1:14" ht="19.5" customHeight="1" outlineLevel="1" x14ac:dyDescent="0.2">
      <c r="A1479" s="101">
        <v>31</v>
      </c>
      <c r="B1479" s="81" t="s">
        <v>38</v>
      </c>
      <c r="C1479" s="84">
        <v>2.2599999999999998</v>
      </c>
      <c r="D1479" s="53">
        <v>62.25667404212949</v>
      </c>
      <c r="E1479" s="78">
        <v>27547.20090359712</v>
      </c>
      <c r="F1479" s="84">
        <v>0.75</v>
      </c>
      <c r="G1479" s="53">
        <v>21.138629119438946</v>
      </c>
      <c r="H1479" s="78">
        <v>28184.838825918592</v>
      </c>
      <c r="I1479" s="84">
        <v>0.79</v>
      </c>
      <c r="J1479" s="53">
        <v>23.968478655210198</v>
      </c>
      <c r="K1479" s="78">
        <v>30339.846399000249</v>
      </c>
      <c r="L1479" s="84">
        <v>1.2666666666666666</v>
      </c>
      <c r="M1479" s="53">
        <v>35.787927272259545</v>
      </c>
      <c r="N1479" s="78">
        <v>28253.626793889114</v>
      </c>
    </row>
    <row r="1480" spans="1:14" ht="19.5" customHeight="1" outlineLevel="1" x14ac:dyDescent="0.2">
      <c r="A1480" s="101">
        <v>32</v>
      </c>
      <c r="B1480" s="81" t="s">
        <v>39</v>
      </c>
      <c r="C1480" s="84">
        <v>2.99</v>
      </c>
      <c r="D1480" s="53">
        <v>82.366130701755395</v>
      </c>
      <c r="E1480" s="78">
        <v>27547.20090359712</v>
      </c>
      <c r="F1480" s="84">
        <v>2.9</v>
      </c>
      <c r="G1480" s="53">
        <v>81.736032595163906</v>
      </c>
      <c r="H1480" s="78">
        <v>28184.838825918592</v>
      </c>
      <c r="I1480" s="84">
        <v>2.7</v>
      </c>
      <c r="J1480" s="53">
        <v>81.917585277300674</v>
      </c>
      <c r="K1480" s="78">
        <v>30339.846399000249</v>
      </c>
      <c r="L1480" s="84">
        <v>2.8633333333333333</v>
      </c>
      <c r="M1480" s="53">
        <v>82.006582858073315</v>
      </c>
      <c r="N1480" s="78">
        <v>28640.25012505471</v>
      </c>
    </row>
    <row r="1481" spans="1:14" ht="19.5" customHeight="1" outlineLevel="1" thickBot="1" x14ac:dyDescent="0.25">
      <c r="A1481" s="102">
        <v>33</v>
      </c>
      <c r="B1481" s="91" t="s">
        <v>40</v>
      </c>
      <c r="C1481" s="92">
        <v>0.73</v>
      </c>
      <c r="D1481" s="93">
        <v>20.109456659625899</v>
      </c>
      <c r="E1481" s="94">
        <v>27547.20090359712</v>
      </c>
      <c r="F1481" s="92">
        <v>0.71</v>
      </c>
      <c r="G1481" s="93">
        <v>20.011235566402199</v>
      </c>
      <c r="H1481" s="94">
        <v>28184.838825918592</v>
      </c>
      <c r="I1481" s="92">
        <v>0.12</v>
      </c>
      <c r="J1481" s="93">
        <v>3.6407815678800297</v>
      </c>
      <c r="K1481" s="94">
        <v>30339.846399000249</v>
      </c>
      <c r="L1481" s="92">
        <v>0.52</v>
      </c>
      <c r="M1481" s="93">
        <v>14.587157931302707</v>
      </c>
      <c r="N1481" s="94">
        <v>28052.226790966743</v>
      </c>
    </row>
    <row r="1482" spans="1:14" ht="19.5" customHeight="1" thickBot="1" x14ac:dyDescent="0.25">
      <c r="A1482" s="151" t="s">
        <v>41</v>
      </c>
      <c r="B1482" s="152"/>
      <c r="C1482" s="96">
        <v>698.43999999999994</v>
      </c>
      <c r="D1482" s="97">
        <v>19240.066999108403</v>
      </c>
      <c r="E1482" s="98">
        <v>27547.200903597168</v>
      </c>
      <c r="F1482" s="96">
        <v>691.83</v>
      </c>
      <c r="G1482" s="97">
        <v>19499.117044935268</v>
      </c>
      <c r="H1482" s="98">
        <v>28184.838825918603</v>
      </c>
      <c r="I1482" s="96">
        <v>935.24999999999977</v>
      </c>
      <c r="J1482" s="97">
        <v>28375.341344664965</v>
      </c>
      <c r="K1482" s="98">
        <v>30339.846399000238</v>
      </c>
      <c r="L1482" s="96">
        <v>775.17333333333318</v>
      </c>
      <c r="M1482" s="97">
        <v>22371.508462902875</v>
      </c>
      <c r="N1482" s="98">
        <v>28860.007821351195</v>
      </c>
    </row>
    <row r="1483" spans="1:14" ht="34.5" customHeight="1" x14ac:dyDescent="0.2">
      <c r="A1483" s="153" t="s">
        <v>247</v>
      </c>
      <c r="B1483" s="154"/>
      <c r="C1483" s="154"/>
      <c r="D1483" s="154"/>
      <c r="E1483" s="154"/>
      <c r="F1483" s="154"/>
      <c r="G1483" s="154"/>
      <c r="H1483" s="154"/>
      <c r="I1483" s="154"/>
      <c r="J1483" s="154"/>
      <c r="K1483" s="154"/>
      <c r="L1483" s="154"/>
      <c r="M1483" s="154"/>
      <c r="N1483" s="154"/>
    </row>
    <row r="1484" spans="1:14" ht="19.5" customHeight="1" thickBot="1" x14ac:dyDescent="0.25">
      <c r="A1484" s="50"/>
      <c r="B1484" s="138" t="s">
        <v>81</v>
      </c>
      <c r="C1484" s="52"/>
      <c r="D1484" s="52"/>
      <c r="E1484" s="52"/>
      <c r="F1484" s="52"/>
      <c r="G1484" s="52"/>
      <c r="H1484" s="52"/>
      <c r="I1484" s="52"/>
      <c r="J1484" s="52"/>
      <c r="K1484" s="155" t="s">
        <v>1</v>
      </c>
      <c r="L1484" s="154"/>
      <c r="M1484" s="154"/>
      <c r="N1484" s="154"/>
    </row>
    <row r="1485" spans="1:14" ht="19.5" customHeight="1" x14ac:dyDescent="0.2">
      <c r="A1485" s="156" t="s">
        <v>2</v>
      </c>
      <c r="B1485" s="158" t="s">
        <v>3</v>
      </c>
      <c r="C1485" s="148" t="s">
        <v>243</v>
      </c>
      <c r="D1485" s="149"/>
      <c r="E1485" s="150"/>
      <c r="F1485" s="148" t="s">
        <v>244</v>
      </c>
      <c r="G1485" s="149"/>
      <c r="H1485" s="150"/>
      <c r="I1485" s="148" t="s">
        <v>246</v>
      </c>
      <c r="J1485" s="149"/>
      <c r="K1485" s="150"/>
      <c r="L1485" s="148" t="s">
        <v>4</v>
      </c>
      <c r="M1485" s="149"/>
      <c r="N1485" s="150"/>
    </row>
    <row r="1486" spans="1:14" ht="19.5" customHeight="1" thickBot="1" x14ac:dyDescent="0.25">
      <c r="A1486" s="157"/>
      <c r="B1486" s="159"/>
      <c r="C1486" s="85" t="s">
        <v>5</v>
      </c>
      <c r="D1486" s="79" t="s">
        <v>6</v>
      </c>
      <c r="E1486" s="80" t="s">
        <v>7</v>
      </c>
      <c r="F1486" s="85" t="s">
        <v>5</v>
      </c>
      <c r="G1486" s="79" t="s">
        <v>6</v>
      </c>
      <c r="H1486" s="80" t="s">
        <v>7</v>
      </c>
      <c r="I1486" s="85" t="s">
        <v>5</v>
      </c>
      <c r="J1486" s="79" t="s">
        <v>6</v>
      </c>
      <c r="K1486" s="80" t="s">
        <v>7</v>
      </c>
      <c r="L1486" s="85" t="s">
        <v>5</v>
      </c>
      <c r="M1486" s="79" t="s">
        <v>6</v>
      </c>
      <c r="N1486" s="80" t="s">
        <v>7</v>
      </c>
    </row>
    <row r="1487" spans="1:14" ht="19.5" customHeight="1" outlineLevel="1" x14ac:dyDescent="0.2">
      <c r="A1487" s="100">
        <v>1</v>
      </c>
      <c r="B1487" s="86" t="s">
        <v>8</v>
      </c>
      <c r="C1487" s="87">
        <v>0.45</v>
      </c>
      <c r="D1487" s="88">
        <v>3.1400944060832874</v>
      </c>
      <c r="E1487" s="89">
        <v>6977.9875690739718</v>
      </c>
      <c r="F1487" s="87">
        <v>0.3</v>
      </c>
      <c r="G1487" s="88">
        <v>2.0003677260340669</v>
      </c>
      <c r="H1487" s="89">
        <v>6667.8924201135569</v>
      </c>
      <c r="I1487" s="87">
        <v>0.25</v>
      </c>
      <c r="J1487" s="88">
        <v>1.9244782599021037</v>
      </c>
      <c r="K1487" s="89">
        <v>7697.9130396084147</v>
      </c>
      <c r="L1487" s="87">
        <v>0.33333333333333331</v>
      </c>
      <c r="M1487" s="88">
        <v>2.354980130673153</v>
      </c>
      <c r="N1487" s="89">
        <v>7064.9403920194591</v>
      </c>
    </row>
    <row r="1488" spans="1:14" ht="19.5" customHeight="1" outlineLevel="1" x14ac:dyDescent="0.2">
      <c r="A1488" s="101">
        <v>2</v>
      </c>
      <c r="B1488" s="81" t="s">
        <v>9</v>
      </c>
      <c r="C1488" s="84">
        <v>0.43</v>
      </c>
      <c r="D1488" s="53">
        <v>3.0005346547018079</v>
      </c>
      <c r="E1488" s="78">
        <v>6977.9875690739718</v>
      </c>
      <c r="F1488" s="84">
        <v>0.04</v>
      </c>
      <c r="G1488" s="53">
        <v>0.26671569680454227</v>
      </c>
      <c r="H1488" s="78">
        <v>6667.8924201135569</v>
      </c>
      <c r="I1488" s="84">
        <v>0.04</v>
      </c>
      <c r="J1488" s="53">
        <v>0.30791652158433658</v>
      </c>
      <c r="K1488" s="78">
        <v>7697.9130396084147</v>
      </c>
      <c r="L1488" s="84">
        <v>0.17</v>
      </c>
      <c r="M1488" s="53">
        <v>1.191722291030229</v>
      </c>
      <c r="N1488" s="78">
        <v>7010.1311237072287</v>
      </c>
    </row>
    <row r="1489" spans="1:14" ht="19.5" customHeight="1" outlineLevel="1" x14ac:dyDescent="0.2">
      <c r="A1489" s="101">
        <v>3</v>
      </c>
      <c r="B1489" s="81" t="s">
        <v>10</v>
      </c>
      <c r="C1489" s="84">
        <v>0.45</v>
      </c>
      <c r="D1489" s="53">
        <v>3.1400944060832874</v>
      </c>
      <c r="E1489" s="78">
        <v>6977.9875690739718</v>
      </c>
      <c r="F1489" s="84">
        <v>0.45</v>
      </c>
      <c r="G1489" s="53">
        <v>3.0005515890511005</v>
      </c>
      <c r="H1489" s="78">
        <v>6667.8924201135569</v>
      </c>
      <c r="I1489" s="84">
        <v>0.4</v>
      </c>
      <c r="J1489" s="53">
        <v>3.0791652158433664</v>
      </c>
      <c r="K1489" s="78">
        <v>7697.9130396084147</v>
      </c>
      <c r="L1489" s="84">
        <v>0.43333333333333335</v>
      </c>
      <c r="M1489" s="53">
        <v>3.0732704036592513</v>
      </c>
      <c r="N1489" s="78">
        <v>7092.1624699828872</v>
      </c>
    </row>
    <row r="1490" spans="1:14" ht="19.5" customHeight="1" outlineLevel="1" x14ac:dyDescent="0.2">
      <c r="A1490" s="101">
        <v>4</v>
      </c>
      <c r="B1490" s="81" t="s">
        <v>11</v>
      </c>
      <c r="C1490" s="84">
        <v>1.21</v>
      </c>
      <c r="D1490" s="53">
        <v>8.4433649585795063</v>
      </c>
      <c r="E1490" s="78">
        <v>6977.9875690739718</v>
      </c>
      <c r="F1490" s="84">
        <v>1.06</v>
      </c>
      <c r="G1490" s="53">
        <v>7.0679659653203704</v>
      </c>
      <c r="H1490" s="78">
        <v>6667.8924201135569</v>
      </c>
      <c r="I1490" s="84">
        <v>3.78</v>
      </c>
      <c r="J1490" s="53">
        <v>29.098111289719807</v>
      </c>
      <c r="K1490" s="78">
        <v>7697.9130396084147</v>
      </c>
      <c r="L1490" s="84">
        <v>2.0166666666666666</v>
      </c>
      <c r="M1490" s="53">
        <v>14.869814071206562</v>
      </c>
      <c r="N1490" s="78">
        <v>7373.4615229123447</v>
      </c>
    </row>
    <row r="1491" spans="1:14" ht="19.5" customHeight="1" outlineLevel="1" x14ac:dyDescent="0.2">
      <c r="A1491" s="101">
        <v>5</v>
      </c>
      <c r="B1491" s="81" t="s">
        <v>12</v>
      </c>
      <c r="C1491" s="84">
        <v>0.38</v>
      </c>
      <c r="D1491" s="53">
        <v>2.651635276248109</v>
      </c>
      <c r="E1491" s="78">
        <v>6977.9875690739718</v>
      </c>
      <c r="F1491" s="84">
        <v>0.59</v>
      </c>
      <c r="G1491" s="53">
        <v>3.9340565278669981</v>
      </c>
      <c r="H1491" s="78">
        <v>6667.8924201135569</v>
      </c>
      <c r="I1491" s="84">
        <v>0.9</v>
      </c>
      <c r="J1491" s="53">
        <v>6.9281217356475739</v>
      </c>
      <c r="K1491" s="78">
        <v>7697.9130396084147</v>
      </c>
      <c r="L1491" s="84">
        <v>0.62333333333333341</v>
      </c>
      <c r="M1491" s="53">
        <v>4.5046045132542272</v>
      </c>
      <c r="N1491" s="78">
        <v>7226.6382565575823</v>
      </c>
    </row>
    <row r="1492" spans="1:14" ht="19.5" customHeight="1" outlineLevel="1" x14ac:dyDescent="0.2">
      <c r="A1492" s="101">
        <v>6</v>
      </c>
      <c r="B1492" s="81" t="s">
        <v>13</v>
      </c>
      <c r="C1492" s="84">
        <v>0.06</v>
      </c>
      <c r="D1492" s="53">
        <v>0.4186792541444383</v>
      </c>
      <c r="E1492" s="78">
        <v>6977.9875690739718</v>
      </c>
      <c r="F1492" s="84">
        <v>0</v>
      </c>
      <c r="G1492" s="53">
        <v>0</v>
      </c>
      <c r="H1492" s="78">
        <v>0</v>
      </c>
      <c r="I1492" s="84">
        <v>0</v>
      </c>
      <c r="J1492" s="53">
        <v>0</v>
      </c>
      <c r="K1492" s="78">
        <v>0</v>
      </c>
      <c r="L1492" s="84">
        <v>0.06</v>
      </c>
      <c r="M1492" s="53">
        <v>0.4186792541444383</v>
      </c>
      <c r="N1492" s="78">
        <v>6977.9875690739718</v>
      </c>
    </row>
    <row r="1493" spans="1:14" ht="19.5" customHeight="1" outlineLevel="1" x14ac:dyDescent="0.2">
      <c r="A1493" s="101">
        <v>7</v>
      </c>
      <c r="B1493" s="81" t="s">
        <v>14</v>
      </c>
      <c r="C1493" s="84">
        <v>0</v>
      </c>
      <c r="D1493" s="53">
        <v>0</v>
      </c>
      <c r="E1493" s="78">
        <v>0</v>
      </c>
      <c r="F1493" s="84">
        <v>0</v>
      </c>
      <c r="G1493" s="53">
        <v>0</v>
      </c>
      <c r="H1493" s="78">
        <v>0</v>
      </c>
      <c r="I1493" s="84">
        <v>0</v>
      </c>
      <c r="J1493" s="53">
        <v>0</v>
      </c>
      <c r="K1493" s="78">
        <v>0</v>
      </c>
      <c r="L1493" s="84">
        <v>0</v>
      </c>
      <c r="M1493" s="53">
        <v>0</v>
      </c>
      <c r="N1493" s="78">
        <v>0</v>
      </c>
    </row>
    <row r="1494" spans="1:14" ht="19.5" customHeight="1" outlineLevel="1" x14ac:dyDescent="0.2">
      <c r="A1494" s="101">
        <v>8</v>
      </c>
      <c r="B1494" s="81" t="s">
        <v>15</v>
      </c>
      <c r="C1494" s="84">
        <v>0</v>
      </c>
      <c r="D1494" s="53">
        <v>0</v>
      </c>
      <c r="E1494" s="78">
        <v>0</v>
      </c>
      <c r="F1494" s="84">
        <v>0.1</v>
      </c>
      <c r="G1494" s="53">
        <v>0.66678924201135581</v>
      </c>
      <c r="H1494" s="78">
        <v>6667.8924201135569</v>
      </c>
      <c r="I1494" s="84">
        <v>1.49</v>
      </c>
      <c r="J1494" s="53">
        <v>11.469890429016537</v>
      </c>
      <c r="K1494" s="78">
        <v>7697.9130396084147</v>
      </c>
      <c r="L1494" s="84">
        <v>0.79500000000000004</v>
      </c>
      <c r="M1494" s="53">
        <v>6.0683398355139468</v>
      </c>
      <c r="N1494" s="78">
        <v>7633.1318685710021</v>
      </c>
    </row>
    <row r="1495" spans="1:14" ht="19.5" customHeight="1" outlineLevel="1" x14ac:dyDescent="0.2">
      <c r="A1495" s="101">
        <v>9</v>
      </c>
      <c r="B1495" s="81" t="s">
        <v>16</v>
      </c>
      <c r="C1495" s="84">
        <v>1.0900000000000001</v>
      </c>
      <c r="D1495" s="53">
        <v>9.0936520000000023</v>
      </c>
      <c r="E1495" s="78">
        <v>8342.8000000000011</v>
      </c>
      <c r="F1495" s="84">
        <v>0.7</v>
      </c>
      <c r="G1495" s="53">
        <v>4.6675246940794892</v>
      </c>
      <c r="H1495" s="78">
        <v>6667.8924201135569</v>
      </c>
      <c r="I1495" s="84">
        <v>1.29</v>
      </c>
      <c r="J1495" s="53">
        <v>9.9303078210948552</v>
      </c>
      <c r="K1495" s="78">
        <v>7697.9130396084147</v>
      </c>
      <c r="L1495" s="84">
        <v>1.0266666666666666</v>
      </c>
      <c r="M1495" s="53">
        <v>7.897161505058115</v>
      </c>
      <c r="N1495" s="78">
        <v>7692.0404270046574</v>
      </c>
    </row>
    <row r="1496" spans="1:14" ht="19.5" customHeight="1" outlineLevel="1" x14ac:dyDescent="0.2">
      <c r="A1496" s="101">
        <v>10</v>
      </c>
      <c r="B1496" s="81" t="s">
        <v>17</v>
      </c>
      <c r="C1496" s="84">
        <v>19.649999999999999</v>
      </c>
      <c r="D1496" s="53">
        <v>129.72030609836065</v>
      </c>
      <c r="E1496" s="78">
        <v>6601.5422950819666</v>
      </c>
      <c r="F1496" s="84">
        <v>14.75</v>
      </c>
      <c r="G1496" s="53">
        <v>128.72344344262297</v>
      </c>
      <c r="H1496" s="78">
        <v>8727.0131147540997</v>
      </c>
      <c r="I1496" s="84">
        <v>28.53</v>
      </c>
      <c r="J1496" s="53">
        <v>254.02666653658534</v>
      </c>
      <c r="K1496" s="78">
        <v>8903.8439024390227</v>
      </c>
      <c r="L1496" s="84">
        <v>20.976666666666667</v>
      </c>
      <c r="M1496" s="53">
        <v>170.82347202585632</v>
      </c>
      <c r="N1496" s="78">
        <v>8143.4993814964082</v>
      </c>
    </row>
    <row r="1497" spans="1:14" ht="19.5" customHeight="1" outlineLevel="1" x14ac:dyDescent="0.2">
      <c r="A1497" s="101">
        <v>11</v>
      </c>
      <c r="B1497" s="81" t="s">
        <v>18</v>
      </c>
      <c r="C1497" s="84">
        <v>71.59</v>
      </c>
      <c r="D1497" s="53">
        <v>492.66296117869291</v>
      </c>
      <c r="E1497" s="78">
        <v>6881.7287495277678</v>
      </c>
      <c r="F1497" s="84">
        <v>69.180000000000007</v>
      </c>
      <c r="G1497" s="53">
        <v>469.17265234619396</v>
      </c>
      <c r="H1497" s="78">
        <v>6781.9117135905453</v>
      </c>
      <c r="I1497" s="84">
        <v>49</v>
      </c>
      <c r="J1497" s="53">
        <v>387.11718730964463</v>
      </c>
      <c r="K1497" s="78">
        <v>7900.3507614213195</v>
      </c>
      <c r="L1497" s="84">
        <v>63.256666666666668</v>
      </c>
      <c r="M1497" s="53">
        <v>449.65093361151048</v>
      </c>
      <c r="N1497" s="78">
        <v>7108.3564358672684</v>
      </c>
    </row>
    <row r="1498" spans="1:14" ht="19.5" customHeight="1" outlineLevel="1" x14ac:dyDescent="0.2">
      <c r="A1498" s="101">
        <v>12</v>
      </c>
      <c r="B1498" s="81" t="s">
        <v>19</v>
      </c>
      <c r="C1498" s="84">
        <v>9.3800000000000008</v>
      </c>
      <c r="D1498" s="53">
        <v>65.45352339791387</v>
      </c>
      <c r="E1498" s="78">
        <v>6977.9875690739718</v>
      </c>
      <c r="F1498" s="84">
        <v>8.51</v>
      </c>
      <c r="G1498" s="53">
        <v>56.743764495166367</v>
      </c>
      <c r="H1498" s="78">
        <v>6667.8924201135569</v>
      </c>
      <c r="I1498" s="84">
        <v>9.06</v>
      </c>
      <c r="J1498" s="53">
        <v>69.743092138852234</v>
      </c>
      <c r="K1498" s="78">
        <v>7697.9130396084147</v>
      </c>
      <c r="L1498" s="84">
        <v>8.9833333333333343</v>
      </c>
      <c r="M1498" s="53">
        <v>63.980126677310828</v>
      </c>
      <c r="N1498" s="78">
        <v>7122.0920234483292</v>
      </c>
    </row>
    <row r="1499" spans="1:14" ht="19.5" customHeight="1" outlineLevel="1" x14ac:dyDescent="0.2">
      <c r="A1499" s="101">
        <v>13</v>
      </c>
      <c r="B1499" s="81" t="s">
        <v>20</v>
      </c>
      <c r="C1499" s="84">
        <v>0</v>
      </c>
      <c r="D1499" s="53">
        <v>0</v>
      </c>
      <c r="E1499" s="78">
        <v>0</v>
      </c>
      <c r="F1499" s="84">
        <v>0</v>
      </c>
      <c r="G1499" s="53">
        <v>0</v>
      </c>
      <c r="H1499" s="78">
        <v>0</v>
      </c>
      <c r="I1499" s="84">
        <v>0</v>
      </c>
      <c r="J1499" s="53">
        <v>0</v>
      </c>
      <c r="K1499" s="78">
        <v>0</v>
      </c>
      <c r="L1499" s="84">
        <v>0</v>
      </c>
      <c r="M1499" s="53">
        <v>0</v>
      </c>
      <c r="N1499" s="78">
        <v>0</v>
      </c>
    </row>
    <row r="1500" spans="1:14" ht="19.5" customHeight="1" outlineLevel="1" x14ac:dyDescent="0.2">
      <c r="A1500" s="101">
        <v>14</v>
      </c>
      <c r="B1500" s="81" t="s">
        <v>21</v>
      </c>
      <c r="C1500" s="84">
        <v>0.6</v>
      </c>
      <c r="D1500" s="53">
        <v>4.1867925414443823</v>
      </c>
      <c r="E1500" s="78">
        <v>6977.9875690739718</v>
      </c>
      <c r="F1500" s="84">
        <v>0.3</v>
      </c>
      <c r="G1500" s="53">
        <v>2.0003677260340669</v>
      </c>
      <c r="H1500" s="78">
        <v>6667.8924201135569</v>
      </c>
      <c r="I1500" s="84">
        <v>0.3</v>
      </c>
      <c r="J1500" s="53">
        <v>2.3093739118825241</v>
      </c>
      <c r="K1500" s="78">
        <v>7697.9130396084147</v>
      </c>
      <c r="L1500" s="84">
        <v>0.39999999999999997</v>
      </c>
      <c r="M1500" s="53">
        <v>2.8321780597869908</v>
      </c>
      <c r="N1500" s="78">
        <v>7080.4451494674768</v>
      </c>
    </row>
    <row r="1501" spans="1:14" ht="19.5" customHeight="1" outlineLevel="1" x14ac:dyDescent="0.2">
      <c r="A1501" s="101">
        <v>15</v>
      </c>
      <c r="B1501" s="81" t="s">
        <v>22</v>
      </c>
      <c r="C1501" s="84">
        <v>38.369999999999997</v>
      </c>
      <c r="D1501" s="53">
        <v>274.99779000000001</v>
      </c>
      <c r="E1501" s="78">
        <v>7167.0000000000009</v>
      </c>
      <c r="F1501" s="84">
        <v>16.3</v>
      </c>
      <c r="G1501" s="53">
        <v>81.930319999999995</v>
      </c>
      <c r="H1501" s="78">
        <v>5026.3999999999996</v>
      </c>
      <c r="I1501" s="84">
        <v>14.74</v>
      </c>
      <c r="J1501" s="53">
        <v>85.675254054054051</v>
      </c>
      <c r="K1501" s="78">
        <v>5812.4324324324325</v>
      </c>
      <c r="L1501" s="84">
        <v>23.136666666666667</v>
      </c>
      <c r="M1501" s="53">
        <v>147.53445468468468</v>
      </c>
      <c r="N1501" s="78">
        <v>6376.6512614040339</v>
      </c>
    </row>
    <row r="1502" spans="1:14" ht="19.5" customHeight="1" outlineLevel="1" x14ac:dyDescent="0.2">
      <c r="A1502" s="101">
        <v>16</v>
      </c>
      <c r="B1502" s="81" t="s">
        <v>23</v>
      </c>
      <c r="C1502" s="84">
        <v>8.59</v>
      </c>
      <c r="D1502" s="53">
        <v>65.576059999999998</v>
      </c>
      <c r="E1502" s="78">
        <v>7634</v>
      </c>
      <c r="F1502" s="84">
        <v>7.06</v>
      </c>
      <c r="G1502" s="53">
        <v>58.730728000000006</v>
      </c>
      <c r="H1502" s="78">
        <v>8318.8000000000011</v>
      </c>
      <c r="I1502" s="84">
        <v>3.75</v>
      </c>
      <c r="J1502" s="53">
        <v>29.46</v>
      </c>
      <c r="K1502" s="78">
        <v>7856</v>
      </c>
      <c r="L1502" s="84">
        <v>6.4666666666666659</v>
      </c>
      <c r="M1502" s="53">
        <v>51.255596000000004</v>
      </c>
      <c r="N1502" s="78">
        <v>7926.1230927835068</v>
      </c>
    </row>
    <row r="1503" spans="1:14" ht="19.5" customHeight="1" outlineLevel="1" x14ac:dyDescent="0.2">
      <c r="A1503" s="101">
        <v>17</v>
      </c>
      <c r="B1503" s="81" t="s">
        <v>24</v>
      </c>
      <c r="C1503" s="84">
        <v>43.32</v>
      </c>
      <c r="D1503" s="53">
        <v>302.19954071154399</v>
      </c>
      <c r="E1503" s="78">
        <v>6975.9820108851336</v>
      </c>
      <c r="F1503" s="84">
        <v>38.4</v>
      </c>
      <c r="G1503" s="53">
        <v>232.88810289752655</v>
      </c>
      <c r="H1503" s="78">
        <v>6064.7943462897538</v>
      </c>
      <c r="I1503" s="84">
        <v>15.19</v>
      </c>
      <c r="J1503" s="53">
        <v>99.80580123456788</v>
      </c>
      <c r="K1503" s="78">
        <v>6570.4938271604933</v>
      </c>
      <c r="L1503" s="84">
        <v>32.303333333333335</v>
      </c>
      <c r="M1503" s="53">
        <v>211.63114828121277</v>
      </c>
      <c r="N1503" s="78">
        <v>6551.3718382379357</v>
      </c>
    </row>
    <row r="1504" spans="1:14" ht="19.5" customHeight="1" outlineLevel="1" x14ac:dyDescent="0.2">
      <c r="A1504" s="101">
        <v>18</v>
      </c>
      <c r="B1504" s="81" t="s">
        <v>25</v>
      </c>
      <c r="C1504" s="84">
        <v>5.55</v>
      </c>
      <c r="D1504" s="53">
        <v>38.727831008360539</v>
      </c>
      <c r="E1504" s="78">
        <v>6977.9875690739718</v>
      </c>
      <c r="F1504" s="84">
        <v>3.64</v>
      </c>
      <c r="G1504" s="53">
        <v>24.271128409213347</v>
      </c>
      <c r="H1504" s="78">
        <v>6667.8924201135569</v>
      </c>
      <c r="I1504" s="84">
        <v>5.01</v>
      </c>
      <c r="J1504" s="53">
        <v>38.566544328438155</v>
      </c>
      <c r="K1504" s="78">
        <v>7697.9130396084147</v>
      </c>
      <c r="L1504" s="84">
        <v>4.7333333333333334</v>
      </c>
      <c r="M1504" s="53">
        <v>33.855167915337347</v>
      </c>
      <c r="N1504" s="78">
        <v>7152.5002638036649</v>
      </c>
    </row>
    <row r="1505" spans="1:14" ht="19.5" customHeight="1" outlineLevel="1" x14ac:dyDescent="0.2">
      <c r="A1505" s="101">
        <v>19</v>
      </c>
      <c r="B1505" s="81" t="s">
        <v>26</v>
      </c>
      <c r="C1505" s="84">
        <v>1.4</v>
      </c>
      <c r="D1505" s="53">
        <v>9.7691825967035602</v>
      </c>
      <c r="E1505" s="78">
        <v>6977.9875690739718</v>
      </c>
      <c r="F1505" s="84">
        <v>2.61</v>
      </c>
      <c r="G1505" s="53">
        <v>17.403199216496382</v>
      </c>
      <c r="H1505" s="78">
        <v>6667.8924201135569</v>
      </c>
      <c r="I1505" s="84">
        <v>1.49</v>
      </c>
      <c r="J1505" s="53">
        <v>11.469890429016537</v>
      </c>
      <c r="K1505" s="78">
        <v>7697.9130396084147</v>
      </c>
      <c r="L1505" s="84">
        <v>1.8333333333333333</v>
      </c>
      <c r="M1505" s="53">
        <v>12.880757414072159</v>
      </c>
      <c r="N1505" s="78">
        <v>7025.8676804029965</v>
      </c>
    </row>
    <row r="1506" spans="1:14" ht="19.5" customHeight="1" outlineLevel="1" x14ac:dyDescent="0.2">
      <c r="A1506" s="101">
        <v>20</v>
      </c>
      <c r="B1506" s="81" t="s">
        <v>27</v>
      </c>
      <c r="C1506" s="84">
        <v>0</v>
      </c>
      <c r="D1506" s="53">
        <v>0</v>
      </c>
      <c r="E1506" s="78">
        <v>0</v>
      </c>
      <c r="F1506" s="84">
        <v>0</v>
      </c>
      <c r="G1506" s="53">
        <v>0</v>
      </c>
      <c r="H1506" s="78">
        <v>0</v>
      </c>
      <c r="I1506" s="84">
        <v>0</v>
      </c>
      <c r="J1506" s="53">
        <v>0</v>
      </c>
      <c r="K1506" s="78">
        <v>0</v>
      </c>
      <c r="L1506" s="84">
        <v>0</v>
      </c>
      <c r="M1506" s="53">
        <v>0</v>
      </c>
      <c r="N1506" s="78">
        <v>0</v>
      </c>
    </row>
    <row r="1507" spans="1:14" ht="19.5" customHeight="1" outlineLevel="1" x14ac:dyDescent="0.2">
      <c r="A1507" s="101">
        <v>21</v>
      </c>
      <c r="B1507" s="81" t="s">
        <v>28</v>
      </c>
      <c r="C1507" s="84">
        <v>0.77</v>
      </c>
      <c r="D1507" s="53">
        <v>5.373050428186958</v>
      </c>
      <c r="E1507" s="78">
        <v>6977.9875690739718</v>
      </c>
      <c r="F1507" s="84">
        <v>0.85</v>
      </c>
      <c r="G1507" s="53">
        <v>5.6677085570965229</v>
      </c>
      <c r="H1507" s="78">
        <v>6667.8924201135569</v>
      </c>
      <c r="I1507" s="84">
        <v>0.77</v>
      </c>
      <c r="J1507" s="53">
        <v>5.9273930404984796</v>
      </c>
      <c r="K1507" s="78">
        <v>7697.9130396084147</v>
      </c>
      <c r="L1507" s="84">
        <v>0.79666666666666675</v>
      </c>
      <c r="M1507" s="53">
        <v>5.6560506752606541</v>
      </c>
      <c r="N1507" s="78">
        <v>7099.6451990719506</v>
      </c>
    </row>
    <row r="1508" spans="1:14" ht="19.5" customHeight="1" outlineLevel="1" x14ac:dyDescent="0.2">
      <c r="A1508" s="101">
        <v>22</v>
      </c>
      <c r="B1508" s="81" t="s">
        <v>29</v>
      </c>
      <c r="C1508" s="84">
        <v>0.03</v>
      </c>
      <c r="D1508" s="53">
        <v>0.20933962707221915</v>
      </c>
      <c r="E1508" s="78">
        <v>6977.9875690739718</v>
      </c>
      <c r="F1508" s="84">
        <v>0.02</v>
      </c>
      <c r="G1508" s="53">
        <v>0.13335784840227113</v>
      </c>
      <c r="H1508" s="78">
        <v>6667.8924201135569</v>
      </c>
      <c r="I1508" s="84">
        <v>0.02</v>
      </c>
      <c r="J1508" s="53">
        <v>0.15395826079216829</v>
      </c>
      <c r="K1508" s="78">
        <v>7697.9130396084147</v>
      </c>
      <c r="L1508" s="84">
        <v>2.3333333333333334E-2</v>
      </c>
      <c r="M1508" s="53">
        <v>0.16555191208888617</v>
      </c>
      <c r="N1508" s="78">
        <v>7095.0819466665507</v>
      </c>
    </row>
    <row r="1509" spans="1:14" ht="19.5" customHeight="1" outlineLevel="1" x14ac:dyDescent="0.2">
      <c r="A1509" s="101">
        <v>23</v>
      </c>
      <c r="B1509" s="81" t="s">
        <v>30</v>
      </c>
      <c r="C1509" s="84">
        <v>3.49</v>
      </c>
      <c r="D1509" s="53">
        <v>24.353176616068161</v>
      </c>
      <c r="E1509" s="78">
        <v>6977.9875690739718</v>
      </c>
      <c r="F1509" s="84">
        <v>3.47</v>
      </c>
      <c r="G1509" s="53">
        <v>23.137586697794042</v>
      </c>
      <c r="H1509" s="78">
        <v>6667.8924201135569</v>
      </c>
      <c r="I1509" s="84">
        <v>3.5</v>
      </c>
      <c r="J1509" s="53">
        <v>26.942695638629452</v>
      </c>
      <c r="K1509" s="78">
        <v>7697.9130396084147</v>
      </c>
      <c r="L1509" s="84">
        <v>3.4866666666666668</v>
      </c>
      <c r="M1509" s="53">
        <v>24.811152984163886</v>
      </c>
      <c r="N1509" s="78">
        <v>7116.0094600852444</v>
      </c>
    </row>
    <row r="1510" spans="1:14" ht="19.5" customHeight="1" outlineLevel="1" x14ac:dyDescent="0.2">
      <c r="A1510" s="101">
        <v>24</v>
      </c>
      <c r="B1510" s="81" t="s">
        <v>31</v>
      </c>
      <c r="C1510" s="84">
        <v>2.67</v>
      </c>
      <c r="D1510" s="53">
        <v>18.631226809427506</v>
      </c>
      <c r="E1510" s="78">
        <v>6977.9875690739718</v>
      </c>
      <c r="F1510" s="84">
        <v>2.67</v>
      </c>
      <c r="G1510" s="53">
        <v>17.803272761703195</v>
      </c>
      <c r="H1510" s="78">
        <v>6667.8924201135569</v>
      </c>
      <c r="I1510" s="84">
        <v>1.59</v>
      </c>
      <c r="J1510" s="53">
        <v>12.239681732977381</v>
      </c>
      <c r="K1510" s="78">
        <v>7697.9130396084147</v>
      </c>
      <c r="L1510" s="84">
        <v>2.31</v>
      </c>
      <c r="M1510" s="53">
        <v>16.224727101369361</v>
      </c>
      <c r="N1510" s="78">
        <v>7023.6913858741818</v>
      </c>
    </row>
    <row r="1511" spans="1:14" ht="19.5" customHeight="1" outlineLevel="1" x14ac:dyDescent="0.2">
      <c r="A1511" s="101">
        <v>25</v>
      </c>
      <c r="B1511" s="81" t="s">
        <v>32</v>
      </c>
      <c r="C1511" s="84">
        <v>0.44</v>
      </c>
      <c r="D1511" s="53">
        <v>3.0703145303925474</v>
      </c>
      <c r="E1511" s="78">
        <v>6977.9875690739718</v>
      </c>
      <c r="F1511" s="84">
        <v>0.05</v>
      </c>
      <c r="G1511" s="53">
        <v>0.3333946210056779</v>
      </c>
      <c r="H1511" s="78">
        <v>6667.8924201135569</v>
      </c>
      <c r="I1511" s="84">
        <v>0.02</v>
      </c>
      <c r="J1511" s="53">
        <v>0.15395826079216829</v>
      </c>
      <c r="K1511" s="78">
        <v>7697.9130396084147</v>
      </c>
      <c r="L1511" s="84">
        <v>0.17</v>
      </c>
      <c r="M1511" s="53">
        <v>1.1858891373967977</v>
      </c>
      <c r="N1511" s="78">
        <v>6975.81845527528</v>
      </c>
    </row>
    <row r="1512" spans="1:14" ht="19.5" customHeight="1" outlineLevel="1" x14ac:dyDescent="0.2">
      <c r="A1512" s="101">
        <v>26</v>
      </c>
      <c r="B1512" s="81" t="s">
        <v>33</v>
      </c>
      <c r="C1512" s="84">
        <v>0</v>
      </c>
      <c r="D1512" s="53">
        <v>0</v>
      </c>
      <c r="E1512" s="78">
        <v>0</v>
      </c>
      <c r="F1512" s="84">
        <v>0</v>
      </c>
      <c r="G1512" s="53">
        <v>0</v>
      </c>
      <c r="H1512" s="78">
        <v>0</v>
      </c>
      <c r="I1512" s="84">
        <v>0</v>
      </c>
      <c r="J1512" s="53">
        <v>0</v>
      </c>
      <c r="K1512" s="78">
        <v>0</v>
      </c>
      <c r="L1512" s="84">
        <v>0</v>
      </c>
      <c r="M1512" s="53">
        <v>0</v>
      </c>
      <c r="N1512" s="78">
        <v>0</v>
      </c>
    </row>
    <row r="1513" spans="1:14" ht="19.5" customHeight="1" outlineLevel="1" x14ac:dyDescent="0.2">
      <c r="A1513" s="101">
        <v>27</v>
      </c>
      <c r="B1513" s="81" t="s">
        <v>34</v>
      </c>
      <c r="C1513" s="84">
        <v>0</v>
      </c>
      <c r="D1513" s="53">
        <v>0</v>
      </c>
      <c r="E1513" s="78">
        <v>0</v>
      </c>
      <c r="F1513" s="84">
        <v>0</v>
      </c>
      <c r="G1513" s="53">
        <v>0</v>
      </c>
      <c r="H1513" s="78">
        <v>0</v>
      </c>
      <c r="I1513" s="84">
        <v>0</v>
      </c>
      <c r="J1513" s="53">
        <v>0</v>
      </c>
      <c r="K1513" s="78">
        <v>0</v>
      </c>
      <c r="L1513" s="84">
        <v>0</v>
      </c>
      <c r="M1513" s="53">
        <v>0</v>
      </c>
      <c r="N1513" s="78">
        <v>0</v>
      </c>
    </row>
    <row r="1514" spans="1:14" ht="19.5" customHeight="1" outlineLevel="1" x14ac:dyDescent="0.2">
      <c r="A1514" s="101">
        <v>28</v>
      </c>
      <c r="B1514" s="81" t="s">
        <v>35</v>
      </c>
      <c r="C1514" s="84">
        <v>0</v>
      </c>
      <c r="D1514" s="53">
        <v>0</v>
      </c>
      <c r="E1514" s="78">
        <v>0</v>
      </c>
      <c r="F1514" s="84">
        <v>0</v>
      </c>
      <c r="G1514" s="53">
        <v>0</v>
      </c>
      <c r="H1514" s="78">
        <v>0</v>
      </c>
      <c r="I1514" s="84">
        <v>0</v>
      </c>
      <c r="J1514" s="53">
        <v>0</v>
      </c>
      <c r="K1514" s="78">
        <v>0</v>
      </c>
      <c r="L1514" s="84">
        <v>0</v>
      </c>
      <c r="M1514" s="53">
        <v>0</v>
      </c>
      <c r="N1514" s="78">
        <v>0</v>
      </c>
    </row>
    <row r="1515" spans="1:14" ht="19.5" customHeight="1" outlineLevel="1" x14ac:dyDescent="0.2">
      <c r="A1515" s="101">
        <v>29</v>
      </c>
      <c r="B1515" s="81" t="s">
        <v>36</v>
      </c>
      <c r="C1515" s="84">
        <v>0.72</v>
      </c>
      <c r="D1515" s="53">
        <v>5.0241510497332591</v>
      </c>
      <c r="E1515" s="78">
        <v>6977.9875690739718</v>
      </c>
      <c r="F1515" s="84">
        <v>0.35</v>
      </c>
      <c r="G1515" s="53">
        <v>2.3337623470397446</v>
      </c>
      <c r="H1515" s="78">
        <v>6667.8924201135569</v>
      </c>
      <c r="I1515" s="84">
        <v>0.86</v>
      </c>
      <c r="J1515" s="53">
        <v>6.6202052140632368</v>
      </c>
      <c r="K1515" s="78">
        <v>7697.9130396084147</v>
      </c>
      <c r="L1515" s="84">
        <v>0.6433333333333332</v>
      </c>
      <c r="M1515" s="53">
        <v>4.6593728702787471</v>
      </c>
      <c r="N1515" s="78">
        <v>7242.5485030239615</v>
      </c>
    </row>
    <row r="1516" spans="1:14" ht="19.5" customHeight="1" outlineLevel="1" x14ac:dyDescent="0.2">
      <c r="A1516" s="101">
        <v>30</v>
      </c>
      <c r="B1516" s="81" t="s">
        <v>37</v>
      </c>
      <c r="C1516" s="84">
        <v>0.53</v>
      </c>
      <c r="D1516" s="53">
        <v>3.6983334116092053</v>
      </c>
      <c r="E1516" s="78">
        <v>6977.9875690739718</v>
      </c>
      <c r="F1516" s="84">
        <v>0</v>
      </c>
      <c r="G1516" s="53">
        <v>0</v>
      </c>
      <c r="H1516" s="78">
        <v>0</v>
      </c>
      <c r="I1516" s="84">
        <v>0</v>
      </c>
      <c r="J1516" s="53">
        <v>0</v>
      </c>
      <c r="K1516" s="78">
        <v>0</v>
      </c>
      <c r="L1516" s="84">
        <v>0.53</v>
      </c>
      <c r="M1516" s="53">
        <v>3.6983334116092053</v>
      </c>
      <c r="N1516" s="78">
        <v>6977.9875690739718</v>
      </c>
    </row>
    <row r="1517" spans="1:14" ht="19.5" customHeight="1" outlineLevel="1" x14ac:dyDescent="0.2">
      <c r="A1517" s="101">
        <v>31</v>
      </c>
      <c r="B1517" s="81" t="s">
        <v>38</v>
      </c>
      <c r="C1517" s="84">
        <v>0</v>
      </c>
      <c r="D1517" s="53">
        <v>0</v>
      </c>
      <c r="E1517" s="78">
        <v>0</v>
      </c>
      <c r="F1517" s="84">
        <v>0</v>
      </c>
      <c r="G1517" s="53">
        <v>0</v>
      </c>
      <c r="H1517" s="78">
        <v>0</v>
      </c>
      <c r="I1517" s="84">
        <v>0</v>
      </c>
      <c r="J1517" s="53">
        <v>0</v>
      </c>
      <c r="K1517" s="78">
        <v>0</v>
      </c>
      <c r="L1517" s="84">
        <v>0</v>
      </c>
      <c r="M1517" s="53">
        <v>0</v>
      </c>
      <c r="N1517" s="78">
        <v>0</v>
      </c>
    </row>
    <row r="1518" spans="1:14" ht="19.5" customHeight="1" outlineLevel="1" x14ac:dyDescent="0.2">
      <c r="A1518" s="101">
        <v>32</v>
      </c>
      <c r="B1518" s="81" t="s">
        <v>39</v>
      </c>
      <c r="C1518" s="84">
        <v>0</v>
      </c>
      <c r="D1518" s="53">
        <v>0</v>
      </c>
      <c r="E1518" s="78">
        <v>0</v>
      </c>
      <c r="F1518" s="84">
        <v>0</v>
      </c>
      <c r="G1518" s="53">
        <v>0</v>
      </c>
      <c r="H1518" s="78">
        <v>0</v>
      </c>
      <c r="I1518" s="84">
        <v>0</v>
      </c>
      <c r="J1518" s="53">
        <v>0</v>
      </c>
      <c r="K1518" s="78">
        <v>0</v>
      </c>
      <c r="L1518" s="84">
        <v>0</v>
      </c>
      <c r="M1518" s="53">
        <v>0</v>
      </c>
      <c r="N1518" s="78">
        <v>0</v>
      </c>
    </row>
    <row r="1519" spans="1:14" ht="19.5" customHeight="1" outlineLevel="1" thickBot="1" x14ac:dyDescent="0.25">
      <c r="A1519" s="102">
        <v>33</v>
      </c>
      <c r="B1519" s="91" t="s">
        <v>40</v>
      </c>
      <c r="C1519" s="92">
        <v>0</v>
      </c>
      <c r="D1519" s="93">
        <v>0</v>
      </c>
      <c r="E1519" s="94">
        <v>0</v>
      </c>
      <c r="F1519" s="92">
        <v>0</v>
      </c>
      <c r="G1519" s="93">
        <v>0</v>
      </c>
      <c r="H1519" s="94">
        <v>0</v>
      </c>
      <c r="I1519" s="92">
        <v>0</v>
      </c>
      <c r="J1519" s="93">
        <v>0</v>
      </c>
      <c r="K1519" s="94">
        <v>0</v>
      </c>
      <c r="L1519" s="92">
        <v>0</v>
      </c>
      <c r="M1519" s="93">
        <v>0</v>
      </c>
      <c r="N1519" s="94">
        <v>0</v>
      </c>
    </row>
    <row r="1520" spans="1:14" ht="19.5" customHeight="1" thickBot="1" x14ac:dyDescent="0.25">
      <c r="A1520" s="151" t="s">
        <v>41</v>
      </c>
      <c r="B1520" s="152"/>
      <c r="C1520" s="96">
        <v>211.17000000000002</v>
      </c>
      <c r="D1520" s="97">
        <v>1473.5416349613502</v>
      </c>
      <c r="E1520" s="98">
        <v>6977.9875690739691</v>
      </c>
      <c r="F1520" s="96">
        <v>171.4</v>
      </c>
      <c r="G1520" s="97">
        <v>1142.8767608074631</v>
      </c>
      <c r="H1520" s="98">
        <v>6667.8924201135542</v>
      </c>
      <c r="I1520" s="96">
        <v>141.98000000000005</v>
      </c>
      <c r="J1520" s="97">
        <v>1092.9496933636028</v>
      </c>
      <c r="K1520" s="98">
        <v>7697.913039608412</v>
      </c>
      <c r="L1520" s="96">
        <v>174.85000000000002</v>
      </c>
      <c r="M1520" s="97">
        <v>1236.4560297108053</v>
      </c>
      <c r="N1520" s="98">
        <v>7071.5243334904499</v>
      </c>
    </row>
    <row r="1521" spans="1:14" ht="34.5" customHeight="1" x14ac:dyDescent="0.2">
      <c r="A1521" s="153" t="s">
        <v>247</v>
      </c>
      <c r="B1521" s="154"/>
      <c r="C1521" s="154"/>
      <c r="D1521" s="154"/>
      <c r="E1521" s="154"/>
      <c r="F1521" s="154"/>
      <c r="G1521" s="154"/>
      <c r="H1521" s="154"/>
      <c r="I1521" s="154"/>
      <c r="J1521" s="154"/>
      <c r="K1521" s="154"/>
      <c r="L1521" s="154"/>
      <c r="M1521" s="154"/>
      <c r="N1521" s="154"/>
    </row>
    <row r="1522" spans="1:14" ht="19.5" customHeight="1" thickBot="1" x14ac:dyDescent="0.25">
      <c r="A1522" s="50"/>
      <c r="B1522" s="138" t="s">
        <v>82</v>
      </c>
      <c r="C1522" s="52"/>
      <c r="D1522" s="52"/>
      <c r="E1522" s="52"/>
      <c r="F1522" s="52"/>
      <c r="G1522" s="52"/>
      <c r="H1522" s="52"/>
      <c r="I1522" s="52"/>
      <c r="J1522" s="52"/>
      <c r="K1522" s="155" t="s">
        <v>1</v>
      </c>
      <c r="L1522" s="154"/>
      <c r="M1522" s="154"/>
      <c r="N1522" s="154"/>
    </row>
    <row r="1523" spans="1:14" ht="19.5" customHeight="1" x14ac:dyDescent="0.2">
      <c r="A1523" s="156" t="s">
        <v>2</v>
      </c>
      <c r="B1523" s="158" t="s">
        <v>3</v>
      </c>
      <c r="C1523" s="148" t="s">
        <v>243</v>
      </c>
      <c r="D1523" s="149"/>
      <c r="E1523" s="150"/>
      <c r="F1523" s="148" t="s">
        <v>244</v>
      </c>
      <c r="G1523" s="149"/>
      <c r="H1523" s="150"/>
      <c r="I1523" s="148" t="s">
        <v>246</v>
      </c>
      <c r="J1523" s="149"/>
      <c r="K1523" s="150"/>
      <c r="L1523" s="148" t="s">
        <v>4</v>
      </c>
      <c r="M1523" s="149"/>
      <c r="N1523" s="150"/>
    </row>
    <row r="1524" spans="1:14" ht="19.5" customHeight="1" thickBot="1" x14ac:dyDescent="0.25">
      <c r="A1524" s="157"/>
      <c r="B1524" s="159"/>
      <c r="C1524" s="85" t="s">
        <v>5</v>
      </c>
      <c r="D1524" s="79" t="s">
        <v>6</v>
      </c>
      <c r="E1524" s="80" t="s">
        <v>7</v>
      </c>
      <c r="F1524" s="85" t="s">
        <v>5</v>
      </c>
      <c r="G1524" s="79" t="s">
        <v>6</v>
      </c>
      <c r="H1524" s="80" t="s">
        <v>7</v>
      </c>
      <c r="I1524" s="85" t="s">
        <v>5</v>
      </c>
      <c r="J1524" s="79" t="s">
        <v>6</v>
      </c>
      <c r="K1524" s="80" t="s">
        <v>7</v>
      </c>
      <c r="L1524" s="85" t="s">
        <v>5</v>
      </c>
      <c r="M1524" s="79" t="s">
        <v>6</v>
      </c>
      <c r="N1524" s="80" t="s">
        <v>7</v>
      </c>
    </row>
    <row r="1525" spans="1:14" ht="19.5" customHeight="1" outlineLevel="1" x14ac:dyDescent="0.2">
      <c r="A1525" s="100">
        <v>1</v>
      </c>
      <c r="B1525" s="86" t="s">
        <v>8</v>
      </c>
      <c r="C1525" s="87">
        <v>0</v>
      </c>
      <c r="D1525" s="88">
        <v>0</v>
      </c>
      <c r="E1525" s="89">
        <v>0</v>
      </c>
      <c r="F1525" s="87">
        <v>0.05</v>
      </c>
      <c r="G1525" s="88">
        <v>1.5951541145128629</v>
      </c>
      <c r="H1525" s="89">
        <v>31903.082290257254</v>
      </c>
      <c r="I1525" s="87">
        <v>0.13</v>
      </c>
      <c r="J1525" s="88">
        <v>4.2279555109249625</v>
      </c>
      <c r="K1525" s="89">
        <v>32522.734699422785</v>
      </c>
      <c r="L1525" s="87">
        <v>0.09</v>
      </c>
      <c r="M1525" s="88">
        <v>2.9115548127189128</v>
      </c>
      <c r="N1525" s="89">
        <v>32350.60903021014</v>
      </c>
    </row>
    <row r="1526" spans="1:14" ht="19.5" customHeight="1" outlineLevel="1" x14ac:dyDescent="0.2">
      <c r="A1526" s="101">
        <v>2</v>
      </c>
      <c r="B1526" s="81" t="s">
        <v>9</v>
      </c>
      <c r="C1526" s="84">
        <v>535.48</v>
      </c>
      <c r="D1526" s="53">
        <v>17363.115686862595</v>
      </c>
      <c r="E1526" s="78">
        <v>32425.329959779254</v>
      </c>
      <c r="F1526" s="84">
        <v>520.89</v>
      </c>
      <c r="G1526" s="53">
        <v>17090.089100216072</v>
      </c>
      <c r="H1526" s="78">
        <v>32809.401409541504</v>
      </c>
      <c r="I1526" s="84">
        <v>610.16</v>
      </c>
      <c r="J1526" s="53">
        <v>19864.433367800313</v>
      </c>
      <c r="K1526" s="78">
        <v>32556.10555887032</v>
      </c>
      <c r="L1526" s="84">
        <v>555.50999999999988</v>
      </c>
      <c r="M1526" s="53">
        <v>18105.879384959659</v>
      </c>
      <c r="N1526" s="78">
        <v>32593.255539881666</v>
      </c>
    </row>
    <row r="1527" spans="1:14" ht="19.5" customHeight="1" outlineLevel="1" x14ac:dyDescent="0.2">
      <c r="A1527" s="101">
        <v>3</v>
      </c>
      <c r="B1527" s="81" t="s">
        <v>10</v>
      </c>
      <c r="C1527" s="84">
        <v>10.35</v>
      </c>
      <c r="D1527" s="53">
        <v>262.42424999999997</v>
      </c>
      <c r="E1527" s="78">
        <v>25355</v>
      </c>
      <c r="F1527" s="84">
        <v>10.45</v>
      </c>
      <c r="G1527" s="53">
        <v>327.50299999999993</v>
      </c>
      <c r="H1527" s="78">
        <v>31339.999999999996</v>
      </c>
      <c r="I1527" s="84">
        <v>16.649999999999999</v>
      </c>
      <c r="J1527" s="53">
        <v>455.37749999999994</v>
      </c>
      <c r="K1527" s="78">
        <v>27350</v>
      </c>
      <c r="L1527" s="84">
        <v>12.483333333333333</v>
      </c>
      <c r="M1527" s="53">
        <v>348.4349166666666</v>
      </c>
      <c r="N1527" s="78">
        <v>27912.009345794388</v>
      </c>
    </row>
    <row r="1528" spans="1:14" ht="19.5" customHeight="1" outlineLevel="1" x14ac:dyDescent="0.2">
      <c r="A1528" s="101">
        <v>4</v>
      </c>
      <c r="B1528" s="81" t="s">
        <v>11</v>
      </c>
      <c r="C1528" s="84">
        <v>105.72</v>
      </c>
      <c r="D1528" s="53">
        <v>3005.1967199999999</v>
      </c>
      <c r="E1528" s="78">
        <v>28426</v>
      </c>
      <c r="F1528" s="84">
        <v>104.3</v>
      </c>
      <c r="G1528" s="53">
        <v>2854.6909999999993</v>
      </c>
      <c r="H1528" s="78">
        <v>27369.999999999996</v>
      </c>
      <c r="I1528" s="84">
        <v>100.84</v>
      </c>
      <c r="J1528" s="53">
        <v>2668.3474079999996</v>
      </c>
      <c r="K1528" s="78">
        <v>26461.199999999997</v>
      </c>
      <c r="L1528" s="84">
        <v>103.62</v>
      </c>
      <c r="M1528" s="53">
        <v>2842.745042666666</v>
      </c>
      <c r="N1528" s="78">
        <v>27434.327761693363</v>
      </c>
    </row>
    <row r="1529" spans="1:14" ht="19.5" customHeight="1" outlineLevel="1" x14ac:dyDescent="0.2">
      <c r="A1529" s="101">
        <v>5</v>
      </c>
      <c r="B1529" s="81" t="s">
        <v>12</v>
      </c>
      <c r="C1529" s="84">
        <v>246.61</v>
      </c>
      <c r="D1529" s="53">
        <v>8020.1256464224625</v>
      </c>
      <c r="E1529" s="78">
        <v>32521.494044939223</v>
      </c>
      <c r="F1529" s="84">
        <v>269.23</v>
      </c>
      <c r="G1529" s="53">
        <v>8610.9030482329308</v>
      </c>
      <c r="H1529" s="78">
        <v>31983.445560423919</v>
      </c>
      <c r="I1529" s="84">
        <v>379.99</v>
      </c>
      <c r="J1529" s="53">
        <v>12775.247350653313</v>
      </c>
      <c r="K1529" s="78">
        <v>33619.956711106381</v>
      </c>
      <c r="L1529" s="84">
        <v>298.61</v>
      </c>
      <c r="M1529" s="53">
        <v>9802.0920151029022</v>
      </c>
      <c r="N1529" s="78">
        <v>32825.732611442691</v>
      </c>
    </row>
    <row r="1530" spans="1:14" ht="19.5" customHeight="1" outlineLevel="1" x14ac:dyDescent="0.2">
      <c r="A1530" s="101">
        <v>6</v>
      </c>
      <c r="B1530" s="81" t="s">
        <v>13</v>
      </c>
      <c r="C1530" s="84">
        <v>192.38</v>
      </c>
      <c r="D1530" s="53">
        <v>6543.675001539209</v>
      </c>
      <c r="E1530" s="78">
        <v>34014.320623449472</v>
      </c>
      <c r="F1530" s="84">
        <v>202.57</v>
      </c>
      <c r="G1530" s="53">
        <v>7530.8336260792112</v>
      </c>
      <c r="H1530" s="78">
        <v>37176.450738407519</v>
      </c>
      <c r="I1530" s="84">
        <v>205.15</v>
      </c>
      <c r="J1530" s="53">
        <v>7720.8708668551517</v>
      </c>
      <c r="K1530" s="78">
        <v>37635.246730953702</v>
      </c>
      <c r="L1530" s="84">
        <v>200.03333333333333</v>
      </c>
      <c r="M1530" s="53">
        <v>7265.126498157857</v>
      </c>
      <c r="N1530" s="78">
        <v>36319.579227584691</v>
      </c>
    </row>
    <row r="1531" spans="1:14" ht="19.5" customHeight="1" outlineLevel="1" x14ac:dyDescent="0.2">
      <c r="A1531" s="101">
        <v>7</v>
      </c>
      <c r="B1531" s="81" t="s">
        <v>14</v>
      </c>
      <c r="C1531" s="84">
        <v>155.74</v>
      </c>
      <c r="D1531" s="53">
        <v>4635.6058748337964</v>
      </c>
      <c r="E1531" s="78">
        <v>29765.030659007294</v>
      </c>
      <c r="F1531" s="84">
        <v>170.83</v>
      </c>
      <c r="G1531" s="53">
        <v>4562.8014440406187</v>
      </c>
      <c r="H1531" s="78">
        <v>26709.602786633604</v>
      </c>
      <c r="I1531" s="84">
        <v>180.81</v>
      </c>
      <c r="J1531" s="53">
        <v>5335.8738490174137</v>
      </c>
      <c r="K1531" s="78">
        <v>29510.944356050069</v>
      </c>
      <c r="L1531" s="84">
        <v>169.12666666666669</v>
      </c>
      <c r="M1531" s="53">
        <v>4844.7603892972766</v>
      </c>
      <c r="N1531" s="78">
        <v>28645.751050281502</v>
      </c>
    </row>
    <row r="1532" spans="1:14" ht="19.5" customHeight="1" outlineLevel="1" x14ac:dyDescent="0.2">
      <c r="A1532" s="101">
        <v>8</v>
      </c>
      <c r="B1532" s="81" t="s">
        <v>15</v>
      </c>
      <c r="C1532" s="84">
        <v>1.1499999999999999</v>
      </c>
      <c r="D1532" s="53">
        <v>36.540857883643554</v>
      </c>
      <c r="E1532" s="78">
        <v>31774.659029255268</v>
      </c>
      <c r="F1532" s="84">
        <v>1.1000000000000001</v>
      </c>
      <c r="G1532" s="53">
        <v>35.093390519282984</v>
      </c>
      <c r="H1532" s="78">
        <v>31903.082290257254</v>
      </c>
      <c r="I1532" s="84">
        <v>1.9</v>
      </c>
      <c r="J1532" s="53">
        <v>61.793195928903287</v>
      </c>
      <c r="K1532" s="78">
        <v>32522.734699422785</v>
      </c>
      <c r="L1532" s="84">
        <v>1.3833333333333335</v>
      </c>
      <c r="M1532" s="53">
        <v>44.475814777276611</v>
      </c>
      <c r="N1532" s="78">
        <v>32151.191405260197</v>
      </c>
    </row>
    <row r="1533" spans="1:14" ht="19.5" customHeight="1" outlineLevel="1" x14ac:dyDescent="0.2">
      <c r="A1533" s="101">
        <v>9</v>
      </c>
      <c r="B1533" s="81" t="s">
        <v>16</v>
      </c>
      <c r="C1533" s="84">
        <v>0</v>
      </c>
      <c r="D1533" s="53">
        <v>0</v>
      </c>
      <c r="E1533" s="78">
        <v>0</v>
      </c>
      <c r="F1533" s="84">
        <v>0</v>
      </c>
      <c r="G1533" s="53">
        <v>0</v>
      </c>
      <c r="H1533" s="78">
        <v>0</v>
      </c>
      <c r="I1533" s="84">
        <v>0</v>
      </c>
      <c r="J1533" s="53">
        <v>0</v>
      </c>
      <c r="K1533" s="78">
        <v>0</v>
      </c>
      <c r="L1533" s="84">
        <v>0</v>
      </c>
      <c r="M1533" s="53">
        <v>0</v>
      </c>
      <c r="N1533" s="78">
        <v>0</v>
      </c>
    </row>
    <row r="1534" spans="1:14" ht="19.5" customHeight="1" outlineLevel="1" x14ac:dyDescent="0.2">
      <c r="A1534" s="101">
        <v>10</v>
      </c>
      <c r="B1534" s="81" t="s">
        <v>17</v>
      </c>
      <c r="C1534" s="84">
        <v>0</v>
      </c>
      <c r="D1534" s="53">
        <v>0</v>
      </c>
      <c r="E1534" s="78">
        <v>0</v>
      </c>
      <c r="F1534" s="84">
        <v>0</v>
      </c>
      <c r="G1534" s="53">
        <v>0</v>
      </c>
      <c r="H1534" s="78">
        <v>0</v>
      </c>
      <c r="I1534" s="84">
        <v>0</v>
      </c>
      <c r="J1534" s="53">
        <v>0</v>
      </c>
      <c r="K1534" s="78">
        <v>0</v>
      </c>
      <c r="L1534" s="84">
        <v>0</v>
      </c>
      <c r="M1534" s="53">
        <v>0</v>
      </c>
      <c r="N1534" s="78">
        <v>0</v>
      </c>
    </row>
    <row r="1535" spans="1:14" ht="19.5" customHeight="1" outlineLevel="1" x14ac:dyDescent="0.2">
      <c r="A1535" s="101">
        <v>11</v>
      </c>
      <c r="B1535" s="81" t="s">
        <v>18</v>
      </c>
      <c r="C1535" s="84">
        <v>0</v>
      </c>
      <c r="D1535" s="53">
        <v>0</v>
      </c>
      <c r="E1535" s="78">
        <v>0</v>
      </c>
      <c r="F1535" s="84">
        <v>0</v>
      </c>
      <c r="G1535" s="53">
        <v>0</v>
      </c>
      <c r="H1535" s="78">
        <v>0</v>
      </c>
      <c r="I1535" s="84">
        <v>0</v>
      </c>
      <c r="J1535" s="53">
        <v>0</v>
      </c>
      <c r="K1535" s="78">
        <v>0</v>
      </c>
      <c r="L1535" s="84">
        <v>0</v>
      </c>
      <c r="M1535" s="53">
        <v>0</v>
      </c>
      <c r="N1535" s="78">
        <v>0</v>
      </c>
    </row>
    <row r="1536" spans="1:14" ht="19.5" customHeight="1" outlineLevel="1" x14ac:dyDescent="0.2">
      <c r="A1536" s="101">
        <v>12</v>
      </c>
      <c r="B1536" s="81" t="s">
        <v>19</v>
      </c>
      <c r="C1536" s="84">
        <v>0</v>
      </c>
      <c r="D1536" s="53">
        <v>0</v>
      </c>
      <c r="E1536" s="78">
        <v>0</v>
      </c>
      <c r="F1536" s="84">
        <v>0</v>
      </c>
      <c r="G1536" s="53">
        <v>0</v>
      </c>
      <c r="H1536" s="78">
        <v>0</v>
      </c>
      <c r="I1536" s="84">
        <v>0</v>
      </c>
      <c r="J1536" s="53">
        <v>0</v>
      </c>
      <c r="K1536" s="78">
        <v>0</v>
      </c>
      <c r="L1536" s="84">
        <v>0</v>
      </c>
      <c r="M1536" s="53">
        <v>0</v>
      </c>
      <c r="N1536" s="78">
        <v>0</v>
      </c>
    </row>
    <row r="1537" spans="1:14" ht="19.5" customHeight="1" outlineLevel="1" x14ac:dyDescent="0.2">
      <c r="A1537" s="101">
        <v>13</v>
      </c>
      <c r="B1537" s="81" t="s">
        <v>20</v>
      </c>
      <c r="C1537" s="84">
        <v>1.41</v>
      </c>
      <c r="D1537" s="53">
        <v>44.80226923124993</v>
      </c>
      <c r="E1537" s="78">
        <v>31774.659029255268</v>
      </c>
      <c r="F1537" s="84">
        <v>1.27</v>
      </c>
      <c r="G1537" s="53">
        <v>40.516914508626719</v>
      </c>
      <c r="H1537" s="78">
        <v>31903.082290257254</v>
      </c>
      <c r="I1537" s="84">
        <v>2.1</v>
      </c>
      <c r="J1537" s="53">
        <v>68.29774286878785</v>
      </c>
      <c r="K1537" s="78">
        <v>32522.734699422785</v>
      </c>
      <c r="L1537" s="84">
        <v>1.593333333333333</v>
      </c>
      <c r="M1537" s="53">
        <v>51.205642202888164</v>
      </c>
      <c r="N1537" s="78">
        <v>32137.432344908895</v>
      </c>
    </row>
    <row r="1538" spans="1:14" ht="19.5" customHeight="1" outlineLevel="1" x14ac:dyDescent="0.2">
      <c r="A1538" s="101">
        <v>14</v>
      </c>
      <c r="B1538" s="81" t="s">
        <v>21</v>
      </c>
      <c r="C1538" s="84">
        <v>0</v>
      </c>
      <c r="D1538" s="53">
        <v>0</v>
      </c>
      <c r="E1538" s="78">
        <v>0</v>
      </c>
      <c r="F1538" s="84">
        <v>0</v>
      </c>
      <c r="G1538" s="53">
        <v>0</v>
      </c>
      <c r="H1538" s="78">
        <v>0</v>
      </c>
      <c r="I1538" s="84">
        <v>0</v>
      </c>
      <c r="J1538" s="53">
        <v>0</v>
      </c>
      <c r="K1538" s="78">
        <v>0</v>
      </c>
      <c r="L1538" s="84">
        <v>0</v>
      </c>
      <c r="M1538" s="53">
        <v>0</v>
      </c>
      <c r="N1538" s="78">
        <v>0</v>
      </c>
    </row>
    <row r="1539" spans="1:14" ht="19.5" customHeight="1" outlineLevel="1" x14ac:dyDescent="0.2">
      <c r="A1539" s="101">
        <v>15</v>
      </c>
      <c r="B1539" s="81" t="s">
        <v>22</v>
      </c>
      <c r="C1539" s="84">
        <v>0</v>
      </c>
      <c r="D1539" s="53">
        <v>0</v>
      </c>
      <c r="E1539" s="78">
        <v>0</v>
      </c>
      <c r="F1539" s="84">
        <v>0</v>
      </c>
      <c r="G1539" s="53">
        <v>0</v>
      </c>
      <c r="H1539" s="78">
        <v>0</v>
      </c>
      <c r="I1539" s="84">
        <v>0</v>
      </c>
      <c r="J1539" s="53">
        <v>0</v>
      </c>
      <c r="K1539" s="78">
        <v>0</v>
      </c>
      <c r="L1539" s="84">
        <v>0</v>
      </c>
      <c r="M1539" s="53">
        <v>0</v>
      </c>
      <c r="N1539" s="78">
        <v>0</v>
      </c>
    </row>
    <row r="1540" spans="1:14" ht="19.5" customHeight="1" outlineLevel="1" x14ac:dyDescent="0.2">
      <c r="A1540" s="101">
        <v>16</v>
      </c>
      <c r="B1540" s="81" t="s">
        <v>23</v>
      </c>
      <c r="C1540" s="84">
        <v>0</v>
      </c>
      <c r="D1540" s="53">
        <v>0</v>
      </c>
      <c r="E1540" s="78">
        <v>0</v>
      </c>
      <c r="F1540" s="84">
        <v>0</v>
      </c>
      <c r="G1540" s="53">
        <v>0</v>
      </c>
      <c r="H1540" s="78">
        <v>0</v>
      </c>
      <c r="I1540" s="84">
        <v>0</v>
      </c>
      <c r="J1540" s="53">
        <v>0</v>
      </c>
      <c r="K1540" s="78">
        <v>0</v>
      </c>
      <c r="L1540" s="84">
        <v>0</v>
      </c>
      <c r="M1540" s="53">
        <v>0</v>
      </c>
      <c r="N1540" s="78">
        <v>0</v>
      </c>
    </row>
    <row r="1541" spans="1:14" ht="19.5" customHeight="1" outlineLevel="1" x14ac:dyDescent="0.2">
      <c r="A1541" s="101">
        <v>17</v>
      </c>
      <c r="B1541" s="81" t="s">
        <v>24</v>
      </c>
      <c r="C1541" s="84">
        <v>0</v>
      </c>
      <c r="D1541" s="53">
        <v>0</v>
      </c>
      <c r="E1541" s="78">
        <v>0</v>
      </c>
      <c r="F1541" s="84">
        <v>0</v>
      </c>
      <c r="G1541" s="53">
        <v>0</v>
      </c>
      <c r="H1541" s="78">
        <v>0</v>
      </c>
      <c r="I1541" s="84">
        <v>0</v>
      </c>
      <c r="J1541" s="53">
        <v>0</v>
      </c>
      <c r="K1541" s="78">
        <v>0</v>
      </c>
      <c r="L1541" s="84">
        <v>0</v>
      </c>
      <c r="M1541" s="53">
        <v>0</v>
      </c>
      <c r="N1541" s="78">
        <v>0</v>
      </c>
    </row>
    <row r="1542" spans="1:14" ht="19.5" customHeight="1" outlineLevel="1" x14ac:dyDescent="0.2">
      <c r="A1542" s="101">
        <v>18</v>
      </c>
      <c r="B1542" s="81" t="s">
        <v>25</v>
      </c>
      <c r="C1542" s="84">
        <v>0</v>
      </c>
      <c r="D1542" s="53">
        <v>0</v>
      </c>
      <c r="E1542" s="78">
        <v>0</v>
      </c>
      <c r="F1542" s="84">
        <v>0</v>
      </c>
      <c r="G1542" s="53">
        <v>0</v>
      </c>
      <c r="H1542" s="78">
        <v>0</v>
      </c>
      <c r="I1542" s="84">
        <v>0</v>
      </c>
      <c r="J1542" s="53">
        <v>0</v>
      </c>
      <c r="K1542" s="78">
        <v>0</v>
      </c>
      <c r="L1542" s="84">
        <v>0</v>
      </c>
      <c r="M1542" s="53">
        <v>0</v>
      </c>
      <c r="N1542" s="78">
        <v>0</v>
      </c>
    </row>
    <row r="1543" spans="1:14" ht="19.5" customHeight="1" outlineLevel="1" x14ac:dyDescent="0.2">
      <c r="A1543" s="101">
        <v>19</v>
      </c>
      <c r="B1543" s="81" t="s">
        <v>26</v>
      </c>
      <c r="C1543" s="84">
        <v>0</v>
      </c>
      <c r="D1543" s="53">
        <v>0</v>
      </c>
      <c r="E1543" s="78">
        <v>0</v>
      </c>
      <c r="F1543" s="84">
        <v>0</v>
      </c>
      <c r="G1543" s="53">
        <v>0</v>
      </c>
      <c r="H1543" s="78">
        <v>0</v>
      </c>
      <c r="I1543" s="84">
        <v>0</v>
      </c>
      <c r="J1543" s="53">
        <v>0</v>
      </c>
      <c r="K1543" s="78">
        <v>0</v>
      </c>
      <c r="L1543" s="84">
        <v>0</v>
      </c>
      <c r="M1543" s="53">
        <v>0</v>
      </c>
      <c r="N1543" s="78">
        <v>0</v>
      </c>
    </row>
    <row r="1544" spans="1:14" ht="19.5" customHeight="1" outlineLevel="1" x14ac:dyDescent="0.2">
      <c r="A1544" s="101">
        <v>20</v>
      </c>
      <c r="B1544" s="81" t="s">
        <v>27</v>
      </c>
      <c r="C1544" s="84">
        <v>13.15</v>
      </c>
      <c r="D1544" s="53">
        <v>347.99108000000007</v>
      </c>
      <c r="E1544" s="78">
        <v>26463.200000000004</v>
      </c>
      <c r="F1544" s="84">
        <v>13.28</v>
      </c>
      <c r="G1544" s="53">
        <v>337.04639999999995</v>
      </c>
      <c r="H1544" s="78">
        <v>25380</v>
      </c>
      <c r="I1544" s="84">
        <v>12.06</v>
      </c>
      <c r="J1544" s="53">
        <v>311.50015200000001</v>
      </c>
      <c r="K1544" s="78">
        <v>25829.200000000001</v>
      </c>
      <c r="L1544" s="84">
        <v>12.83</v>
      </c>
      <c r="M1544" s="53">
        <v>332.17921066666668</v>
      </c>
      <c r="N1544" s="78">
        <v>25890.819225772928</v>
      </c>
    </row>
    <row r="1545" spans="1:14" ht="19.5" customHeight="1" outlineLevel="1" x14ac:dyDescent="0.2">
      <c r="A1545" s="101">
        <v>21</v>
      </c>
      <c r="B1545" s="81" t="s">
        <v>28</v>
      </c>
      <c r="C1545" s="84">
        <v>49.23</v>
      </c>
      <c r="D1545" s="53">
        <v>1404.0910255664201</v>
      </c>
      <c r="E1545" s="78">
        <v>28521.044598139757</v>
      </c>
      <c r="F1545" s="84">
        <v>49.63</v>
      </c>
      <c r="G1545" s="53">
        <v>1473.9082874782612</v>
      </c>
      <c r="H1545" s="78">
        <v>29697.930434782611</v>
      </c>
      <c r="I1545" s="84">
        <v>45.92</v>
      </c>
      <c r="J1545" s="53">
        <v>1329.9742106036747</v>
      </c>
      <c r="K1545" s="78">
        <v>28962.853018372705</v>
      </c>
      <c r="L1545" s="84">
        <v>48.26</v>
      </c>
      <c r="M1545" s="53">
        <v>1402.6578412161186</v>
      </c>
      <c r="N1545" s="78">
        <v>29064.605081146263</v>
      </c>
    </row>
    <row r="1546" spans="1:14" ht="19.5" customHeight="1" outlineLevel="1" x14ac:dyDescent="0.2">
      <c r="A1546" s="101">
        <v>22</v>
      </c>
      <c r="B1546" s="81" t="s">
        <v>29</v>
      </c>
      <c r="C1546" s="84">
        <v>0.1</v>
      </c>
      <c r="D1546" s="53">
        <v>3.177465902925527</v>
      </c>
      <c r="E1546" s="78">
        <v>31774.659029255268</v>
      </c>
      <c r="F1546" s="84">
        <v>0.03</v>
      </c>
      <c r="G1546" s="53">
        <v>0.95709246870771758</v>
      </c>
      <c r="H1546" s="78">
        <v>31903.082290257254</v>
      </c>
      <c r="I1546" s="84">
        <v>0.09</v>
      </c>
      <c r="J1546" s="53">
        <v>2.9270461229480507</v>
      </c>
      <c r="K1546" s="78">
        <v>32522.734699422785</v>
      </c>
      <c r="L1546" s="84">
        <v>7.3333333333333334E-2</v>
      </c>
      <c r="M1546" s="53">
        <v>2.3538681648604318</v>
      </c>
      <c r="N1546" s="78">
        <v>32098.202248096801</v>
      </c>
    </row>
    <row r="1547" spans="1:14" ht="19.5" customHeight="1" outlineLevel="1" x14ac:dyDescent="0.2">
      <c r="A1547" s="101">
        <v>23</v>
      </c>
      <c r="B1547" s="81" t="s">
        <v>30</v>
      </c>
      <c r="C1547" s="84">
        <v>1.36</v>
      </c>
      <c r="D1547" s="53">
        <v>43.213536279787171</v>
      </c>
      <c r="E1547" s="78">
        <v>31774.659029255268</v>
      </c>
      <c r="F1547" s="84">
        <v>1.65</v>
      </c>
      <c r="G1547" s="53">
        <v>52.640085778924472</v>
      </c>
      <c r="H1547" s="78">
        <v>31903.082290257254</v>
      </c>
      <c r="I1547" s="84">
        <v>1.77</v>
      </c>
      <c r="J1547" s="53">
        <v>57.565240417978323</v>
      </c>
      <c r="K1547" s="78">
        <v>32522.734699422785</v>
      </c>
      <c r="L1547" s="84">
        <v>1.593333333333333</v>
      </c>
      <c r="M1547" s="53">
        <v>51.13962082556332</v>
      </c>
      <c r="N1547" s="78">
        <v>32095.996334035561</v>
      </c>
    </row>
    <row r="1548" spans="1:14" ht="19.5" customHeight="1" outlineLevel="1" x14ac:dyDescent="0.2">
      <c r="A1548" s="101">
        <v>24</v>
      </c>
      <c r="B1548" s="81" t="s">
        <v>31</v>
      </c>
      <c r="C1548" s="84">
        <v>0</v>
      </c>
      <c r="D1548" s="53">
        <v>0</v>
      </c>
      <c r="E1548" s="78">
        <v>0</v>
      </c>
      <c r="F1548" s="84">
        <v>0</v>
      </c>
      <c r="G1548" s="53">
        <v>0</v>
      </c>
      <c r="H1548" s="78">
        <v>0</v>
      </c>
      <c r="I1548" s="84">
        <v>0</v>
      </c>
      <c r="J1548" s="53">
        <v>0</v>
      </c>
      <c r="K1548" s="78">
        <v>0</v>
      </c>
      <c r="L1548" s="84">
        <v>0</v>
      </c>
      <c r="M1548" s="53">
        <v>0</v>
      </c>
      <c r="N1548" s="78">
        <v>0</v>
      </c>
    </row>
    <row r="1549" spans="1:14" ht="19.5" customHeight="1" outlineLevel="1" x14ac:dyDescent="0.2">
      <c r="A1549" s="101">
        <v>25</v>
      </c>
      <c r="B1549" s="81" t="s">
        <v>32</v>
      </c>
      <c r="C1549" s="84">
        <v>1.61</v>
      </c>
      <c r="D1549" s="53">
        <v>51.157201037100982</v>
      </c>
      <c r="E1549" s="78">
        <v>31774.659029255268</v>
      </c>
      <c r="F1549" s="84">
        <v>3.29</v>
      </c>
      <c r="G1549" s="53">
        <v>104.96114073494637</v>
      </c>
      <c r="H1549" s="78">
        <v>31903.082290257254</v>
      </c>
      <c r="I1549" s="84">
        <v>4.47</v>
      </c>
      <c r="J1549" s="53">
        <v>145.37662410641983</v>
      </c>
      <c r="K1549" s="78">
        <v>32522.734699422785</v>
      </c>
      <c r="L1549" s="84">
        <v>3.1233333333333335</v>
      </c>
      <c r="M1549" s="53">
        <v>100.49832195948905</v>
      </c>
      <c r="N1549" s="78">
        <v>32176.623893112821</v>
      </c>
    </row>
    <row r="1550" spans="1:14" ht="19.5" customHeight="1" outlineLevel="1" x14ac:dyDescent="0.2">
      <c r="A1550" s="101">
        <v>26</v>
      </c>
      <c r="B1550" s="81" t="s">
        <v>33</v>
      </c>
      <c r="C1550" s="84">
        <v>0</v>
      </c>
      <c r="D1550" s="53">
        <v>0</v>
      </c>
      <c r="E1550" s="78">
        <v>0</v>
      </c>
      <c r="F1550" s="84">
        <v>0</v>
      </c>
      <c r="G1550" s="53">
        <v>0</v>
      </c>
      <c r="H1550" s="78">
        <v>0</v>
      </c>
      <c r="I1550" s="84">
        <v>0</v>
      </c>
      <c r="J1550" s="53">
        <v>0</v>
      </c>
      <c r="K1550" s="78">
        <v>0</v>
      </c>
      <c r="L1550" s="84">
        <v>0</v>
      </c>
      <c r="M1550" s="53">
        <v>0</v>
      </c>
      <c r="N1550" s="78">
        <v>0</v>
      </c>
    </row>
    <row r="1551" spans="1:14" ht="19.5" customHeight="1" outlineLevel="1" x14ac:dyDescent="0.2">
      <c r="A1551" s="101">
        <v>27</v>
      </c>
      <c r="B1551" s="81" t="s">
        <v>34</v>
      </c>
      <c r="C1551" s="84">
        <v>0</v>
      </c>
      <c r="D1551" s="53">
        <v>0</v>
      </c>
      <c r="E1551" s="78">
        <v>0</v>
      </c>
      <c r="F1551" s="84">
        <v>0</v>
      </c>
      <c r="G1551" s="53">
        <v>0</v>
      </c>
      <c r="H1551" s="78">
        <v>0</v>
      </c>
      <c r="I1551" s="84">
        <v>0</v>
      </c>
      <c r="J1551" s="53">
        <v>0</v>
      </c>
      <c r="K1551" s="78">
        <v>0</v>
      </c>
      <c r="L1551" s="84">
        <v>0</v>
      </c>
      <c r="M1551" s="53">
        <v>0</v>
      </c>
      <c r="N1551" s="78">
        <v>0</v>
      </c>
    </row>
    <row r="1552" spans="1:14" ht="19.5" customHeight="1" outlineLevel="1" x14ac:dyDescent="0.2">
      <c r="A1552" s="101">
        <v>28</v>
      </c>
      <c r="B1552" s="81" t="s">
        <v>35</v>
      </c>
      <c r="C1552" s="84">
        <v>0</v>
      </c>
      <c r="D1552" s="53">
        <v>0</v>
      </c>
      <c r="E1552" s="78">
        <v>0</v>
      </c>
      <c r="F1552" s="84">
        <v>0</v>
      </c>
      <c r="G1552" s="53">
        <v>0</v>
      </c>
      <c r="H1552" s="78">
        <v>0</v>
      </c>
      <c r="I1552" s="84">
        <v>0</v>
      </c>
      <c r="J1552" s="53">
        <v>0</v>
      </c>
      <c r="K1552" s="78">
        <v>0</v>
      </c>
      <c r="L1552" s="84">
        <v>0</v>
      </c>
      <c r="M1552" s="53">
        <v>0</v>
      </c>
      <c r="N1552" s="78">
        <v>0</v>
      </c>
    </row>
    <row r="1553" spans="1:17" ht="19.5" customHeight="1" outlineLevel="1" x14ac:dyDescent="0.2">
      <c r="A1553" s="101">
        <v>29</v>
      </c>
      <c r="B1553" s="81" t="s">
        <v>36</v>
      </c>
      <c r="C1553" s="84">
        <v>0</v>
      </c>
      <c r="D1553" s="53">
        <v>0</v>
      </c>
      <c r="E1553" s="78">
        <v>0</v>
      </c>
      <c r="F1553" s="84">
        <v>0</v>
      </c>
      <c r="G1553" s="53">
        <v>0</v>
      </c>
      <c r="H1553" s="78">
        <v>0</v>
      </c>
      <c r="I1553" s="84">
        <v>0</v>
      </c>
      <c r="J1553" s="53">
        <v>0</v>
      </c>
      <c r="K1553" s="78">
        <v>0</v>
      </c>
      <c r="L1553" s="84">
        <v>0</v>
      </c>
      <c r="M1553" s="53">
        <v>0</v>
      </c>
      <c r="N1553" s="78">
        <v>0</v>
      </c>
    </row>
    <row r="1554" spans="1:17" ht="19.5" customHeight="1" outlineLevel="1" x14ac:dyDescent="0.2">
      <c r="A1554" s="101">
        <v>30</v>
      </c>
      <c r="B1554" s="81" t="s">
        <v>37</v>
      </c>
      <c r="C1554" s="84">
        <v>0</v>
      </c>
      <c r="D1554" s="53">
        <v>0</v>
      </c>
      <c r="E1554" s="78">
        <v>0</v>
      </c>
      <c r="F1554" s="84">
        <v>0</v>
      </c>
      <c r="G1554" s="53">
        <v>0</v>
      </c>
      <c r="H1554" s="78">
        <v>0</v>
      </c>
      <c r="I1554" s="84">
        <v>0</v>
      </c>
      <c r="J1554" s="53">
        <v>0</v>
      </c>
      <c r="K1554" s="78">
        <v>0</v>
      </c>
      <c r="L1554" s="84">
        <v>0</v>
      </c>
      <c r="M1554" s="53">
        <v>0</v>
      </c>
      <c r="N1554" s="78">
        <v>0</v>
      </c>
    </row>
    <row r="1555" spans="1:17" ht="19.5" customHeight="1" outlineLevel="1" x14ac:dyDescent="0.2">
      <c r="A1555" s="101">
        <v>31</v>
      </c>
      <c r="B1555" s="81" t="s">
        <v>38</v>
      </c>
      <c r="C1555" s="84">
        <v>0</v>
      </c>
      <c r="D1555" s="53">
        <v>0</v>
      </c>
      <c r="E1555" s="78">
        <v>0</v>
      </c>
      <c r="F1555" s="84">
        <v>0</v>
      </c>
      <c r="G1555" s="53">
        <v>0</v>
      </c>
      <c r="H1555" s="78">
        <v>0</v>
      </c>
      <c r="I1555" s="84">
        <v>0</v>
      </c>
      <c r="J1555" s="53">
        <v>0</v>
      </c>
      <c r="K1555" s="78">
        <v>0</v>
      </c>
      <c r="L1555" s="84">
        <v>0</v>
      </c>
      <c r="M1555" s="53">
        <v>0</v>
      </c>
      <c r="N1555" s="78">
        <v>0</v>
      </c>
    </row>
    <row r="1556" spans="1:17" ht="19.5" customHeight="1" outlineLevel="1" x14ac:dyDescent="0.2">
      <c r="A1556" s="101">
        <v>32</v>
      </c>
      <c r="B1556" s="81" t="s">
        <v>39</v>
      </c>
      <c r="C1556" s="84">
        <v>0</v>
      </c>
      <c r="D1556" s="53">
        <v>0</v>
      </c>
      <c r="E1556" s="78">
        <v>0</v>
      </c>
      <c r="F1556" s="84">
        <v>0</v>
      </c>
      <c r="G1556" s="53">
        <v>0</v>
      </c>
      <c r="H1556" s="78">
        <v>0</v>
      </c>
      <c r="I1556" s="84">
        <v>0</v>
      </c>
      <c r="J1556" s="53">
        <v>0</v>
      </c>
      <c r="K1556" s="78">
        <v>0</v>
      </c>
      <c r="L1556" s="84">
        <v>0</v>
      </c>
      <c r="M1556" s="53">
        <v>0</v>
      </c>
      <c r="N1556" s="78">
        <v>0</v>
      </c>
    </row>
    <row r="1557" spans="1:17" ht="19.5" customHeight="1" outlineLevel="1" thickBot="1" x14ac:dyDescent="0.25">
      <c r="A1557" s="102">
        <v>33</v>
      </c>
      <c r="B1557" s="91" t="s">
        <v>40</v>
      </c>
      <c r="C1557" s="92">
        <v>0</v>
      </c>
      <c r="D1557" s="93">
        <v>0</v>
      </c>
      <c r="E1557" s="94">
        <v>0</v>
      </c>
      <c r="F1557" s="92">
        <v>0</v>
      </c>
      <c r="G1557" s="93">
        <v>0</v>
      </c>
      <c r="H1557" s="94">
        <v>0</v>
      </c>
      <c r="I1557" s="92">
        <v>0.03</v>
      </c>
      <c r="J1557" s="93">
        <v>0.97568204098268352</v>
      </c>
      <c r="K1557" s="94">
        <v>32522.734699422785</v>
      </c>
      <c r="L1557" s="92">
        <v>0.03</v>
      </c>
      <c r="M1557" s="93">
        <v>0.97568204098268352</v>
      </c>
      <c r="N1557" s="94">
        <v>32522.734699422785</v>
      </c>
    </row>
    <row r="1558" spans="1:17" ht="19.5" customHeight="1" thickBot="1" x14ac:dyDescent="0.25">
      <c r="A1558" s="151" t="s">
        <v>41</v>
      </c>
      <c r="B1558" s="152"/>
      <c r="C1558" s="96">
        <v>1314.29</v>
      </c>
      <c r="D1558" s="97">
        <v>41761.116615559193</v>
      </c>
      <c r="E1558" s="98">
        <v>31774.659029254723</v>
      </c>
      <c r="F1558" s="96">
        <v>1348.57</v>
      </c>
      <c r="G1558" s="97">
        <v>43023.539684172087</v>
      </c>
      <c r="H1558" s="98">
        <v>31903.082290257153</v>
      </c>
      <c r="I1558" s="96">
        <v>1562.07</v>
      </c>
      <c r="J1558" s="97">
        <v>50802.788191926811</v>
      </c>
      <c r="K1558" s="98">
        <v>32522.734699422443</v>
      </c>
      <c r="L1558" s="96">
        <v>1408.3099999999997</v>
      </c>
      <c r="M1558" s="97">
        <v>45195.814830552699</v>
      </c>
      <c r="N1558" s="98">
        <v>32092.234543923358</v>
      </c>
    </row>
    <row r="1559" spans="1:17" ht="34.5" customHeight="1" x14ac:dyDescent="0.2">
      <c r="A1559" s="153" t="s">
        <v>247</v>
      </c>
      <c r="B1559" s="154"/>
      <c r="C1559" s="154"/>
      <c r="D1559" s="154"/>
      <c r="E1559" s="154"/>
      <c r="F1559" s="154"/>
      <c r="G1559" s="154"/>
      <c r="H1559" s="154"/>
      <c r="I1559" s="154"/>
      <c r="J1559" s="154"/>
      <c r="K1559" s="154"/>
      <c r="L1559" s="154"/>
      <c r="M1559" s="154"/>
      <c r="N1559" s="154"/>
    </row>
    <row r="1560" spans="1:17" ht="19.5" customHeight="1" thickBot="1" x14ac:dyDescent="0.25">
      <c r="A1560" s="50"/>
      <c r="B1560" s="139" t="s">
        <v>83</v>
      </c>
      <c r="C1560" s="52"/>
      <c r="D1560" s="52"/>
      <c r="E1560" s="52"/>
      <c r="F1560" s="52"/>
      <c r="G1560" s="52"/>
      <c r="H1560" s="52"/>
      <c r="I1560" s="52"/>
      <c r="J1560" s="52"/>
      <c r="K1560" s="155" t="s">
        <v>1</v>
      </c>
      <c r="L1560" s="154"/>
      <c r="M1560" s="154"/>
      <c r="N1560" s="154"/>
    </row>
    <row r="1561" spans="1:17" ht="19.5" customHeight="1" x14ac:dyDescent="0.2">
      <c r="A1561" s="156" t="s">
        <v>2</v>
      </c>
      <c r="B1561" s="158" t="s">
        <v>3</v>
      </c>
      <c r="C1561" s="148" t="s">
        <v>243</v>
      </c>
      <c r="D1561" s="149"/>
      <c r="E1561" s="150"/>
      <c r="F1561" s="148" t="s">
        <v>244</v>
      </c>
      <c r="G1561" s="149"/>
      <c r="H1561" s="150"/>
      <c r="I1561" s="148" t="s">
        <v>246</v>
      </c>
      <c r="J1561" s="149"/>
      <c r="K1561" s="150"/>
      <c r="L1561" s="148" t="s">
        <v>4</v>
      </c>
      <c r="M1561" s="149"/>
      <c r="N1561" s="150"/>
    </row>
    <row r="1562" spans="1:17" ht="19.5" customHeight="1" thickBot="1" x14ac:dyDescent="0.25">
      <c r="A1562" s="157"/>
      <c r="B1562" s="159"/>
      <c r="C1562" s="85" t="s">
        <v>5</v>
      </c>
      <c r="D1562" s="79" t="s">
        <v>6</v>
      </c>
      <c r="E1562" s="80" t="s">
        <v>7</v>
      </c>
      <c r="F1562" s="85" t="s">
        <v>5</v>
      </c>
      <c r="G1562" s="79" t="s">
        <v>6</v>
      </c>
      <c r="H1562" s="80" t="s">
        <v>7</v>
      </c>
      <c r="I1562" s="85" t="s">
        <v>5</v>
      </c>
      <c r="J1562" s="79" t="s">
        <v>6</v>
      </c>
      <c r="K1562" s="80" t="s">
        <v>7</v>
      </c>
      <c r="L1562" s="85" t="s">
        <v>5</v>
      </c>
      <c r="M1562" s="79" t="s">
        <v>6</v>
      </c>
      <c r="N1562" s="80" t="s">
        <v>7</v>
      </c>
    </row>
    <row r="1563" spans="1:17" ht="19.5" customHeight="1" outlineLevel="1" x14ac:dyDescent="0.2">
      <c r="A1563" s="100">
        <v>1</v>
      </c>
      <c r="B1563" s="86" t="s">
        <v>8</v>
      </c>
      <c r="C1563" s="87">
        <v>0</v>
      </c>
      <c r="D1563" s="88">
        <v>0</v>
      </c>
      <c r="E1563" s="89">
        <v>0</v>
      </c>
      <c r="F1563" s="87">
        <v>0</v>
      </c>
      <c r="G1563" s="88">
        <v>0</v>
      </c>
      <c r="H1563" s="89">
        <v>0</v>
      </c>
      <c r="I1563" s="87">
        <v>0</v>
      </c>
      <c r="J1563" s="88">
        <v>0</v>
      </c>
      <c r="K1563" s="89">
        <v>0</v>
      </c>
      <c r="L1563" s="87">
        <v>0</v>
      </c>
      <c r="M1563" s="88">
        <v>0</v>
      </c>
      <c r="N1563" s="89">
        <v>0</v>
      </c>
    </row>
    <row r="1564" spans="1:17" ht="19.5" customHeight="1" outlineLevel="1" x14ac:dyDescent="0.2">
      <c r="A1564" s="101">
        <v>2</v>
      </c>
      <c r="B1564" s="81" t="s">
        <v>9</v>
      </c>
      <c r="C1564" s="84">
        <v>26.24</v>
      </c>
      <c r="D1564" s="53">
        <v>80.2054464</v>
      </c>
      <c r="E1564" s="78">
        <v>3056.61</v>
      </c>
      <c r="F1564" s="84">
        <v>75.02</v>
      </c>
      <c r="G1564" s="53">
        <v>227.83573999999996</v>
      </c>
      <c r="H1564" s="78">
        <v>3036.9999999999995</v>
      </c>
      <c r="I1564" s="84">
        <v>66.34</v>
      </c>
      <c r="J1564" s="53">
        <v>201.44407740000003</v>
      </c>
      <c r="K1564" s="78">
        <v>3036.5402080192948</v>
      </c>
      <c r="L1564" s="84">
        <v>55.866666666666667</v>
      </c>
      <c r="M1564" s="53">
        <v>169.82842126666665</v>
      </c>
      <c r="N1564" s="78">
        <v>3039.8882088305486</v>
      </c>
      <c r="O1564" s="103">
        <v>26.24</v>
      </c>
      <c r="P1564" s="103">
        <v>80.2054464</v>
      </c>
      <c r="Q1564" s="103">
        <v>3056.61</v>
      </c>
    </row>
    <row r="1565" spans="1:17" ht="19.5" customHeight="1" outlineLevel="1" x14ac:dyDescent="0.2">
      <c r="A1565" s="101">
        <v>3</v>
      </c>
      <c r="B1565" s="81" t="s">
        <v>10</v>
      </c>
      <c r="C1565" s="84">
        <v>4</v>
      </c>
      <c r="D1565" s="53">
        <v>6.6</v>
      </c>
      <c r="E1565" s="78">
        <v>1650</v>
      </c>
      <c r="F1565" s="84">
        <v>3.86</v>
      </c>
      <c r="G1565" s="53">
        <v>10.8759</v>
      </c>
      <c r="H1565" s="78">
        <v>2817.5906735751296</v>
      </c>
      <c r="I1565" s="84">
        <v>5.62</v>
      </c>
      <c r="J1565" s="53">
        <v>16.073200000000003</v>
      </c>
      <c r="K1565" s="78">
        <v>2860.0000000000005</v>
      </c>
      <c r="L1565" s="84">
        <v>4.4933333333333332</v>
      </c>
      <c r="M1565" s="53">
        <v>11.183033333333334</v>
      </c>
      <c r="N1565" s="78">
        <v>2488.805637982196</v>
      </c>
      <c r="O1565" s="103">
        <v>4</v>
      </c>
      <c r="P1565" s="103">
        <v>6.6</v>
      </c>
      <c r="Q1565" s="103">
        <v>1650</v>
      </c>
    </row>
    <row r="1566" spans="1:17" ht="19.5" customHeight="1" outlineLevel="1" x14ac:dyDescent="0.2">
      <c r="A1566" s="101">
        <v>4</v>
      </c>
      <c r="B1566" s="81" t="s">
        <v>11</v>
      </c>
      <c r="C1566" s="84">
        <v>2.75</v>
      </c>
      <c r="D1566" s="53">
        <v>6.875</v>
      </c>
      <c r="E1566" s="78">
        <v>2500</v>
      </c>
      <c r="F1566" s="84">
        <v>5.56</v>
      </c>
      <c r="G1566" s="53">
        <v>9.47424</v>
      </c>
      <c r="H1566" s="78">
        <v>1704</v>
      </c>
      <c r="I1566" s="84">
        <v>4.97</v>
      </c>
      <c r="J1566" s="53">
        <v>7.4550000000000001</v>
      </c>
      <c r="K1566" s="78">
        <v>1500</v>
      </c>
      <c r="L1566" s="84">
        <v>4.4266666666666659</v>
      </c>
      <c r="M1566" s="53">
        <v>7.9347466666666664</v>
      </c>
      <c r="N1566" s="78">
        <v>1792.4879518072291</v>
      </c>
      <c r="O1566" s="103">
        <v>2.75</v>
      </c>
      <c r="P1566" s="103">
        <v>6.875</v>
      </c>
      <c r="Q1566" s="103">
        <v>2500</v>
      </c>
    </row>
    <row r="1567" spans="1:17" ht="19.5" customHeight="1" outlineLevel="1" x14ac:dyDescent="0.2">
      <c r="A1567" s="101">
        <v>5</v>
      </c>
      <c r="B1567" s="81" t="s">
        <v>12</v>
      </c>
      <c r="C1567" s="84">
        <v>0</v>
      </c>
      <c r="D1567" s="53">
        <v>0</v>
      </c>
      <c r="E1567" s="78">
        <v>0</v>
      </c>
      <c r="F1567" s="84">
        <v>0</v>
      </c>
      <c r="G1567" s="53">
        <v>0</v>
      </c>
      <c r="H1567" s="78">
        <v>0</v>
      </c>
      <c r="I1567" s="84">
        <v>0</v>
      </c>
      <c r="J1567" s="53">
        <v>0</v>
      </c>
      <c r="K1567" s="78">
        <v>0</v>
      </c>
      <c r="L1567" s="84">
        <v>0</v>
      </c>
      <c r="M1567" s="53">
        <v>0</v>
      </c>
      <c r="N1567" s="78">
        <v>0</v>
      </c>
    </row>
    <row r="1568" spans="1:17" ht="19.5" customHeight="1" outlineLevel="1" x14ac:dyDescent="0.2">
      <c r="A1568" s="101">
        <v>6</v>
      </c>
      <c r="B1568" s="81" t="s">
        <v>13</v>
      </c>
      <c r="C1568" s="84">
        <v>0</v>
      </c>
      <c r="D1568" s="53">
        <v>0</v>
      </c>
      <c r="E1568" s="78">
        <v>0</v>
      </c>
      <c r="F1568" s="84">
        <v>0</v>
      </c>
      <c r="G1568" s="53">
        <v>0</v>
      </c>
      <c r="H1568" s="78">
        <v>0</v>
      </c>
      <c r="I1568" s="84">
        <v>0</v>
      </c>
      <c r="J1568" s="53">
        <v>0</v>
      </c>
      <c r="K1568" s="78">
        <v>0</v>
      </c>
      <c r="L1568" s="84">
        <v>0</v>
      </c>
      <c r="M1568" s="53">
        <v>0</v>
      </c>
      <c r="N1568" s="78">
        <v>0</v>
      </c>
    </row>
    <row r="1569" spans="1:14" ht="19.5" customHeight="1" outlineLevel="1" x14ac:dyDescent="0.2">
      <c r="A1569" s="101">
        <v>7</v>
      </c>
      <c r="B1569" s="81" t="s">
        <v>14</v>
      </c>
      <c r="C1569" s="84">
        <v>0</v>
      </c>
      <c r="D1569" s="53">
        <v>0</v>
      </c>
      <c r="E1569" s="78">
        <v>0</v>
      </c>
      <c r="F1569" s="84">
        <v>0</v>
      </c>
      <c r="G1569" s="53">
        <v>0</v>
      </c>
      <c r="H1569" s="78">
        <v>0</v>
      </c>
      <c r="I1569" s="84">
        <v>0</v>
      </c>
      <c r="J1569" s="53">
        <v>0</v>
      </c>
      <c r="K1569" s="78">
        <v>0</v>
      </c>
      <c r="L1569" s="84">
        <v>0</v>
      </c>
      <c r="M1569" s="53">
        <v>0</v>
      </c>
      <c r="N1569" s="78">
        <v>0</v>
      </c>
    </row>
    <row r="1570" spans="1:14" ht="19.5" customHeight="1" outlineLevel="1" x14ac:dyDescent="0.2">
      <c r="A1570" s="101">
        <v>8</v>
      </c>
      <c r="B1570" s="81" t="s">
        <v>15</v>
      </c>
      <c r="C1570" s="84">
        <v>0</v>
      </c>
      <c r="D1570" s="53">
        <v>0</v>
      </c>
      <c r="E1570" s="78">
        <v>0</v>
      </c>
      <c r="F1570" s="84">
        <v>0</v>
      </c>
      <c r="G1570" s="53">
        <v>0</v>
      </c>
      <c r="H1570" s="78">
        <v>0</v>
      </c>
      <c r="I1570" s="84">
        <v>0</v>
      </c>
      <c r="J1570" s="53">
        <v>0</v>
      </c>
      <c r="K1570" s="78">
        <v>0</v>
      </c>
      <c r="L1570" s="84">
        <v>0</v>
      </c>
      <c r="M1570" s="53">
        <v>0</v>
      </c>
      <c r="N1570" s="78">
        <v>0</v>
      </c>
    </row>
    <row r="1571" spans="1:14" ht="19.5" customHeight="1" outlineLevel="1" x14ac:dyDescent="0.2">
      <c r="A1571" s="101">
        <v>9</v>
      </c>
      <c r="B1571" s="81" t="s">
        <v>16</v>
      </c>
      <c r="C1571" s="84">
        <v>0</v>
      </c>
      <c r="D1571" s="53">
        <v>0</v>
      </c>
      <c r="E1571" s="78">
        <v>0</v>
      </c>
      <c r="F1571" s="84">
        <v>0</v>
      </c>
      <c r="G1571" s="53">
        <v>0</v>
      </c>
      <c r="H1571" s="78">
        <v>0</v>
      </c>
      <c r="I1571" s="84">
        <v>0</v>
      </c>
      <c r="J1571" s="53">
        <v>0</v>
      </c>
      <c r="K1571" s="78">
        <v>0</v>
      </c>
      <c r="L1571" s="84">
        <v>0</v>
      </c>
      <c r="M1571" s="53">
        <v>0</v>
      </c>
      <c r="N1571" s="78">
        <v>0</v>
      </c>
    </row>
    <row r="1572" spans="1:14" ht="19.5" customHeight="1" outlineLevel="1" x14ac:dyDescent="0.2">
      <c r="A1572" s="101">
        <v>10</v>
      </c>
      <c r="B1572" s="81" t="s">
        <v>17</v>
      </c>
      <c r="C1572" s="84">
        <v>0</v>
      </c>
      <c r="D1572" s="53">
        <v>0</v>
      </c>
      <c r="E1572" s="78">
        <v>0</v>
      </c>
      <c r="F1572" s="84">
        <v>0</v>
      </c>
      <c r="G1572" s="53">
        <v>0</v>
      </c>
      <c r="H1572" s="78">
        <v>0</v>
      </c>
      <c r="I1572" s="84">
        <v>0</v>
      </c>
      <c r="J1572" s="53">
        <v>0</v>
      </c>
      <c r="K1572" s="78">
        <v>0</v>
      </c>
      <c r="L1572" s="84">
        <v>0</v>
      </c>
      <c r="M1572" s="53">
        <v>0</v>
      </c>
      <c r="N1572" s="78">
        <v>0</v>
      </c>
    </row>
    <row r="1573" spans="1:14" ht="19.5" customHeight="1" outlineLevel="1" x14ac:dyDescent="0.2">
      <c r="A1573" s="101">
        <v>11</v>
      </c>
      <c r="B1573" s="81" t="s">
        <v>18</v>
      </c>
      <c r="C1573" s="84">
        <v>0</v>
      </c>
      <c r="D1573" s="53">
        <v>0</v>
      </c>
      <c r="E1573" s="78">
        <v>0</v>
      </c>
      <c r="F1573" s="84">
        <v>0</v>
      </c>
      <c r="G1573" s="53">
        <v>0</v>
      </c>
      <c r="H1573" s="78">
        <v>0</v>
      </c>
      <c r="I1573" s="84">
        <v>0</v>
      </c>
      <c r="J1573" s="53">
        <v>0</v>
      </c>
      <c r="K1573" s="78">
        <v>0</v>
      </c>
      <c r="L1573" s="84">
        <v>0</v>
      </c>
      <c r="M1573" s="53">
        <v>0</v>
      </c>
      <c r="N1573" s="78">
        <v>0</v>
      </c>
    </row>
    <row r="1574" spans="1:14" ht="19.5" customHeight="1" outlineLevel="1" x14ac:dyDescent="0.2">
      <c r="A1574" s="101">
        <v>12</v>
      </c>
      <c r="B1574" s="81" t="s">
        <v>19</v>
      </c>
      <c r="C1574" s="84">
        <v>0</v>
      </c>
      <c r="D1574" s="53">
        <v>0</v>
      </c>
      <c r="E1574" s="78">
        <v>0</v>
      </c>
      <c r="F1574" s="84">
        <v>0</v>
      </c>
      <c r="G1574" s="53">
        <v>0</v>
      </c>
      <c r="H1574" s="78">
        <v>0</v>
      </c>
      <c r="I1574" s="84">
        <v>0</v>
      </c>
      <c r="J1574" s="53">
        <v>0</v>
      </c>
      <c r="K1574" s="78">
        <v>0</v>
      </c>
      <c r="L1574" s="84">
        <v>0</v>
      </c>
      <c r="M1574" s="53">
        <v>0</v>
      </c>
      <c r="N1574" s="78">
        <v>0</v>
      </c>
    </row>
    <row r="1575" spans="1:14" ht="19.5" customHeight="1" outlineLevel="1" x14ac:dyDescent="0.2">
      <c r="A1575" s="101">
        <v>13</v>
      </c>
      <c r="B1575" s="81" t="s">
        <v>20</v>
      </c>
      <c r="C1575" s="84">
        <v>0</v>
      </c>
      <c r="D1575" s="53">
        <v>0</v>
      </c>
      <c r="E1575" s="78">
        <v>0</v>
      </c>
      <c r="F1575" s="84">
        <v>0</v>
      </c>
      <c r="G1575" s="53">
        <v>0</v>
      </c>
      <c r="H1575" s="78">
        <v>0</v>
      </c>
      <c r="I1575" s="84">
        <v>0</v>
      </c>
      <c r="J1575" s="53">
        <v>0</v>
      </c>
      <c r="K1575" s="78">
        <v>0</v>
      </c>
      <c r="L1575" s="84">
        <v>0</v>
      </c>
      <c r="M1575" s="53">
        <v>0</v>
      </c>
      <c r="N1575" s="78">
        <v>0</v>
      </c>
    </row>
    <row r="1576" spans="1:14" ht="19.5" customHeight="1" outlineLevel="1" x14ac:dyDescent="0.2">
      <c r="A1576" s="101">
        <v>14</v>
      </c>
      <c r="B1576" s="81" t="s">
        <v>21</v>
      </c>
      <c r="C1576" s="84">
        <v>0</v>
      </c>
      <c r="D1576" s="53">
        <v>0</v>
      </c>
      <c r="E1576" s="78">
        <v>0</v>
      </c>
      <c r="F1576" s="84">
        <v>0</v>
      </c>
      <c r="G1576" s="53">
        <v>0</v>
      </c>
      <c r="H1576" s="78">
        <v>0</v>
      </c>
      <c r="I1576" s="84">
        <v>0</v>
      </c>
      <c r="J1576" s="53">
        <v>0</v>
      </c>
      <c r="K1576" s="78">
        <v>0</v>
      </c>
      <c r="L1576" s="84">
        <v>0</v>
      </c>
      <c r="M1576" s="53">
        <v>0</v>
      </c>
      <c r="N1576" s="78">
        <v>0</v>
      </c>
    </row>
    <row r="1577" spans="1:14" ht="19.5" customHeight="1" outlineLevel="1" x14ac:dyDescent="0.2">
      <c r="A1577" s="101">
        <v>15</v>
      </c>
      <c r="B1577" s="81" t="s">
        <v>22</v>
      </c>
      <c r="C1577" s="84">
        <v>0</v>
      </c>
      <c r="D1577" s="53">
        <v>0</v>
      </c>
      <c r="E1577" s="78">
        <v>0</v>
      </c>
      <c r="F1577" s="84">
        <v>0.25</v>
      </c>
      <c r="G1577" s="53">
        <v>0.375</v>
      </c>
      <c r="H1577" s="78">
        <v>1500</v>
      </c>
      <c r="I1577" s="84">
        <v>0</v>
      </c>
      <c r="J1577" s="53">
        <v>0</v>
      </c>
      <c r="K1577" s="78">
        <v>0</v>
      </c>
      <c r="L1577" s="84">
        <v>0.25</v>
      </c>
      <c r="M1577" s="53">
        <v>0.375</v>
      </c>
      <c r="N1577" s="78">
        <v>1500</v>
      </c>
    </row>
    <row r="1578" spans="1:14" ht="19.5" customHeight="1" outlineLevel="1" x14ac:dyDescent="0.2">
      <c r="A1578" s="101">
        <v>16</v>
      </c>
      <c r="B1578" s="81" t="s">
        <v>23</v>
      </c>
      <c r="C1578" s="84">
        <v>11.3</v>
      </c>
      <c r="D1578" s="53">
        <v>27.092880000000001</v>
      </c>
      <c r="E1578" s="78">
        <v>2397.6</v>
      </c>
      <c r="F1578" s="84">
        <v>0</v>
      </c>
      <c r="G1578" s="53">
        <v>0</v>
      </c>
      <c r="H1578" s="78">
        <v>0</v>
      </c>
      <c r="I1578" s="84">
        <v>2.1</v>
      </c>
      <c r="J1578" s="53">
        <v>2.1</v>
      </c>
      <c r="K1578" s="78">
        <v>1000</v>
      </c>
      <c r="L1578" s="84">
        <v>6.7</v>
      </c>
      <c r="M1578" s="53">
        <v>14.596440000000001</v>
      </c>
      <c r="N1578" s="78">
        <v>2178.5731343283583</v>
      </c>
    </row>
    <row r="1579" spans="1:14" ht="19.5" customHeight="1" outlineLevel="1" x14ac:dyDescent="0.2">
      <c r="A1579" s="101">
        <v>17</v>
      </c>
      <c r="B1579" s="81" t="s">
        <v>24</v>
      </c>
      <c r="C1579" s="84">
        <v>5.27</v>
      </c>
      <c r="D1579" s="53">
        <v>7.3779999999999992</v>
      </c>
      <c r="E1579" s="78">
        <v>1400</v>
      </c>
      <c r="F1579" s="84">
        <v>0</v>
      </c>
      <c r="G1579" s="53">
        <v>0</v>
      </c>
      <c r="H1579" s="78">
        <v>0</v>
      </c>
      <c r="I1579" s="84">
        <v>0.45</v>
      </c>
      <c r="J1579" s="53">
        <v>0.36</v>
      </c>
      <c r="K1579" s="78">
        <v>800</v>
      </c>
      <c r="L1579" s="84">
        <v>2.86</v>
      </c>
      <c r="M1579" s="53">
        <v>3.8689999999999998</v>
      </c>
      <c r="N1579" s="78">
        <v>1352.7972027972028</v>
      </c>
    </row>
    <row r="1580" spans="1:14" ht="19.5" customHeight="1" outlineLevel="1" x14ac:dyDescent="0.2">
      <c r="A1580" s="101">
        <v>18</v>
      </c>
      <c r="B1580" s="81" t="s">
        <v>25</v>
      </c>
      <c r="C1580" s="84">
        <v>0</v>
      </c>
      <c r="D1580" s="53">
        <v>0</v>
      </c>
      <c r="E1580" s="78">
        <v>0</v>
      </c>
      <c r="F1580" s="84">
        <v>0</v>
      </c>
      <c r="G1580" s="53">
        <v>0</v>
      </c>
      <c r="H1580" s="78">
        <v>0</v>
      </c>
      <c r="I1580" s="84">
        <v>0</v>
      </c>
      <c r="J1580" s="53">
        <v>0</v>
      </c>
      <c r="K1580" s="78">
        <v>0</v>
      </c>
      <c r="L1580" s="84">
        <v>0</v>
      </c>
      <c r="M1580" s="53">
        <v>0</v>
      </c>
      <c r="N1580" s="78">
        <v>0</v>
      </c>
    </row>
    <row r="1581" spans="1:14" ht="19.5" customHeight="1" outlineLevel="1" x14ac:dyDescent="0.2">
      <c r="A1581" s="101">
        <v>19</v>
      </c>
      <c r="B1581" s="81" t="s">
        <v>26</v>
      </c>
      <c r="C1581" s="84">
        <v>0</v>
      </c>
      <c r="D1581" s="53">
        <v>0</v>
      </c>
      <c r="E1581" s="78">
        <v>0</v>
      </c>
      <c r="F1581" s="84">
        <v>0</v>
      </c>
      <c r="G1581" s="53">
        <v>0</v>
      </c>
      <c r="H1581" s="78">
        <v>0</v>
      </c>
      <c r="I1581" s="84">
        <v>0</v>
      </c>
      <c r="J1581" s="53">
        <v>0</v>
      </c>
      <c r="K1581" s="78">
        <v>0</v>
      </c>
      <c r="L1581" s="84">
        <v>0</v>
      </c>
      <c r="M1581" s="53">
        <v>0</v>
      </c>
      <c r="N1581" s="78">
        <v>0</v>
      </c>
    </row>
    <row r="1582" spans="1:14" ht="19.5" customHeight="1" outlineLevel="1" x14ac:dyDescent="0.2">
      <c r="A1582" s="101">
        <v>20</v>
      </c>
      <c r="B1582" s="81" t="s">
        <v>27</v>
      </c>
      <c r="C1582" s="84">
        <v>3.27</v>
      </c>
      <c r="D1582" s="53">
        <v>1.7985</v>
      </c>
      <c r="E1582" s="78">
        <v>550</v>
      </c>
      <c r="F1582" s="84">
        <v>5.84</v>
      </c>
      <c r="G1582" s="53">
        <v>3.2120000000000002</v>
      </c>
      <c r="H1582" s="78">
        <v>550</v>
      </c>
      <c r="I1582" s="84">
        <v>5.16</v>
      </c>
      <c r="J1582" s="53">
        <v>2.8379999999999996</v>
      </c>
      <c r="K1582" s="78">
        <v>549.99999999999989</v>
      </c>
      <c r="L1582" s="84">
        <v>4.7566666666666668</v>
      </c>
      <c r="M1582" s="53">
        <v>2.6161666666666665</v>
      </c>
      <c r="N1582" s="78">
        <v>550</v>
      </c>
    </row>
    <row r="1583" spans="1:14" ht="19.5" customHeight="1" outlineLevel="1" x14ac:dyDescent="0.2">
      <c r="A1583" s="101">
        <v>21</v>
      </c>
      <c r="B1583" s="81" t="s">
        <v>28</v>
      </c>
      <c r="C1583" s="84">
        <v>4.5999999999999996</v>
      </c>
      <c r="D1583" s="53">
        <v>14.627999999999998</v>
      </c>
      <c r="E1583" s="78">
        <v>3180</v>
      </c>
      <c r="F1583" s="84">
        <v>7.47</v>
      </c>
      <c r="G1583" s="53">
        <v>23.769539999999999</v>
      </c>
      <c r="H1583" s="78">
        <v>3182</v>
      </c>
      <c r="I1583" s="84">
        <v>12.71</v>
      </c>
      <c r="J1583" s="53">
        <v>39.181200000000004</v>
      </c>
      <c r="K1583" s="78">
        <v>3082.7065302911096</v>
      </c>
      <c r="L1583" s="84">
        <v>8.26</v>
      </c>
      <c r="M1583" s="53">
        <v>25.859580000000005</v>
      </c>
      <c r="N1583" s="78">
        <v>3130.6997578692503</v>
      </c>
    </row>
    <row r="1584" spans="1:14" ht="19.5" customHeight="1" outlineLevel="1" x14ac:dyDescent="0.2">
      <c r="A1584" s="101">
        <v>22</v>
      </c>
      <c r="B1584" s="81" t="s">
        <v>29</v>
      </c>
      <c r="C1584" s="84">
        <v>0</v>
      </c>
      <c r="D1584" s="53">
        <v>0</v>
      </c>
      <c r="E1584" s="78">
        <v>0</v>
      </c>
      <c r="F1584" s="84">
        <v>0</v>
      </c>
      <c r="G1584" s="53">
        <v>0</v>
      </c>
      <c r="H1584" s="78">
        <v>0</v>
      </c>
      <c r="I1584" s="84">
        <v>0</v>
      </c>
      <c r="J1584" s="53">
        <v>0</v>
      </c>
      <c r="K1584" s="78">
        <v>0</v>
      </c>
      <c r="L1584" s="84">
        <v>0</v>
      </c>
      <c r="M1584" s="53">
        <v>0</v>
      </c>
      <c r="N1584" s="78">
        <v>0</v>
      </c>
    </row>
    <row r="1585" spans="1:14" ht="19.5" customHeight="1" outlineLevel="1" x14ac:dyDescent="0.2">
      <c r="A1585" s="101">
        <v>23</v>
      </c>
      <c r="B1585" s="81" t="s">
        <v>30</v>
      </c>
      <c r="C1585" s="84">
        <v>0</v>
      </c>
      <c r="D1585" s="53">
        <v>0</v>
      </c>
      <c r="E1585" s="78">
        <v>0</v>
      </c>
      <c r="F1585" s="84">
        <v>0</v>
      </c>
      <c r="G1585" s="53">
        <v>0</v>
      </c>
      <c r="H1585" s="78">
        <v>0</v>
      </c>
      <c r="I1585" s="84">
        <v>0</v>
      </c>
      <c r="J1585" s="53">
        <v>0</v>
      </c>
      <c r="K1585" s="78">
        <v>0</v>
      </c>
      <c r="L1585" s="84">
        <v>0</v>
      </c>
      <c r="M1585" s="53">
        <v>0</v>
      </c>
      <c r="N1585" s="78">
        <v>0</v>
      </c>
    </row>
    <row r="1586" spans="1:14" ht="19.5" customHeight="1" outlineLevel="1" x14ac:dyDescent="0.2">
      <c r="A1586" s="101">
        <v>24</v>
      </c>
      <c r="B1586" s="81" t="s">
        <v>31</v>
      </c>
      <c r="C1586" s="84">
        <v>0</v>
      </c>
      <c r="D1586" s="53">
        <v>0</v>
      </c>
      <c r="E1586" s="78">
        <v>0</v>
      </c>
      <c r="F1586" s="84">
        <v>0</v>
      </c>
      <c r="G1586" s="53">
        <v>0</v>
      </c>
      <c r="H1586" s="78">
        <v>0</v>
      </c>
      <c r="I1586" s="84">
        <v>0</v>
      </c>
      <c r="J1586" s="53">
        <v>0</v>
      </c>
      <c r="K1586" s="78">
        <v>0</v>
      </c>
      <c r="L1586" s="84">
        <v>0</v>
      </c>
      <c r="M1586" s="53">
        <v>0</v>
      </c>
      <c r="N1586" s="78">
        <v>0</v>
      </c>
    </row>
    <row r="1587" spans="1:14" ht="19.5" customHeight="1" outlineLevel="1" x14ac:dyDescent="0.2">
      <c r="A1587" s="101">
        <v>25</v>
      </c>
      <c r="B1587" s="81" t="s">
        <v>32</v>
      </c>
      <c r="C1587" s="84">
        <v>0.02</v>
      </c>
      <c r="D1587" s="53">
        <v>2.7E-2</v>
      </c>
      <c r="E1587" s="78">
        <v>1350</v>
      </c>
      <c r="F1587" s="84">
        <v>0</v>
      </c>
      <c r="G1587" s="53">
        <v>0</v>
      </c>
      <c r="H1587" s="78">
        <v>0</v>
      </c>
      <c r="I1587" s="84">
        <v>0.37</v>
      </c>
      <c r="J1587" s="53">
        <v>0.92159999999999997</v>
      </c>
      <c r="K1587" s="78">
        <v>2490.8108108108108</v>
      </c>
      <c r="L1587" s="84">
        <v>0.19500000000000001</v>
      </c>
      <c r="M1587" s="53">
        <v>0.4743</v>
      </c>
      <c r="N1587" s="78">
        <v>2432.3076923076924</v>
      </c>
    </row>
    <row r="1588" spans="1:14" ht="19.5" customHeight="1" outlineLevel="1" x14ac:dyDescent="0.2">
      <c r="A1588" s="101">
        <v>26</v>
      </c>
      <c r="B1588" s="81" t="s">
        <v>33</v>
      </c>
      <c r="C1588" s="84">
        <v>0</v>
      </c>
      <c r="D1588" s="53">
        <v>0</v>
      </c>
      <c r="E1588" s="78">
        <v>0</v>
      </c>
      <c r="F1588" s="84">
        <v>0</v>
      </c>
      <c r="G1588" s="53">
        <v>0</v>
      </c>
      <c r="H1588" s="78">
        <v>0</v>
      </c>
      <c r="I1588" s="84">
        <v>0</v>
      </c>
      <c r="J1588" s="53">
        <v>0</v>
      </c>
      <c r="K1588" s="78">
        <v>0</v>
      </c>
      <c r="L1588" s="84">
        <v>0</v>
      </c>
      <c r="M1588" s="53">
        <v>0</v>
      </c>
      <c r="N1588" s="78">
        <v>0</v>
      </c>
    </row>
    <row r="1589" spans="1:14" ht="19.5" customHeight="1" outlineLevel="1" x14ac:dyDescent="0.2">
      <c r="A1589" s="101">
        <v>27</v>
      </c>
      <c r="B1589" s="81" t="s">
        <v>34</v>
      </c>
      <c r="C1589" s="84">
        <v>0.8</v>
      </c>
      <c r="D1589" s="53">
        <v>1.9816</v>
      </c>
      <c r="E1589" s="78">
        <v>2477</v>
      </c>
      <c r="F1589" s="84">
        <v>0</v>
      </c>
      <c r="G1589" s="53">
        <v>0</v>
      </c>
      <c r="H1589" s="78">
        <v>0</v>
      </c>
      <c r="I1589" s="84">
        <v>0</v>
      </c>
      <c r="J1589" s="53">
        <v>0</v>
      </c>
      <c r="K1589" s="78">
        <v>0</v>
      </c>
      <c r="L1589" s="84">
        <v>0.8</v>
      </c>
      <c r="M1589" s="53">
        <v>1.9816</v>
      </c>
      <c r="N1589" s="78">
        <v>2477</v>
      </c>
    </row>
    <row r="1590" spans="1:14" ht="19.5" customHeight="1" outlineLevel="1" x14ac:dyDescent="0.2">
      <c r="A1590" s="101">
        <v>28</v>
      </c>
      <c r="B1590" s="81" t="s">
        <v>35</v>
      </c>
      <c r="C1590" s="84">
        <v>0</v>
      </c>
      <c r="D1590" s="53">
        <v>0</v>
      </c>
      <c r="E1590" s="78">
        <v>0</v>
      </c>
      <c r="F1590" s="84">
        <v>0</v>
      </c>
      <c r="G1590" s="53">
        <v>0</v>
      </c>
      <c r="H1590" s="78">
        <v>0</v>
      </c>
      <c r="I1590" s="84">
        <v>0</v>
      </c>
      <c r="J1590" s="53">
        <v>0</v>
      </c>
      <c r="K1590" s="78">
        <v>0</v>
      </c>
      <c r="L1590" s="84">
        <v>0</v>
      </c>
      <c r="M1590" s="53">
        <v>0</v>
      </c>
      <c r="N1590" s="78">
        <v>0</v>
      </c>
    </row>
    <row r="1591" spans="1:14" ht="19.5" customHeight="1" outlineLevel="1" x14ac:dyDescent="0.2">
      <c r="A1591" s="101">
        <v>29</v>
      </c>
      <c r="B1591" s="81" t="s">
        <v>36</v>
      </c>
      <c r="C1591" s="84">
        <v>0.05</v>
      </c>
      <c r="D1591" s="53">
        <v>0.1075</v>
      </c>
      <c r="E1591" s="78">
        <v>2150</v>
      </c>
      <c r="F1591" s="84">
        <v>0</v>
      </c>
      <c r="G1591" s="53">
        <v>0</v>
      </c>
      <c r="H1591" s="78">
        <v>0</v>
      </c>
      <c r="I1591" s="84">
        <v>0</v>
      </c>
      <c r="J1591" s="53">
        <v>0</v>
      </c>
      <c r="K1591" s="78">
        <v>0</v>
      </c>
      <c r="L1591" s="84">
        <v>0.05</v>
      </c>
      <c r="M1591" s="53">
        <v>0.1075</v>
      </c>
      <c r="N1591" s="78">
        <v>2150</v>
      </c>
    </row>
    <row r="1592" spans="1:14" ht="19.5" customHeight="1" outlineLevel="1" x14ac:dyDescent="0.2">
      <c r="A1592" s="101">
        <v>30</v>
      </c>
      <c r="B1592" s="81" t="s">
        <v>37</v>
      </c>
      <c r="C1592" s="84">
        <v>0</v>
      </c>
      <c r="D1592" s="53">
        <v>0</v>
      </c>
      <c r="E1592" s="78">
        <v>0</v>
      </c>
      <c r="F1592" s="84">
        <v>0</v>
      </c>
      <c r="G1592" s="53">
        <v>0</v>
      </c>
      <c r="H1592" s="78">
        <v>0</v>
      </c>
      <c r="I1592" s="84">
        <v>0</v>
      </c>
      <c r="J1592" s="53">
        <v>0</v>
      </c>
      <c r="K1592" s="78">
        <v>0</v>
      </c>
      <c r="L1592" s="84">
        <v>0</v>
      </c>
      <c r="M1592" s="53">
        <v>0</v>
      </c>
      <c r="N1592" s="78">
        <v>0</v>
      </c>
    </row>
    <row r="1593" spans="1:14" ht="19.5" customHeight="1" outlineLevel="1" x14ac:dyDescent="0.2">
      <c r="A1593" s="101">
        <v>31</v>
      </c>
      <c r="B1593" s="81" t="s">
        <v>38</v>
      </c>
      <c r="C1593" s="84">
        <v>0</v>
      </c>
      <c r="D1593" s="53">
        <v>0</v>
      </c>
      <c r="E1593" s="78">
        <v>0</v>
      </c>
      <c r="F1593" s="84">
        <v>0</v>
      </c>
      <c r="G1593" s="53">
        <v>0</v>
      </c>
      <c r="H1593" s="78">
        <v>0</v>
      </c>
      <c r="I1593" s="84">
        <v>0</v>
      </c>
      <c r="J1593" s="53">
        <v>0</v>
      </c>
      <c r="K1593" s="78">
        <v>0</v>
      </c>
      <c r="L1593" s="84">
        <v>0</v>
      </c>
      <c r="M1593" s="53">
        <v>0</v>
      </c>
      <c r="N1593" s="78">
        <v>0</v>
      </c>
    </row>
    <row r="1594" spans="1:14" ht="19.5" customHeight="1" outlineLevel="1" x14ac:dyDescent="0.2">
      <c r="A1594" s="101">
        <v>32</v>
      </c>
      <c r="B1594" s="81" t="s">
        <v>39</v>
      </c>
      <c r="C1594" s="84">
        <v>0</v>
      </c>
      <c r="D1594" s="53">
        <v>0</v>
      </c>
      <c r="E1594" s="78">
        <v>0</v>
      </c>
      <c r="F1594" s="84">
        <v>0</v>
      </c>
      <c r="G1594" s="53">
        <v>0</v>
      </c>
      <c r="H1594" s="78">
        <v>0</v>
      </c>
      <c r="I1594" s="84">
        <v>0</v>
      </c>
      <c r="J1594" s="53">
        <v>0</v>
      </c>
      <c r="K1594" s="78">
        <v>0</v>
      </c>
      <c r="L1594" s="84">
        <v>0</v>
      </c>
      <c r="M1594" s="53">
        <v>0</v>
      </c>
      <c r="N1594" s="78">
        <v>0</v>
      </c>
    </row>
    <row r="1595" spans="1:14" ht="19.5" customHeight="1" outlineLevel="1" thickBot="1" x14ac:dyDescent="0.25">
      <c r="A1595" s="102">
        <v>33</v>
      </c>
      <c r="B1595" s="91" t="s">
        <v>40</v>
      </c>
      <c r="C1595" s="92">
        <v>0</v>
      </c>
      <c r="D1595" s="93">
        <v>0</v>
      </c>
      <c r="E1595" s="94">
        <v>0</v>
      </c>
      <c r="F1595" s="92">
        <v>0</v>
      </c>
      <c r="G1595" s="93">
        <v>0</v>
      </c>
      <c r="H1595" s="94">
        <v>0</v>
      </c>
      <c r="I1595" s="92">
        <v>0</v>
      </c>
      <c r="J1595" s="93">
        <v>0</v>
      </c>
      <c r="K1595" s="94">
        <v>0</v>
      </c>
      <c r="L1595" s="92">
        <v>0</v>
      </c>
      <c r="M1595" s="93">
        <v>0</v>
      </c>
      <c r="N1595" s="94">
        <v>0</v>
      </c>
    </row>
    <row r="1596" spans="1:14" ht="19.5" customHeight="1" thickBot="1" x14ac:dyDescent="0.25">
      <c r="A1596" s="151" t="s">
        <v>41</v>
      </c>
      <c r="B1596" s="152"/>
      <c r="C1596" s="96">
        <v>58.29999999999999</v>
      </c>
      <c r="D1596" s="97">
        <v>146.69392639999992</v>
      </c>
      <c r="E1596" s="98">
        <v>2516.1908473413373</v>
      </c>
      <c r="F1596" s="96">
        <v>98</v>
      </c>
      <c r="G1596" s="97">
        <v>275.54241999999994</v>
      </c>
      <c r="H1596" s="98">
        <v>2811.6573469387749</v>
      </c>
      <c r="I1596" s="96">
        <v>97.72</v>
      </c>
      <c r="J1596" s="97">
        <v>270.37307740000006</v>
      </c>
      <c r="K1596" s="98">
        <v>2766.8141363078189</v>
      </c>
      <c r="L1596" s="96">
        <v>84.673333333333332</v>
      </c>
      <c r="M1596" s="97">
        <v>230.86980793333331</v>
      </c>
      <c r="N1596" s="98">
        <v>2726.5940626722304</v>
      </c>
    </row>
    <row r="1597" spans="1:14" ht="34.5" customHeight="1" x14ac:dyDescent="0.2">
      <c r="A1597" s="153" t="s">
        <v>247</v>
      </c>
      <c r="B1597" s="154"/>
      <c r="C1597" s="154"/>
      <c r="D1597" s="154"/>
      <c r="E1597" s="154"/>
      <c r="F1597" s="154"/>
      <c r="G1597" s="154"/>
      <c r="H1597" s="154"/>
      <c r="I1597" s="154"/>
      <c r="J1597" s="154"/>
      <c r="K1597" s="154"/>
      <c r="L1597" s="154"/>
      <c r="M1597" s="154"/>
      <c r="N1597" s="154"/>
    </row>
    <row r="1598" spans="1:14" ht="19.5" customHeight="1" thickBot="1" x14ac:dyDescent="0.25">
      <c r="A1598" s="50"/>
      <c r="B1598" s="139" t="s">
        <v>84</v>
      </c>
      <c r="C1598" s="52"/>
      <c r="D1598" s="52"/>
      <c r="E1598" s="52"/>
      <c r="F1598" s="52"/>
      <c r="G1598" s="52"/>
      <c r="H1598" s="52"/>
      <c r="I1598" s="52"/>
      <c r="J1598" s="52"/>
      <c r="K1598" s="155" t="s">
        <v>1</v>
      </c>
      <c r="L1598" s="154"/>
      <c r="M1598" s="154"/>
      <c r="N1598" s="154"/>
    </row>
    <row r="1599" spans="1:14" ht="19.5" customHeight="1" x14ac:dyDescent="0.2">
      <c r="A1599" s="156" t="s">
        <v>2</v>
      </c>
      <c r="B1599" s="158" t="s">
        <v>3</v>
      </c>
      <c r="C1599" s="148" t="s">
        <v>243</v>
      </c>
      <c r="D1599" s="149"/>
      <c r="E1599" s="150"/>
      <c r="F1599" s="148" t="s">
        <v>244</v>
      </c>
      <c r="G1599" s="149"/>
      <c r="H1599" s="150"/>
      <c r="I1599" s="148" t="s">
        <v>246</v>
      </c>
      <c r="J1599" s="149"/>
      <c r="K1599" s="150"/>
      <c r="L1599" s="148" t="s">
        <v>4</v>
      </c>
      <c r="M1599" s="149"/>
      <c r="N1599" s="150"/>
    </row>
    <row r="1600" spans="1:14" ht="19.5" customHeight="1" thickBot="1" x14ac:dyDescent="0.25">
      <c r="A1600" s="157"/>
      <c r="B1600" s="159"/>
      <c r="C1600" s="85" t="s">
        <v>5</v>
      </c>
      <c r="D1600" s="79" t="s">
        <v>6</v>
      </c>
      <c r="E1600" s="80" t="s">
        <v>7</v>
      </c>
      <c r="F1600" s="85" t="s">
        <v>5</v>
      </c>
      <c r="G1600" s="79" t="s">
        <v>6</v>
      </c>
      <c r="H1600" s="80" t="s">
        <v>7</v>
      </c>
      <c r="I1600" s="85" t="s">
        <v>5</v>
      </c>
      <c r="J1600" s="79" t="s">
        <v>6</v>
      </c>
      <c r="K1600" s="80" t="s">
        <v>7</v>
      </c>
      <c r="L1600" s="85" t="s">
        <v>5</v>
      </c>
      <c r="M1600" s="79" t="s">
        <v>6</v>
      </c>
      <c r="N1600" s="80" t="s">
        <v>7</v>
      </c>
    </row>
    <row r="1601" spans="1:14" ht="19.5" customHeight="1" outlineLevel="1" x14ac:dyDescent="0.2">
      <c r="A1601" s="100">
        <v>1</v>
      </c>
      <c r="B1601" s="86" t="s">
        <v>8</v>
      </c>
      <c r="C1601" s="87">
        <v>0</v>
      </c>
      <c r="D1601" s="88">
        <v>0</v>
      </c>
      <c r="E1601" s="89">
        <v>0</v>
      </c>
      <c r="F1601" s="87">
        <v>3</v>
      </c>
      <c r="G1601" s="88">
        <v>2.1</v>
      </c>
      <c r="H1601" s="89">
        <v>700</v>
      </c>
      <c r="I1601" s="87">
        <v>10.6</v>
      </c>
      <c r="J1601" s="88">
        <v>19.675000000000001</v>
      </c>
      <c r="K1601" s="89">
        <v>1856.132075471698</v>
      </c>
      <c r="L1601" s="87">
        <v>6.8</v>
      </c>
      <c r="M1601" s="88">
        <v>10.887500000000001</v>
      </c>
      <c r="N1601" s="89">
        <v>1601.1029411764709</v>
      </c>
    </row>
    <row r="1602" spans="1:14" ht="19.5" customHeight="1" outlineLevel="1" x14ac:dyDescent="0.2">
      <c r="A1602" s="101">
        <v>2</v>
      </c>
      <c r="B1602" s="81" t="s">
        <v>9</v>
      </c>
      <c r="C1602" s="84">
        <v>0</v>
      </c>
      <c r="D1602" s="53">
        <v>0</v>
      </c>
      <c r="E1602" s="78">
        <v>0</v>
      </c>
      <c r="F1602" s="84">
        <v>0</v>
      </c>
      <c r="G1602" s="53">
        <v>0</v>
      </c>
      <c r="H1602" s="78">
        <v>0</v>
      </c>
      <c r="I1602" s="84">
        <v>0</v>
      </c>
      <c r="J1602" s="53">
        <v>0</v>
      </c>
      <c r="K1602" s="78">
        <v>0</v>
      </c>
      <c r="L1602" s="84">
        <v>0</v>
      </c>
      <c r="M1602" s="53">
        <v>0</v>
      </c>
      <c r="N1602" s="78">
        <v>0</v>
      </c>
    </row>
    <row r="1603" spans="1:14" ht="19.5" customHeight="1" outlineLevel="1" x14ac:dyDescent="0.2">
      <c r="A1603" s="101">
        <v>3</v>
      </c>
      <c r="B1603" s="81" t="s">
        <v>10</v>
      </c>
      <c r="C1603" s="84">
        <v>0</v>
      </c>
      <c r="D1603" s="53">
        <v>0</v>
      </c>
      <c r="E1603" s="78">
        <v>0</v>
      </c>
      <c r="F1603" s="84">
        <v>0</v>
      </c>
      <c r="G1603" s="53">
        <v>0</v>
      </c>
      <c r="H1603" s="78">
        <v>0</v>
      </c>
      <c r="I1603" s="84">
        <v>0</v>
      </c>
      <c r="J1603" s="53">
        <v>0</v>
      </c>
      <c r="K1603" s="78">
        <v>0</v>
      </c>
      <c r="L1603" s="84">
        <v>0</v>
      </c>
      <c r="M1603" s="53">
        <v>0</v>
      </c>
      <c r="N1603" s="78">
        <v>0</v>
      </c>
    </row>
    <row r="1604" spans="1:14" ht="19.5" customHeight="1" outlineLevel="1" x14ac:dyDescent="0.2">
      <c r="A1604" s="101">
        <v>4</v>
      </c>
      <c r="B1604" s="81" t="s">
        <v>11</v>
      </c>
      <c r="C1604" s="84">
        <v>0</v>
      </c>
      <c r="D1604" s="53">
        <v>0</v>
      </c>
      <c r="E1604" s="78">
        <v>0</v>
      </c>
      <c r="F1604" s="84">
        <v>0</v>
      </c>
      <c r="G1604" s="53">
        <v>0</v>
      </c>
      <c r="H1604" s="78">
        <v>0</v>
      </c>
      <c r="I1604" s="84">
        <v>0</v>
      </c>
      <c r="J1604" s="53">
        <v>0</v>
      </c>
      <c r="K1604" s="78">
        <v>0</v>
      </c>
      <c r="L1604" s="84">
        <v>0</v>
      </c>
      <c r="M1604" s="53">
        <v>0</v>
      </c>
      <c r="N1604" s="78">
        <v>0</v>
      </c>
    </row>
    <row r="1605" spans="1:14" ht="19.5" customHeight="1" outlineLevel="1" x14ac:dyDescent="0.2">
      <c r="A1605" s="101">
        <v>5</v>
      </c>
      <c r="B1605" s="81" t="s">
        <v>12</v>
      </c>
      <c r="C1605" s="84">
        <v>0</v>
      </c>
      <c r="D1605" s="53">
        <v>0</v>
      </c>
      <c r="E1605" s="78">
        <v>0</v>
      </c>
      <c r="F1605" s="84">
        <v>0</v>
      </c>
      <c r="G1605" s="53">
        <v>0</v>
      </c>
      <c r="H1605" s="78">
        <v>0</v>
      </c>
      <c r="I1605" s="84">
        <v>0</v>
      </c>
      <c r="J1605" s="53">
        <v>0</v>
      </c>
      <c r="K1605" s="78">
        <v>0</v>
      </c>
      <c r="L1605" s="84">
        <v>0</v>
      </c>
      <c r="M1605" s="53">
        <v>0</v>
      </c>
      <c r="N1605" s="78">
        <v>0</v>
      </c>
    </row>
    <row r="1606" spans="1:14" ht="19.5" customHeight="1" outlineLevel="1" x14ac:dyDescent="0.2">
      <c r="A1606" s="101">
        <v>6</v>
      </c>
      <c r="B1606" s="81" t="s">
        <v>13</v>
      </c>
      <c r="C1606" s="84">
        <v>0</v>
      </c>
      <c r="D1606" s="53">
        <v>0</v>
      </c>
      <c r="E1606" s="78">
        <v>0</v>
      </c>
      <c r="F1606" s="84">
        <v>0</v>
      </c>
      <c r="G1606" s="53">
        <v>0</v>
      </c>
      <c r="H1606" s="78">
        <v>0</v>
      </c>
      <c r="I1606" s="84">
        <v>0</v>
      </c>
      <c r="J1606" s="53">
        <v>0</v>
      </c>
      <c r="K1606" s="78">
        <v>0</v>
      </c>
      <c r="L1606" s="84">
        <v>0</v>
      </c>
      <c r="M1606" s="53">
        <v>0</v>
      </c>
      <c r="N1606" s="78">
        <v>0</v>
      </c>
    </row>
    <row r="1607" spans="1:14" ht="19.5" customHeight="1" outlineLevel="1" x14ac:dyDescent="0.2">
      <c r="A1607" s="101">
        <v>7</v>
      </c>
      <c r="B1607" s="81" t="s">
        <v>14</v>
      </c>
      <c r="C1607" s="84">
        <v>0</v>
      </c>
      <c r="D1607" s="53">
        <v>0</v>
      </c>
      <c r="E1607" s="78">
        <v>0</v>
      </c>
      <c r="F1607" s="84">
        <v>0</v>
      </c>
      <c r="G1607" s="53">
        <v>0</v>
      </c>
      <c r="H1607" s="78">
        <v>0</v>
      </c>
      <c r="I1607" s="84">
        <v>0</v>
      </c>
      <c r="J1607" s="53">
        <v>0</v>
      </c>
      <c r="K1607" s="78">
        <v>0</v>
      </c>
      <c r="L1607" s="84">
        <v>0</v>
      </c>
      <c r="M1607" s="53">
        <v>0</v>
      </c>
      <c r="N1607" s="78">
        <v>0</v>
      </c>
    </row>
    <row r="1608" spans="1:14" ht="19.5" customHeight="1" outlineLevel="1" x14ac:dyDescent="0.2">
      <c r="A1608" s="101">
        <v>8</v>
      </c>
      <c r="B1608" s="81" t="s">
        <v>15</v>
      </c>
      <c r="C1608" s="84">
        <v>0</v>
      </c>
      <c r="D1608" s="53">
        <v>0</v>
      </c>
      <c r="E1608" s="78">
        <v>0</v>
      </c>
      <c r="F1608" s="84">
        <v>0</v>
      </c>
      <c r="G1608" s="53">
        <v>0</v>
      </c>
      <c r="H1608" s="78">
        <v>0</v>
      </c>
      <c r="I1608" s="84">
        <v>0</v>
      </c>
      <c r="J1608" s="53">
        <v>0</v>
      </c>
      <c r="K1608" s="78">
        <v>0</v>
      </c>
      <c r="L1608" s="84">
        <v>0</v>
      </c>
      <c r="M1608" s="53">
        <v>0</v>
      </c>
      <c r="N1608" s="78">
        <v>0</v>
      </c>
    </row>
    <row r="1609" spans="1:14" ht="19.5" customHeight="1" outlineLevel="1" x14ac:dyDescent="0.2">
      <c r="A1609" s="101">
        <v>9</v>
      </c>
      <c r="B1609" s="81" t="s">
        <v>16</v>
      </c>
      <c r="C1609" s="84">
        <v>0</v>
      </c>
      <c r="D1609" s="53">
        <v>0</v>
      </c>
      <c r="E1609" s="78">
        <v>0</v>
      </c>
      <c r="F1609" s="84">
        <v>0</v>
      </c>
      <c r="G1609" s="53">
        <v>0</v>
      </c>
      <c r="H1609" s="78">
        <v>0</v>
      </c>
      <c r="I1609" s="84">
        <v>0</v>
      </c>
      <c r="J1609" s="53">
        <v>0</v>
      </c>
      <c r="K1609" s="78">
        <v>0</v>
      </c>
      <c r="L1609" s="84">
        <v>0</v>
      </c>
      <c r="M1609" s="53">
        <v>0</v>
      </c>
      <c r="N1609" s="78">
        <v>0</v>
      </c>
    </row>
    <row r="1610" spans="1:14" ht="19.5" customHeight="1" outlineLevel="1" x14ac:dyDescent="0.2">
      <c r="A1610" s="101">
        <v>10</v>
      </c>
      <c r="B1610" s="81" t="s">
        <v>17</v>
      </c>
      <c r="C1610" s="84">
        <v>0</v>
      </c>
      <c r="D1610" s="53">
        <v>0</v>
      </c>
      <c r="E1610" s="78">
        <v>0</v>
      </c>
      <c r="F1610" s="84">
        <v>0</v>
      </c>
      <c r="G1610" s="53">
        <v>0</v>
      </c>
      <c r="H1610" s="78">
        <v>0</v>
      </c>
      <c r="I1610" s="84">
        <v>0</v>
      </c>
      <c r="J1610" s="53">
        <v>0</v>
      </c>
      <c r="K1610" s="78">
        <v>0</v>
      </c>
      <c r="L1610" s="84">
        <v>0</v>
      </c>
      <c r="M1610" s="53">
        <v>0</v>
      </c>
      <c r="N1610" s="78">
        <v>0</v>
      </c>
    </row>
    <row r="1611" spans="1:14" ht="19.5" customHeight="1" outlineLevel="1" x14ac:dyDescent="0.2">
      <c r="A1611" s="101">
        <v>11</v>
      </c>
      <c r="B1611" s="81" t="s">
        <v>18</v>
      </c>
      <c r="C1611" s="84">
        <v>0</v>
      </c>
      <c r="D1611" s="53">
        <v>0</v>
      </c>
      <c r="E1611" s="78">
        <v>0</v>
      </c>
      <c r="F1611" s="84">
        <v>0.5</v>
      </c>
      <c r="G1611" s="53">
        <v>0.375</v>
      </c>
      <c r="H1611" s="78">
        <v>750</v>
      </c>
      <c r="I1611" s="84">
        <v>0</v>
      </c>
      <c r="J1611" s="53">
        <v>0</v>
      </c>
      <c r="K1611" s="78">
        <v>0</v>
      </c>
      <c r="L1611" s="84">
        <v>0.5</v>
      </c>
      <c r="M1611" s="53">
        <v>0.375</v>
      </c>
      <c r="N1611" s="78">
        <v>750</v>
      </c>
    </row>
    <row r="1612" spans="1:14" ht="19.5" customHeight="1" outlineLevel="1" x14ac:dyDescent="0.2">
      <c r="A1612" s="101">
        <v>12</v>
      </c>
      <c r="B1612" s="81" t="s">
        <v>19</v>
      </c>
      <c r="C1612" s="84">
        <v>0</v>
      </c>
      <c r="D1612" s="53">
        <v>0</v>
      </c>
      <c r="E1612" s="78">
        <v>0</v>
      </c>
      <c r="F1612" s="84">
        <v>0</v>
      </c>
      <c r="G1612" s="53">
        <v>0</v>
      </c>
      <c r="H1612" s="78">
        <v>0</v>
      </c>
      <c r="I1612" s="84">
        <v>0</v>
      </c>
      <c r="J1612" s="53">
        <v>0</v>
      </c>
      <c r="K1612" s="78">
        <v>0</v>
      </c>
      <c r="L1612" s="84">
        <v>0</v>
      </c>
      <c r="M1612" s="53">
        <v>0</v>
      </c>
      <c r="N1612" s="78">
        <v>0</v>
      </c>
    </row>
    <row r="1613" spans="1:14" ht="19.5" customHeight="1" outlineLevel="1" x14ac:dyDescent="0.2">
      <c r="A1613" s="101">
        <v>13</v>
      </c>
      <c r="B1613" s="81" t="s">
        <v>20</v>
      </c>
      <c r="C1613" s="84">
        <v>0</v>
      </c>
      <c r="D1613" s="53">
        <v>0</v>
      </c>
      <c r="E1613" s="78">
        <v>0</v>
      </c>
      <c r="F1613" s="84">
        <v>0</v>
      </c>
      <c r="G1613" s="53">
        <v>0</v>
      </c>
      <c r="H1613" s="78">
        <v>0</v>
      </c>
      <c r="I1613" s="84">
        <v>0</v>
      </c>
      <c r="J1613" s="53">
        <v>0</v>
      </c>
      <c r="K1613" s="78">
        <v>0</v>
      </c>
      <c r="L1613" s="84">
        <v>0</v>
      </c>
      <c r="M1613" s="53">
        <v>0</v>
      </c>
      <c r="N1613" s="78">
        <v>0</v>
      </c>
    </row>
    <row r="1614" spans="1:14" ht="19.5" customHeight="1" outlineLevel="1" x14ac:dyDescent="0.2">
      <c r="A1614" s="101">
        <v>14</v>
      </c>
      <c r="B1614" s="81" t="s">
        <v>21</v>
      </c>
      <c r="C1614" s="84">
        <v>9.35</v>
      </c>
      <c r="D1614" s="53">
        <v>10.7525</v>
      </c>
      <c r="E1614" s="78">
        <v>1150</v>
      </c>
      <c r="F1614" s="84">
        <v>0</v>
      </c>
      <c r="G1614" s="53">
        <v>0</v>
      </c>
      <c r="H1614" s="78">
        <v>0</v>
      </c>
      <c r="I1614" s="84">
        <v>6.15</v>
      </c>
      <c r="J1614" s="53">
        <v>9.2249999999999996</v>
      </c>
      <c r="K1614" s="78">
        <v>1500</v>
      </c>
      <c r="L1614" s="84">
        <v>7.75</v>
      </c>
      <c r="M1614" s="53">
        <v>9.9887499999999996</v>
      </c>
      <c r="N1614" s="78">
        <v>1288.8709677419354</v>
      </c>
    </row>
    <row r="1615" spans="1:14" ht="19.5" customHeight="1" outlineLevel="1" x14ac:dyDescent="0.2">
      <c r="A1615" s="101">
        <v>15</v>
      </c>
      <c r="B1615" s="81" t="s">
        <v>22</v>
      </c>
      <c r="C1615" s="84">
        <v>18.93</v>
      </c>
      <c r="D1615" s="53">
        <v>31.707750000000001</v>
      </c>
      <c r="E1615" s="78">
        <v>1675</v>
      </c>
      <c r="F1615" s="84">
        <v>0.3</v>
      </c>
      <c r="G1615" s="53">
        <v>0.40500000000000003</v>
      </c>
      <c r="H1615" s="78">
        <v>1350</v>
      </c>
      <c r="I1615" s="84">
        <v>0</v>
      </c>
      <c r="J1615" s="53">
        <v>0</v>
      </c>
      <c r="K1615" s="78">
        <v>0</v>
      </c>
      <c r="L1615" s="84">
        <v>9.6150000000000002</v>
      </c>
      <c r="M1615" s="53">
        <v>16.056374999999999</v>
      </c>
      <c r="N1615" s="78">
        <v>1669.9297971918877</v>
      </c>
    </row>
    <row r="1616" spans="1:14" ht="19.5" customHeight="1" outlineLevel="1" x14ac:dyDescent="0.2">
      <c r="A1616" s="101">
        <v>16</v>
      </c>
      <c r="B1616" s="81" t="s">
        <v>23</v>
      </c>
      <c r="C1616" s="84">
        <v>0</v>
      </c>
      <c r="D1616" s="53">
        <v>0</v>
      </c>
      <c r="E1616" s="78">
        <v>0</v>
      </c>
      <c r="F1616" s="84">
        <v>2.2999999999999998</v>
      </c>
      <c r="G1616" s="53">
        <v>2.76</v>
      </c>
      <c r="H1616" s="78">
        <v>1200</v>
      </c>
      <c r="I1616" s="84">
        <v>3.05</v>
      </c>
      <c r="J1616" s="53">
        <v>4.5750000000000002</v>
      </c>
      <c r="K1616" s="78">
        <v>1500</v>
      </c>
      <c r="L1616" s="84">
        <v>2.6749999999999998</v>
      </c>
      <c r="M1616" s="53">
        <v>3.6675</v>
      </c>
      <c r="N1616" s="78">
        <v>1371.0280373831777</v>
      </c>
    </row>
    <row r="1617" spans="1:14" ht="19.5" customHeight="1" outlineLevel="1" x14ac:dyDescent="0.2">
      <c r="A1617" s="101">
        <v>17</v>
      </c>
      <c r="B1617" s="81" t="s">
        <v>24</v>
      </c>
      <c r="C1617" s="84">
        <v>0</v>
      </c>
      <c r="D1617" s="53">
        <v>0</v>
      </c>
      <c r="E1617" s="78">
        <v>0</v>
      </c>
      <c r="F1617" s="84">
        <v>0</v>
      </c>
      <c r="G1617" s="53">
        <v>0</v>
      </c>
      <c r="H1617" s="78">
        <v>0</v>
      </c>
      <c r="I1617" s="84">
        <v>0</v>
      </c>
      <c r="J1617" s="53">
        <v>0</v>
      </c>
      <c r="K1617" s="78">
        <v>0</v>
      </c>
      <c r="L1617" s="84">
        <v>0</v>
      </c>
      <c r="M1617" s="53">
        <v>0</v>
      </c>
      <c r="N1617" s="78">
        <v>0</v>
      </c>
    </row>
    <row r="1618" spans="1:14" ht="19.5" customHeight="1" outlineLevel="1" x14ac:dyDescent="0.2">
      <c r="A1618" s="101">
        <v>18</v>
      </c>
      <c r="B1618" s="81" t="s">
        <v>25</v>
      </c>
      <c r="C1618" s="84">
        <v>6.26</v>
      </c>
      <c r="D1618" s="53">
        <v>20.24484</v>
      </c>
      <c r="E1618" s="78">
        <v>3234</v>
      </c>
      <c r="F1618" s="84">
        <v>0</v>
      </c>
      <c r="G1618" s="53">
        <v>0</v>
      </c>
      <c r="H1618" s="78">
        <v>0</v>
      </c>
      <c r="I1618" s="84">
        <v>0</v>
      </c>
      <c r="J1618" s="53">
        <v>0</v>
      </c>
      <c r="K1618" s="78">
        <v>0</v>
      </c>
      <c r="L1618" s="84">
        <v>6.26</v>
      </c>
      <c r="M1618" s="53">
        <v>20.24484</v>
      </c>
      <c r="N1618" s="78">
        <v>3234</v>
      </c>
    </row>
    <row r="1619" spans="1:14" ht="19.5" customHeight="1" outlineLevel="1" x14ac:dyDescent="0.2">
      <c r="A1619" s="101">
        <v>19</v>
      </c>
      <c r="B1619" s="81" t="s">
        <v>26</v>
      </c>
      <c r="C1619" s="84">
        <v>0</v>
      </c>
      <c r="D1619" s="53">
        <v>0</v>
      </c>
      <c r="E1619" s="78">
        <v>0</v>
      </c>
      <c r="F1619" s="84">
        <v>0</v>
      </c>
      <c r="G1619" s="53">
        <v>0</v>
      </c>
      <c r="H1619" s="78">
        <v>0</v>
      </c>
      <c r="I1619" s="84">
        <v>0</v>
      </c>
      <c r="J1619" s="53">
        <v>0</v>
      </c>
      <c r="K1619" s="78">
        <v>0</v>
      </c>
      <c r="L1619" s="84">
        <v>0</v>
      </c>
      <c r="M1619" s="53">
        <v>0</v>
      </c>
      <c r="N1619" s="78">
        <v>0</v>
      </c>
    </row>
    <row r="1620" spans="1:14" ht="19.5" customHeight="1" outlineLevel="1" x14ac:dyDescent="0.2">
      <c r="A1620" s="101">
        <v>20</v>
      </c>
      <c r="B1620" s="81" t="s">
        <v>27</v>
      </c>
      <c r="C1620" s="84">
        <v>0</v>
      </c>
      <c r="D1620" s="53">
        <v>0</v>
      </c>
      <c r="E1620" s="78">
        <v>0</v>
      </c>
      <c r="F1620" s="84">
        <v>0</v>
      </c>
      <c r="G1620" s="53">
        <v>0</v>
      </c>
      <c r="H1620" s="78">
        <v>0</v>
      </c>
      <c r="I1620" s="84">
        <v>0</v>
      </c>
      <c r="J1620" s="53">
        <v>0</v>
      </c>
      <c r="K1620" s="78">
        <v>0</v>
      </c>
      <c r="L1620" s="84">
        <v>0</v>
      </c>
      <c r="M1620" s="53">
        <v>0</v>
      </c>
      <c r="N1620" s="78">
        <v>0</v>
      </c>
    </row>
    <row r="1621" spans="1:14" ht="19.5" customHeight="1" outlineLevel="1" x14ac:dyDescent="0.2">
      <c r="A1621" s="101">
        <v>21</v>
      </c>
      <c r="B1621" s="81" t="s">
        <v>28</v>
      </c>
      <c r="C1621" s="84">
        <v>0.55000000000000004</v>
      </c>
      <c r="D1621" s="53">
        <v>0.38500000000000006</v>
      </c>
      <c r="E1621" s="78">
        <v>700</v>
      </c>
      <c r="F1621" s="84">
        <v>0.55000000000000004</v>
      </c>
      <c r="G1621" s="53">
        <v>0.88055000000000005</v>
      </c>
      <c r="H1621" s="78">
        <v>1601</v>
      </c>
      <c r="I1621" s="84">
        <v>0.52</v>
      </c>
      <c r="J1621" s="53">
        <v>0.38219999999999998</v>
      </c>
      <c r="K1621" s="78">
        <v>735</v>
      </c>
      <c r="L1621" s="84">
        <v>0.54</v>
      </c>
      <c r="M1621" s="53">
        <v>0.54925000000000013</v>
      </c>
      <c r="N1621" s="78">
        <v>1017.1296296296298</v>
      </c>
    </row>
    <row r="1622" spans="1:14" ht="19.5" customHeight="1" outlineLevel="1" x14ac:dyDescent="0.2">
      <c r="A1622" s="101">
        <v>22</v>
      </c>
      <c r="B1622" s="81" t="s">
        <v>29</v>
      </c>
      <c r="C1622" s="84">
        <v>0</v>
      </c>
      <c r="D1622" s="53">
        <v>0</v>
      </c>
      <c r="E1622" s="78">
        <v>0</v>
      </c>
      <c r="F1622" s="84">
        <v>0.18</v>
      </c>
      <c r="G1622" s="53">
        <v>0.14399999999999999</v>
      </c>
      <c r="H1622" s="78">
        <v>800</v>
      </c>
      <c r="I1622" s="84">
        <v>0</v>
      </c>
      <c r="J1622" s="53">
        <v>0</v>
      </c>
      <c r="K1622" s="78">
        <v>0</v>
      </c>
      <c r="L1622" s="84">
        <v>0.18</v>
      </c>
      <c r="M1622" s="53">
        <v>0.14399999999999999</v>
      </c>
      <c r="N1622" s="78">
        <v>800</v>
      </c>
    </row>
    <row r="1623" spans="1:14" ht="19.5" customHeight="1" outlineLevel="1" x14ac:dyDescent="0.2">
      <c r="A1623" s="101">
        <v>23</v>
      </c>
      <c r="B1623" s="81" t="s">
        <v>30</v>
      </c>
      <c r="C1623" s="84">
        <v>0</v>
      </c>
      <c r="D1623" s="53">
        <v>0</v>
      </c>
      <c r="E1623" s="78">
        <v>0</v>
      </c>
      <c r="F1623" s="84">
        <v>0</v>
      </c>
      <c r="G1623" s="53">
        <v>0</v>
      </c>
      <c r="H1623" s="78">
        <v>0</v>
      </c>
      <c r="I1623" s="84">
        <v>0</v>
      </c>
      <c r="J1623" s="53">
        <v>0</v>
      </c>
      <c r="K1623" s="78">
        <v>0</v>
      </c>
      <c r="L1623" s="84">
        <v>0</v>
      </c>
      <c r="M1623" s="53">
        <v>0</v>
      </c>
      <c r="N1623" s="78">
        <v>0</v>
      </c>
    </row>
    <row r="1624" spans="1:14" ht="19.5" customHeight="1" outlineLevel="1" x14ac:dyDescent="0.2">
      <c r="A1624" s="101">
        <v>24</v>
      </c>
      <c r="B1624" s="81" t="s">
        <v>31</v>
      </c>
      <c r="C1624" s="84">
        <v>0</v>
      </c>
      <c r="D1624" s="53">
        <v>0</v>
      </c>
      <c r="E1624" s="78">
        <v>0</v>
      </c>
      <c r="F1624" s="84">
        <v>0</v>
      </c>
      <c r="G1624" s="53">
        <v>0</v>
      </c>
      <c r="H1624" s="78">
        <v>0</v>
      </c>
      <c r="I1624" s="84">
        <v>0</v>
      </c>
      <c r="J1624" s="53">
        <v>0</v>
      </c>
      <c r="K1624" s="78">
        <v>0</v>
      </c>
      <c r="L1624" s="84">
        <v>0</v>
      </c>
      <c r="M1624" s="53">
        <v>0</v>
      </c>
      <c r="N1624" s="78">
        <v>0</v>
      </c>
    </row>
    <row r="1625" spans="1:14" ht="19.5" customHeight="1" outlineLevel="1" x14ac:dyDescent="0.2">
      <c r="A1625" s="101">
        <v>25</v>
      </c>
      <c r="B1625" s="81" t="s">
        <v>32</v>
      </c>
      <c r="C1625" s="84">
        <v>1.74</v>
      </c>
      <c r="D1625" s="53">
        <v>1.2963</v>
      </c>
      <c r="E1625" s="78">
        <v>745</v>
      </c>
      <c r="F1625" s="84">
        <v>5.44</v>
      </c>
      <c r="G1625" s="53">
        <v>3.9984000000000002</v>
      </c>
      <c r="H1625" s="78">
        <v>735</v>
      </c>
      <c r="I1625" s="84">
        <v>68.17</v>
      </c>
      <c r="J1625" s="53">
        <v>95.31410000000001</v>
      </c>
      <c r="K1625" s="78">
        <v>1398.1824849640604</v>
      </c>
      <c r="L1625" s="84">
        <v>25.116666666666671</v>
      </c>
      <c r="M1625" s="53">
        <v>33.53626666666667</v>
      </c>
      <c r="N1625" s="78">
        <v>1335.2196416721963</v>
      </c>
    </row>
    <row r="1626" spans="1:14" ht="19.5" customHeight="1" outlineLevel="1" x14ac:dyDescent="0.2">
      <c r="A1626" s="101">
        <v>26</v>
      </c>
      <c r="B1626" s="81" t="s">
        <v>33</v>
      </c>
      <c r="C1626" s="84">
        <v>3.21</v>
      </c>
      <c r="D1626" s="53">
        <v>5.6174999999999997</v>
      </c>
      <c r="E1626" s="78">
        <v>1750</v>
      </c>
      <c r="F1626" s="84">
        <v>2.2999999999999998</v>
      </c>
      <c r="G1626" s="53">
        <v>1.2649999999999999</v>
      </c>
      <c r="H1626" s="78">
        <v>550</v>
      </c>
      <c r="I1626" s="84">
        <v>35.75</v>
      </c>
      <c r="J1626" s="53">
        <v>37.849089999999997</v>
      </c>
      <c r="K1626" s="78">
        <v>1058.7158041958041</v>
      </c>
      <c r="L1626" s="84">
        <v>13.753333333333332</v>
      </c>
      <c r="M1626" s="53">
        <v>14.91053</v>
      </c>
      <c r="N1626" s="78">
        <v>1084.139360155114</v>
      </c>
    </row>
    <row r="1627" spans="1:14" ht="19.5" customHeight="1" outlineLevel="1" x14ac:dyDescent="0.2">
      <c r="A1627" s="101">
        <v>27</v>
      </c>
      <c r="B1627" s="81" t="s">
        <v>34</v>
      </c>
      <c r="C1627" s="84">
        <v>0.53</v>
      </c>
      <c r="D1627" s="53">
        <v>0.21995000000000001</v>
      </c>
      <c r="E1627" s="78">
        <v>415</v>
      </c>
      <c r="F1627" s="84">
        <v>0.21</v>
      </c>
      <c r="G1627" s="53">
        <v>0.105</v>
      </c>
      <c r="H1627" s="78">
        <v>500</v>
      </c>
      <c r="I1627" s="84">
        <v>1.27</v>
      </c>
      <c r="J1627" s="53">
        <v>0.89960000000000007</v>
      </c>
      <c r="K1627" s="78">
        <v>708.34645669291342</v>
      </c>
      <c r="L1627" s="84">
        <v>0.66999999999999993</v>
      </c>
      <c r="M1627" s="53">
        <v>0.40818333333333334</v>
      </c>
      <c r="N1627" s="78">
        <v>609.22885572139307</v>
      </c>
    </row>
    <row r="1628" spans="1:14" ht="19.5" customHeight="1" outlineLevel="1" x14ac:dyDescent="0.2">
      <c r="A1628" s="101">
        <v>28</v>
      </c>
      <c r="B1628" s="81" t="s">
        <v>35</v>
      </c>
      <c r="C1628" s="84">
        <v>317.39999999999998</v>
      </c>
      <c r="D1628" s="53">
        <v>226.937826</v>
      </c>
      <c r="E1628" s="78">
        <v>714.99</v>
      </c>
      <c r="F1628" s="84">
        <v>9.68</v>
      </c>
      <c r="G1628" s="53">
        <v>6.9792800000000002</v>
      </c>
      <c r="H1628" s="78">
        <v>721</v>
      </c>
      <c r="I1628" s="84">
        <v>185.39</v>
      </c>
      <c r="J1628" s="53">
        <v>133.66619</v>
      </c>
      <c r="K1628" s="78">
        <v>721</v>
      </c>
      <c r="L1628" s="84">
        <v>170.82333333333335</v>
      </c>
      <c r="M1628" s="53">
        <v>122.52776533333333</v>
      </c>
      <c r="N1628" s="78">
        <v>717.27768649872178</v>
      </c>
    </row>
    <row r="1629" spans="1:14" ht="19.5" customHeight="1" outlineLevel="1" x14ac:dyDescent="0.2">
      <c r="A1629" s="101">
        <v>29</v>
      </c>
      <c r="B1629" s="81" t="s">
        <v>36</v>
      </c>
      <c r="C1629" s="84">
        <v>3.52</v>
      </c>
      <c r="D1629" s="53">
        <v>2.2879999999999998</v>
      </c>
      <c r="E1629" s="78">
        <v>650</v>
      </c>
      <c r="F1629" s="84">
        <v>7.75</v>
      </c>
      <c r="G1629" s="53">
        <v>5.6559999999999997</v>
      </c>
      <c r="H1629" s="78">
        <v>729.80645161290317</v>
      </c>
      <c r="I1629" s="84">
        <v>7.09</v>
      </c>
      <c r="J1629" s="53">
        <v>5.2788000000000004</v>
      </c>
      <c r="K1629" s="78">
        <v>744.54160789844855</v>
      </c>
      <c r="L1629" s="84">
        <v>6.12</v>
      </c>
      <c r="M1629" s="53">
        <v>4.4075999999999995</v>
      </c>
      <c r="N1629" s="78">
        <v>720.19607843137248</v>
      </c>
    </row>
    <row r="1630" spans="1:14" ht="19.5" customHeight="1" outlineLevel="1" x14ac:dyDescent="0.2">
      <c r="A1630" s="101">
        <v>30</v>
      </c>
      <c r="B1630" s="81" t="s">
        <v>37</v>
      </c>
      <c r="C1630" s="84">
        <v>5.97</v>
      </c>
      <c r="D1630" s="53">
        <v>3.4626000000000001</v>
      </c>
      <c r="E1630" s="78">
        <v>580</v>
      </c>
      <c r="F1630" s="84">
        <v>13.28</v>
      </c>
      <c r="G1630" s="53">
        <v>9.5863499999999995</v>
      </c>
      <c r="H1630" s="78">
        <v>721.86370481927713</v>
      </c>
      <c r="I1630" s="84">
        <v>19.05</v>
      </c>
      <c r="J1630" s="53">
        <v>13.4777</v>
      </c>
      <c r="K1630" s="78">
        <v>707.49081364829397</v>
      </c>
      <c r="L1630" s="84">
        <v>12.766666666666666</v>
      </c>
      <c r="M1630" s="53">
        <v>8.8422166666666673</v>
      </c>
      <c r="N1630" s="78">
        <v>692.6018276762403</v>
      </c>
    </row>
    <row r="1631" spans="1:14" ht="19.5" customHeight="1" outlineLevel="1" x14ac:dyDescent="0.2">
      <c r="A1631" s="101">
        <v>31</v>
      </c>
      <c r="B1631" s="81" t="s">
        <v>38</v>
      </c>
      <c r="C1631" s="84">
        <v>5.37</v>
      </c>
      <c r="D1631" s="53">
        <v>5.4881400000000005</v>
      </c>
      <c r="E1631" s="78">
        <v>1022</v>
      </c>
      <c r="F1631" s="84">
        <v>5.64</v>
      </c>
      <c r="G1631" s="53">
        <v>4.8170999999999999</v>
      </c>
      <c r="H1631" s="78">
        <v>854.09574468085111</v>
      </c>
      <c r="I1631" s="84">
        <v>4.7300000000000004</v>
      </c>
      <c r="J1631" s="53">
        <v>4.2035000000000009</v>
      </c>
      <c r="K1631" s="78">
        <v>888.68921775898525</v>
      </c>
      <c r="L1631" s="84">
        <v>5.246666666666667</v>
      </c>
      <c r="M1631" s="53">
        <v>4.8362466666666677</v>
      </c>
      <c r="N1631" s="78">
        <v>921.77509529860242</v>
      </c>
    </row>
    <row r="1632" spans="1:14" ht="19.5" customHeight="1" outlineLevel="1" x14ac:dyDescent="0.2">
      <c r="A1632" s="101">
        <v>32</v>
      </c>
      <c r="B1632" s="81" t="s">
        <v>39</v>
      </c>
      <c r="C1632" s="84">
        <v>51.45</v>
      </c>
      <c r="D1632" s="53">
        <v>29.172150000000002</v>
      </c>
      <c r="E1632" s="78">
        <v>567</v>
      </c>
      <c r="F1632" s="84">
        <v>50</v>
      </c>
      <c r="G1632" s="53">
        <v>28.169500000000003</v>
      </c>
      <c r="H1632" s="78">
        <v>563.3900000000001</v>
      </c>
      <c r="I1632" s="84">
        <v>49.22</v>
      </c>
      <c r="J1632" s="53">
        <v>27.595400000000001</v>
      </c>
      <c r="K1632" s="78">
        <v>560.65420560747668</v>
      </c>
      <c r="L1632" s="84">
        <v>50.223333333333336</v>
      </c>
      <c r="M1632" s="53">
        <v>28.312349999999999</v>
      </c>
      <c r="N1632" s="78">
        <v>563.72901042012336</v>
      </c>
    </row>
    <row r="1633" spans="1:14" ht="19.5" customHeight="1" outlineLevel="1" thickBot="1" x14ac:dyDescent="0.25">
      <c r="A1633" s="102">
        <v>33</v>
      </c>
      <c r="B1633" s="91" t="s">
        <v>40</v>
      </c>
      <c r="C1633" s="92">
        <v>1.74</v>
      </c>
      <c r="D1633" s="93">
        <v>1.5660000000000001</v>
      </c>
      <c r="E1633" s="94">
        <v>900</v>
      </c>
      <c r="F1633" s="92">
        <v>1.0900000000000001</v>
      </c>
      <c r="G1633" s="93">
        <v>0.9709000000000001</v>
      </c>
      <c r="H1633" s="94">
        <v>890.73394495412845</v>
      </c>
      <c r="I1633" s="92">
        <v>1.04</v>
      </c>
      <c r="J1633" s="93">
        <v>0.90660000000000018</v>
      </c>
      <c r="K1633" s="94">
        <v>871.73076923076928</v>
      </c>
      <c r="L1633" s="92">
        <v>1.29</v>
      </c>
      <c r="M1633" s="93">
        <v>1.1478333333333335</v>
      </c>
      <c r="N1633" s="94">
        <v>889.79328165374682</v>
      </c>
    </row>
    <row r="1634" spans="1:14" ht="19.5" customHeight="1" thickBot="1" x14ac:dyDescent="0.25">
      <c r="A1634" s="151" t="s">
        <v>41</v>
      </c>
      <c r="B1634" s="152"/>
      <c r="C1634" s="96">
        <v>426.02</v>
      </c>
      <c r="D1634" s="97">
        <v>339.13855599999994</v>
      </c>
      <c r="E1634" s="98">
        <v>796.06252288624933</v>
      </c>
      <c r="F1634" s="96">
        <v>102.22</v>
      </c>
      <c r="G1634" s="97">
        <v>68.21208</v>
      </c>
      <c r="H1634" s="98">
        <v>667.30659362160054</v>
      </c>
      <c r="I1634" s="96">
        <v>392.03000000000003</v>
      </c>
      <c r="J1634" s="97">
        <v>353.04818000000006</v>
      </c>
      <c r="K1634" s="98">
        <v>900.56419151595549</v>
      </c>
      <c r="L1634" s="96">
        <v>306.75666666666666</v>
      </c>
      <c r="M1634" s="97">
        <v>253.466272</v>
      </c>
      <c r="N1634" s="98">
        <v>826.27795755593468</v>
      </c>
    </row>
    <row r="1635" spans="1:14" ht="34.5" customHeight="1" x14ac:dyDescent="0.2">
      <c r="A1635" s="153" t="s">
        <v>247</v>
      </c>
      <c r="B1635" s="154"/>
      <c r="C1635" s="154"/>
      <c r="D1635" s="154"/>
      <c r="E1635" s="154"/>
      <c r="F1635" s="154"/>
      <c r="G1635" s="154"/>
      <c r="H1635" s="154"/>
      <c r="I1635" s="154"/>
      <c r="J1635" s="154"/>
      <c r="K1635" s="154"/>
      <c r="L1635" s="154"/>
      <c r="M1635" s="154"/>
      <c r="N1635" s="154"/>
    </row>
    <row r="1636" spans="1:14" ht="19.5" customHeight="1" thickBot="1" x14ac:dyDescent="0.25">
      <c r="A1636" s="50"/>
      <c r="B1636" s="51" t="s">
        <v>85</v>
      </c>
      <c r="C1636" s="52"/>
      <c r="D1636" s="52"/>
      <c r="E1636" s="52"/>
      <c r="F1636" s="52"/>
      <c r="G1636" s="52"/>
      <c r="H1636" s="52"/>
      <c r="I1636" s="52"/>
      <c r="J1636" s="52"/>
      <c r="K1636" s="155" t="s">
        <v>1</v>
      </c>
      <c r="L1636" s="154"/>
      <c r="M1636" s="154"/>
      <c r="N1636" s="154"/>
    </row>
    <row r="1637" spans="1:14" ht="19.5" customHeight="1" x14ac:dyDescent="0.2">
      <c r="A1637" s="156" t="s">
        <v>2</v>
      </c>
      <c r="B1637" s="158" t="s">
        <v>3</v>
      </c>
      <c r="C1637" s="148" t="s">
        <v>243</v>
      </c>
      <c r="D1637" s="149"/>
      <c r="E1637" s="150"/>
      <c r="F1637" s="148" t="s">
        <v>244</v>
      </c>
      <c r="G1637" s="149"/>
      <c r="H1637" s="150"/>
      <c r="I1637" s="148" t="s">
        <v>246</v>
      </c>
      <c r="J1637" s="149"/>
      <c r="K1637" s="150"/>
      <c r="L1637" s="148" t="s">
        <v>4</v>
      </c>
      <c r="M1637" s="149"/>
      <c r="N1637" s="150"/>
    </row>
    <row r="1638" spans="1:14" ht="19.5" customHeight="1" thickBot="1" x14ac:dyDescent="0.25">
      <c r="A1638" s="157"/>
      <c r="B1638" s="159"/>
      <c r="C1638" s="85" t="s">
        <v>5</v>
      </c>
      <c r="D1638" s="79" t="s">
        <v>6</v>
      </c>
      <c r="E1638" s="80" t="s">
        <v>7</v>
      </c>
      <c r="F1638" s="85" t="s">
        <v>5</v>
      </c>
      <c r="G1638" s="79" t="s">
        <v>6</v>
      </c>
      <c r="H1638" s="80" t="s">
        <v>7</v>
      </c>
      <c r="I1638" s="85" t="s">
        <v>5</v>
      </c>
      <c r="J1638" s="79" t="s">
        <v>6</v>
      </c>
      <c r="K1638" s="80" t="s">
        <v>7</v>
      </c>
      <c r="L1638" s="85" t="s">
        <v>5</v>
      </c>
      <c r="M1638" s="79" t="s">
        <v>6</v>
      </c>
      <c r="N1638" s="80" t="s">
        <v>7</v>
      </c>
    </row>
    <row r="1639" spans="1:14" ht="19.5" customHeight="1" outlineLevel="1" x14ac:dyDescent="0.2">
      <c r="A1639" s="100">
        <v>1</v>
      </c>
      <c r="B1639" s="86" t="s">
        <v>8</v>
      </c>
      <c r="C1639" s="87">
        <v>318.08</v>
      </c>
      <c r="D1639" s="88">
        <v>861.95466797988524</v>
      </c>
      <c r="E1639" s="89">
        <v>2709.8675426933014</v>
      </c>
      <c r="F1639" s="87">
        <v>352.46</v>
      </c>
      <c r="G1639" s="88">
        <v>1019.6119849748352</v>
      </c>
      <c r="H1639" s="89">
        <v>2892.8445354787359</v>
      </c>
      <c r="I1639" s="87">
        <v>378.86</v>
      </c>
      <c r="J1639" s="88">
        <v>1160.307494133694</v>
      </c>
      <c r="K1639" s="89">
        <v>3062.6286600160852</v>
      </c>
      <c r="L1639" s="87">
        <v>349.8</v>
      </c>
      <c r="M1639" s="88">
        <v>1013.9580490294715</v>
      </c>
      <c r="N1639" s="89">
        <v>2898.6793854473167</v>
      </c>
    </row>
    <row r="1640" spans="1:14" ht="19.5" customHeight="1" outlineLevel="1" x14ac:dyDescent="0.2">
      <c r="A1640" s="101">
        <v>2</v>
      </c>
      <c r="B1640" s="81" t="s">
        <v>9</v>
      </c>
      <c r="C1640" s="84">
        <v>676.05</v>
      </c>
      <c r="D1640" s="53">
        <v>2073.2023691447293</v>
      </c>
      <c r="E1640" s="78">
        <v>3066.6405874487532</v>
      </c>
      <c r="F1640" s="84">
        <v>783.39</v>
      </c>
      <c r="G1640" s="53">
        <v>2437.9371406445666</v>
      </c>
      <c r="H1640" s="78">
        <v>3112.0350536062074</v>
      </c>
      <c r="I1640" s="84">
        <v>766.85</v>
      </c>
      <c r="J1640" s="53">
        <v>2352.7609040444504</v>
      </c>
      <c r="K1640" s="78">
        <v>3068.0848980171481</v>
      </c>
      <c r="L1640" s="84">
        <v>742.09666666666669</v>
      </c>
      <c r="M1640" s="53">
        <v>2287.9668046112488</v>
      </c>
      <c r="N1640" s="78">
        <v>3083.1115505319372</v>
      </c>
    </row>
    <row r="1641" spans="1:14" ht="19.5" customHeight="1" outlineLevel="1" x14ac:dyDescent="0.2">
      <c r="A1641" s="101">
        <v>3</v>
      </c>
      <c r="B1641" s="81" t="s">
        <v>10</v>
      </c>
      <c r="C1641" s="84">
        <v>455.93</v>
      </c>
      <c r="D1641" s="53">
        <v>1264.36202</v>
      </c>
      <c r="E1641" s="78">
        <v>2773.1494308336805</v>
      </c>
      <c r="F1641" s="84">
        <v>392.86</v>
      </c>
      <c r="G1641" s="53">
        <v>1098.5431600000002</v>
      </c>
      <c r="H1641" s="78">
        <v>2796.2713434811385</v>
      </c>
      <c r="I1641" s="84">
        <v>409.28000000000003</v>
      </c>
      <c r="J1641" s="53">
        <v>1140.8912185380857</v>
      </c>
      <c r="K1641" s="78">
        <v>2787.5567302044701</v>
      </c>
      <c r="L1641" s="84">
        <v>419.35666666666663</v>
      </c>
      <c r="M1641" s="53">
        <v>1167.9321328460285</v>
      </c>
      <c r="N1641" s="78">
        <v>2785.0567921801535</v>
      </c>
    </row>
    <row r="1642" spans="1:14" ht="19.5" customHeight="1" outlineLevel="1" x14ac:dyDescent="0.2">
      <c r="A1642" s="101">
        <v>4</v>
      </c>
      <c r="B1642" s="81" t="s">
        <v>11</v>
      </c>
      <c r="C1642" s="84">
        <v>673.63</v>
      </c>
      <c r="D1642" s="53">
        <v>2132.2319586077101</v>
      </c>
      <c r="E1642" s="78">
        <v>3165.2865202079925</v>
      </c>
      <c r="F1642" s="84">
        <v>672.13</v>
      </c>
      <c r="G1642" s="53">
        <v>2210.1191444950282</v>
      </c>
      <c r="H1642" s="78">
        <v>3288.2316583027509</v>
      </c>
      <c r="I1642" s="84">
        <v>683.61</v>
      </c>
      <c r="J1642" s="53">
        <v>2286.4580767416546</v>
      </c>
      <c r="K1642" s="78">
        <v>3344.6820215351654</v>
      </c>
      <c r="L1642" s="84">
        <v>676.45666666666659</v>
      </c>
      <c r="M1642" s="53">
        <v>2209.603059948131</v>
      </c>
      <c r="N1642" s="78">
        <v>3266.4369631187974</v>
      </c>
    </row>
    <row r="1643" spans="1:14" ht="19.5" customHeight="1" outlineLevel="1" x14ac:dyDescent="0.2">
      <c r="A1643" s="101">
        <v>5</v>
      </c>
      <c r="B1643" s="81" t="s">
        <v>12</v>
      </c>
      <c r="C1643" s="84">
        <v>880.41</v>
      </c>
      <c r="D1643" s="53">
        <v>2838.5737588189158</v>
      </c>
      <c r="E1643" s="78">
        <v>3224.1498379379109</v>
      </c>
      <c r="F1643" s="84">
        <v>865.36</v>
      </c>
      <c r="G1643" s="53">
        <v>2709.2908469999998</v>
      </c>
      <c r="H1643" s="78">
        <v>3130.8251444485527</v>
      </c>
      <c r="I1643" s="84">
        <v>854.08</v>
      </c>
      <c r="J1643" s="53">
        <v>2752.0369237</v>
      </c>
      <c r="K1643" s="78">
        <v>3222.223824114837</v>
      </c>
      <c r="L1643" s="84">
        <v>866.61666666666667</v>
      </c>
      <c r="M1643" s="53">
        <v>2766.6338431729714</v>
      </c>
      <c r="N1643" s="78">
        <v>3192.4539990841454</v>
      </c>
    </row>
    <row r="1644" spans="1:14" ht="19.5" customHeight="1" outlineLevel="1" x14ac:dyDescent="0.2">
      <c r="A1644" s="101">
        <v>6</v>
      </c>
      <c r="B1644" s="81" t="s">
        <v>13</v>
      </c>
      <c r="C1644" s="84">
        <v>870.42</v>
      </c>
      <c r="D1644" s="53">
        <v>2579.64779</v>
      </c>
      <c r="E1644" s="78">
        <v>2963.6816594287816</v>
      </c>
      <c r="F1644" s="84">
        <v>898.43000000000006</v>
      </c>
      <c r="G1644" s="53">
        <v>2715.8320410618498</v>
      </c>
      <c r="H1644" s="78">
        <v>3022.8643757018908</v>
      </c>
      <c r="I1644" s="84">
        <v>956.98</v>
      </c>
      <c r="J1644" s="53">
        <v>2816.5891773045946</v>
      </c>
      <c r="K1644" s="78">
        <v>2943.2058949033362</v>
      </c>
      <c r="L1644" s="84">
        <v>908.61</v>
      </c>
      <c r="M1644" s="53">
        <v>2704.0230027888151</v>
      </c>
      <c r="N1644" s="78">
        <v>2975.9996068597256</v>
      </c>
    </row>
    <row r="1645" spans="1:14" ht="19.5" customHeight="1" outlineLevel="1" x14ac:dyDescent="0.2">
      <c r="A1645" s="101">
        <v>7</v>
      </c>
      <c r="B1645" s="81" t="s">
        <v>14</v>
      </c>
      <c r="C1645" s="84">
        <v>323.65999999999997</v>
      </c>
      <c r="D1645" s="53">
        <v>1186.3475400095972</v>
      </c>
      <c r="E1645" s="78">
        <v>3665.4129024581266</v>
      </c>
      <c r="F1645" s="84">
        <v>302.09999999999997</v>
      </c>
      <c r="G1645" s="53">
        <v>1081.2748684612152</v>
      </c>
      <c r="H1645" s="78">
        <v>3579.1951951711858</v>
      </c>
      <c r="I1645" s="84">
        <v>291.48999999999995</v>
      </c>
      <c r="J1645" s="53">
        <v>1031.7768721105667</v>
      </c>
      <c r="K1645" s="78">
        <v>3539.6647298726093</v>
      </c>
      <c r="L1645" s="84">
        <v>305.75</v>
      </c>
      <c r="M1645" s="53">
        <v>1099.799760193793</v>
      </c>
      <c r="N1645" s="78">
        <v>3597.0556343214812</v>
      </c>
    </row>
    <row r="1646" spans="1:14" ht="19.5" customHeight="1" outlineLevel="1" x14ac:dyDescent="0.2">
      <c r="A1646" s="101">
        <v>8</v>
      </c>
      <c r="B1646" s="81" t="s">
        <v>15</v>
      </c>
      <c r="C1646" s="84">
        <v>1532.74</v>
      </c>
      <c r="D1646" s="53">
        <v>3601.7048662637894</v>
      </c>
      <c r="E1646" s="78">
        <v>2349.8472449755272</v>
      </c>
      <c r="F1646" s="84">
        <v>1458.7800000000002</v>
      </c>
      <c r="G1646" s="53">
        <v>3319.4051386659912</v>
      </c>
      <c r="H1646" s="78">
        <v>2275.4665807496613</v>
      </c>
      <c r="I1646" s="84">
        <v>1510.55</v>
      </c>
      <c r="J1646" s="53">
        <v>3700.4839554918135</v>
      </c>
      <c r="K1646" s="78">
        <v>2449.7593297089229</v>
      </c>
      <c r="L1646" s="84">
        <v>1500.6900000000003</v>
      </c>
      <c r="M1646" s="53">
        <v>3540.5313201405311</v>
      </c>
      <c r="N1646" s="78">
        <v>2359.2689497101537</v>
      </c>
    </row>
    <row r="1647" spans="1:14" ht="19.5" customHeight="1" outlineLevel="1" x14ac:dyDescent="0.2">
      <c r="A1647" s="101">
        <v>9</v>
      </c>
      <c r="B1647" s="81" t="s">
        <v>16</v>
      </c>
      <c r="C1647" s="84">
        <v>465.17</v>
      </c>
      <c r="D1647" s="53">
        <v>1393.5426602699997</v>
      </c>
      <c r="E1647" s="78">
        <v>2995.7707080637178</v>
      </c>
      <c r="F1647" s="84">
        <v>348.1</v>
      </c>
      <c r="G1647" s="53">
        <v>920.46849759999998</v>
      </c>
      <c r="H1647" s="78">
        <v>2644.2645722493535</v>
      </c>
      <c r="I1647" s="84">
        <v>517.35</v>
      </c>
      <c r="J1647" s="53">
        <v>1447.6398866999998</v>
      </c>
      <c r="K1647" s="78">
        <v>2798.1828292258624</v>
      </c>
      <c r="L1647" s="84">
        <v>443.53999999999996</v>
      </c>
      <c r="M1647" s="53">
        <v>1253.8836815233333</v>
      </c>
      <c r="N1647" s="78">
        <v>2826.9912105409512</v>
      </c>
    </row>
    <row r="1648" spans="1:14" ht="19.5" customHeight="1" outlineLevel="1" x14ac:dyDescent="0.2">
      <c r="A1648" s="101">
        <v>10</v>
      </c>
      <c r="B1648" s="81" t="s">
        <v>17</v>
      </c>
      <c r="C1648" s="84">
        <v>443.25</v>
      </c>
      <c r="D1648" s="53">
        <v>1557.9632770000001</v>
      </c>
      <c r="E1648" s="78">
        <v>3514.8635690919346</v>
      </c>
      <c r="F1648" s="84">
        <v>328.85</v>
      </c>
      <c r="G1648" s="53">
        <v>1080.7557910000003</v>
      </c>
      <c r="H1648" s="78">
        <v>3286.4703998783643</v>
      </c>
      <c r="I1648" s="84">
        <v>651.70000000000005</v>
      </c>
      <c r="J1648" s="53">
        <v>2405.7437930000006</v>
      </c>
      <c r="K1648" s="78">
        <v>3691.4896317323928</v>
      </c>
      <c r="L1648" s="84">
        <v>474.60000000000008</v>
      </c>
      <c r="M1648" s="53">
        <v>1681.4876203333336</v>
      </c>
      <c r="N1648" s="78">
        <v>3542.9574806854894</v>
      </c>
    </row>
    <row r="1649" spans="1:14" ht="19.5" customHeight="1" outlineLevel="1" x14ac:dyDescent="0.2">
      <c r="A1649" s="101">
        <v>11</v>
      </c>
      <c r="B1649" s="81" t="s">
        <v>18</v>
      </c>
      <c r="C1649" s="84">
        <v>900.77</v>
      </c>
      <c r="D1649" s="53">
        <v>3471.8684515</v>
      </c>
      <c r="E1649" s="78">
        <v>3854.3340158975097</v>
      </c>
      <c r="F1649" s="84">
        <v>857.84</v>
      </c>
      <c r="G1649" s="53">
        <v>3516.6588891000006</v>
      </c>
      <c r="H1649" s="78">
        <v>4099.4344972255903</v>
      </c>
      <c r="I1649" s="84">
        <v>1096.3599999999999</v>
      </c>
      <c r="J1649" s="53">
        <v>4598.3967287639998</v>
      </c>
      <c r="K1649" s="78">
        <v>4194.2397832500274</v>
      </c>
      <c r="L1649" s="84">
        <v>951.65666666666675</v>
      </c>
      <c r="M1649" s="53">
        <v>3862.3080231213335</v>
      </c>
      <c r="N1649" s="78">
        <v>4058.5099210723756</v>
      </c>
    </row>
    <row r="1650" spans="1:14" ht="19.5" customHeight="1" outlineLevel="1" x14ac:dyDescent="0.2">
      <c r="A1650" s="101">
        <v>12</v>
      </c>
      <c r="B1650" s="81" t="s">
        <v>19</v>
      </c>
      <c r="C1650" s="84">
        <v>326.14999999999998</v>
      </c>
      <c r="D1650" s="53">
        <v>1385.5021487172774</v>
      </c>
      <c r="E1650" s="78">
        <v>4248.0519660195541</v>
      </c>
      <c r="F1650" s="84">
        <v>275.58000000000004</v>
      </c>
      <c r="G1650" s="53">
        <v>1170.6629971479433</v>
      </c>
      <c r="H1650" s="78">
        <v>4247.9969415340129</v>
      </c>
      <c r="I1650" s="84">
        <v>364.60999999999996</v>
      </c>
      <c r="J1650" s="53">
        <v>1504.452890430608</v>
      </c>
      <c r="K1650" s="78">
        <v>4126.1975547313796</v>
      </c>
      <c r="L1650" s="84">
        <v>322.11333333333329</v>
      </c>
      <c r="M1650" s="53">
        <v>1353.5393454319428</v>
      </c>
      <c r="N1650" s="78">
        <v>4202.059354156745</v>
      </c>
    </row>
    <row r="1651" spans="1:14" ht="19.5" customHeight="1" outlineLevel="1" x14ac:dyDescent="0.2">
      <c r="A1651" s="101">
        <v>13</v>
      </c>
      <c r="B1651" s="81" t="s">
        <v>20</v>
      </c>
      <c r="C1651" s="84">
        <v>80.3</v>
      </c>
      <c r="D1651" s="53">
        <v>323.26260750956521</v>
      </c>
      <c r="E1651" s="78">
        <v>4025.6862703557308</v>
      </c>
      <c r="F1651" s="84">
        <v>50.9</v>
      </c>
      <c r="G1651" s="53">
        <v>188.96903052707745</v>
      </c>
      <c r="H1651" s="78">
        <v>3712.5546272510305</v>
      </c>
      <c r="I1651" s="84">
        <v>134.72999999999999</v>
      </c>
      <c r="J1651" s="53">
        <v>533.65329462064381</v>
      </c>
      <c r="K1651" s="78">
        <v>3960.9091859321893</v>
      </c>
      <c r="L1651" s="84">
        <v>88.643333333333317</v>
      </c>
      <c r="M1651" s="53">
        <v>348.62831088576212</v>
      </c>
      <c r="N1651" s="78">
        <v>3932.9332255002687</v>
      </c>
    </row>
    <row r="1652" spans="1:14" ht="19.5" customHeight="1" outlineLevel="1" x14ac:dyDescent="0.2">
      <c r="A1652" s="101">
        <v>14</v>
      </c>
      <c r="B1652" s="81" t="s">
        <v>21</v>
      </c>
      <c r="C1652" s="84">
        <v>278.25</v>
      </c>
      <c r="D1652" s="53">
        <v>977.34706499999993</v>
      </c>
      <c r="E1652" s="78">
        <v>3512.4782210242583</v>
      </c>
      <c r="F1652" s="84">
        <v>284.05</v>
      </c>
      <c r="G1652" s="53">
        <v>817.99459772569435</v>
      </c>
      <c r="H1652" s="78">
        <v>2879.7556688107525</v>
      </c>
      <c r="I1652" s="84">
        <v>333.27</v>
      </c>
      <c r="J1652" s="53">
        <v>1087.0070918918918</v>
      </c>
      <c r="K1652" s="78">
        <v>3261.6409874632936</v>
      </c>
      <c r="L1652" s="84">
        <v>298.52333333333331</v>
      </c>
      <c r="M1652" s="53">
        <v>960.78291820586207</v>
      </c>
      <c r="N1652" s="78">
        <v>3218.451661642961</v>
      </c>
    </row>
    <row r="1653" spans="1:14" ht="19.5" customHeight="1" outlineLevel="1" x14ac:dyDescent="0.2">
      <c r="A1653" s="101">
        <v>15</v>
      </c>
      <c r="B1653" s="81" t="s">
        <v>22</v>
      </c>
      <c r="C1653" s="84">
        <v>938.4</v>
      </c>
      <c r="D1653" s="53">
        <v>3738.7965598838045</v>
      </c>
      <c r="E1653" s="78">
        <v>3984.2248080603204</v>
      </c>
      <c r="F1653" s="84">
        <v>933.75</v>
      </c>
      <c r="G1653" s="53">
        <v>3668.5902968961491</v>
      </c>
      <c r="H1653" s="78">
        <v>3928.8784973452734</v>
      </c>
      <c r="I1653" s="84">
        <v>1075.83</v>
      </c>
      <c r="J1653" s="53">
        <v>4352.2925175364217</v>
      </c>
      <c r="K1653" s="78">
        <v>4045.5206840638593</v>
      </c>
      <c r="L1653" s="84">
        <v>982.66</v>
      </c>
      <c r="M1653" s="53">
        <v>3919.8931247721252</v>
      </c>
      <c r="N1653" s="78">
        <v>3989.0634856126489</v>
      </c>
    </row>
    <row r="1654" spans="1:14" ht="19.5" customHeight="1" outlineLevel="1" x14ac:dyDescent="0.2">
      <c r="A1654" s="101">
        <v>16</v>
      </c>
      <c r="B1654" s="81" t="s">
        <v>23</v>
      </c>
      <c r="C1654" s="84">
        <v>486.5</v>
      </c>
      <c r="D1654" s="53">
        <v>1928.5359507677788</v>
      </c>
      <c r="E1654" s="78">
        <v>3964.1026737261641</v>
      </c>
      <c r="F1654" s="84">
        <v>492.45</v>
      </c>
      <c r="G1654" s="53">
        <v>1856.1985466515282</v>
      </c>
      <c r="H1654" s="78">
        <v>3769.3137306356548</v>
      </c>
      <c r="I1654" s="84">
        <v>502.85</v>
      </c>
      <c r="J1654" s="53">
        <v>2090.2671622000003</v>
      </c>
      <c r="K1654" s="78">
        <v>4156.8403344933886</v>
      </c>
      <c r="L1654" s="84">
        <v>493.93333333333339</v>
      </c>
      <c r="M1654" s="53">
        <v>1958.3338865397691</v>
      </c>
      <c r="N1654" s="78">
        <v>3964.7736938988437</v>
      </c>
    </row>
    <row r="1655" spans="1:14" ht="19.5" customHeight="1" outlineLevel="1" x14ac:dyDescent="0.2">
      <c r="A1655" s="101">
        <v>17</v>
      </c>
      <c r="B1655" s="81" t="s">
        <v>24</v>
      </c>
      <c r="C1655" s="84">
        <v>292.08999999999997</v>
      </c>
      <c r="D1655" s="53">
        <v>1074.2665263892522</v>
      </c>
      <c r="E1655" s="78">
        <v>3677.8613659805274</v>
      </c>
      <c r="F1655" s="84">
        <v>393.5</v>
      </c>
      <c r="G1655" s="53">
        <v>1447.9980651867725</v>
      </c>
      <c r="H1655" s="78">
        <v>3679.791779381887</v>
      </c>
      <c r="I1655" s="84">
        <v>454.40999999999997</v>
      </c>
      <c r="J1655" s="53">
        <v>1746.5161431599995</v>
      </c>
      <c r="K1655" s="78">
        <v>3843.4808722519301</v>
      </c>
      <c r="L1655" s="84">
        <v>380</v>
      </c>
      <c r="M1655" s="53">
        <v>1422.9269115786749</v>
      </c>
      <c r="N1655" s="78">
        <v>3744.5445041544072</v>
      </c>
    </row>
    <row r="1656" spans="1:14" ht="19.5" customHeight="1" outlineLevel="1" x14ac:dyDescent="0.2">
      <c r="A1656" s="101">
        <v>18</v>
      </c>
      <c r="B1656" s="81" t="s">
        <v>25</v>
      </c>
      <c r="C1656" s="84">
        <v>230.62</v>
      </c>
      <c r="D1656" s="53">
        <v>708.3110894561994</v>
      </c>
      <c r="E1656" s="78">
        <v>3071.334183749022</v>
      </c>
      <c r="F1656" s="84">
        <v>196.9</v>
      </c>
      <c r="G1656" s="53">
        <v>649.61127260816249</v>
      </c>
      <c r="H1656" s="78">
        <v>3299.1938679947307</v>
      </c>
      <c r="I1656" s="84">
        <v>352.07000000000005</v>
      </c>
      <c r="J1656" s="53">
        <v>1298.4405596295724</v>
      </c>
      <c r="K1656" s="78">
        <v>3688.0181771510556</v>
      </c>
      <c r="L1656" s="84">
        <v>259.86333333333334</v>
      </c>
      <c r="M1656" s="53">
        <v>885.45430723131142</v>
      </c>
      <c r="N1656" s="78">
        <v>3407.3845504610554</v>
      </c>
    </row>
    <row r="1657" spans="1:14" ht="19.5" customHeight="1" outlineLevel="1" x14ac:dyDescent="0.2">
      <c r="A1657" s="101">
        <v>19</v>
      </c>
      <c r="B1657" s="81" t="s">
        <v>26</v>
      </c>
      <c r="C1657" s="84">
        <v>120.03</v>
      </c>
      <c r="D1657" s="53">
        <v>438.97667994000005</v>
      </c>
      <c r="E1657" s="78">
        <v>3657.2246933266688</v>
      </c>
      <c r="F1657" s="84">
        <v>182.78</v>
      </c>
      <c r="G1657" s="53">
        <v>688.10490000000004</v>
      </c>
      <c r="H1657" s="78">
        <v>3764.6618886092569</v>
      </c>
      <c r="I1657" s="84">
        <v>230.79</v>
      </c>
      <c r="J1657" s="53">
        <v>855.39763000000016</v>
      </c>
      <c r="K1657" s="78">
        <v>3706.3894882793888</v>
      </c>
      <c r="L1657" s="84">
        <v>177.86666666666667</v>
      </c>
      <c r="M1657" s="53">
        <v>660.82640331333346</v>
      </c>
      <c r="N1657" s="78">
        <v>3715.2908732008996</v>
      </c>
    </row>
    <row r="1658" spans="1:14" ht="19.5" customHeight="1" outlineLevel="1" x14ac:dyDescent="0.2">
      <c r="A1658" s="101">
        <v>20</v>
      </c>
      <c r="B1658" s="81" t="s">
        <v>27</v>
      </c>
      <c r="C1658" s="84">
        <v>553.22</v>
      </c>
      <c r="D1658" s="53">
        <v>1689.0384290575832</v>
      </c>
      <c r="E1658" s="78">
        <v>3053.1044232991994</v>
      </c>
      <c r="F1658" s="84">
        <v>497.17</v>
      </c>
      <c r="G1658" s="53">
        <v>1469.955339621589</v>
      </c>
      <c r="H1658" s="78">
        <v>2956.6452915935979</v>
      </c>
      <c r="I1658" s="84">
        <v>354.87</v>
      </c>
      <c r="J1658" s="53">
        <v>1080.1705393346019</v>
      </c>
      <c r="K1658" s="78">
        <v>3043.8485623879224</v>
      </c>
      <c r="L1658" s="84">
        <v>468.42000000000007</v>
      </c>
      <c r="M1658" s="53">
        <v>1413.0547693379249</v>
      </c>
      <c r="N1658" s="78">
        <v>3016.640556205808</v>
      </c>
    </row>
    <row r="1659" spans="1:14" ht="19.5" customHeight="1" outlineLevel="1" x14ac:dyDescent="0.2">
      <c r="A1659" s="101">
        <v>21</v>
      </c>
      <c r="B1659" s="81" t="s">
        <v>28</v>
      </c>
      <c r="C1659" s="84">
        <v>756.5</v>
      </c>
      <c r="D1659" s="53">
        <v>2304.6076880019673</v>
      </c>
      <c r="E1659" s="78">
        <v>3046.4080475901751</v>
      </c>
      <c r="F1659" s="84">
        <v>739.78</v>
      </c>
      <c r="G1659" s="53">
        <v>2153.7909377046417</v>
      </c>
      <c r="H1659" s="78">
        <v>2911.3938437165671</v>
      </c>
      <c r="I1659" s="84">
        <v>584.13</v>
      </c>
      <c r="J1659" s="53">
        <v>1742.7339760365981</v>
      </c>
      <c r="K1659" s="78">
        <v>2983.4693921500316</v>
      </c>
      <c r="L1659" s="84">
        <v>693.46999999999991</v>
      </c>
      <c r="M1659" s="53">
        <v>2067.0442005810692</v>
      </c>
      <c r="N1659" s="78">
        <v>2980.7262038459767</v>
      </c>
    </row>
    <row r="1660" spans="1:14" ht="19.5" customHeight="1" outlineLevel="1" x14ac:dyDescent="0.2">
      <c r="A1660" s="101">
        <v>22</v>
      </c>
      <c r="B1660" s="81" t="s">
        <v>29</v>
      </c>
      <c r="C1660" s="84">
        <v>369.02</v>
      </c>
      <c r="D1660" s="53">
        <v>834.80042223498344</v>
      </c>
      <c r="E1660" s="78">
        <v>2262.2091546121715</v>
      </c>
      <c r="F1660" s="84">
        <v>439.27</v>
      </c>
      <c r="G1660" s="53">
        <v>1190.7050685691875</v>
      </c>
      <c r="H1660" s="78">
        <v>2710.6450897379459</v>
      </c>
      <c r="I1660" s="84">
        <v>460.89</v>
      </c>
      <c r="J1660" s="53">
        <v>1295.5576294487421</v>
      </c>
      <c r="K1660" s="78">
        <v>2810.9909727890431</v>
      </c>
      <c r="L1660" s="84">
        <v>423.05999999999995</v>
      </c>
      <c r="M1660" s="53">
        <v>1107.0210400843043</v>
      </c>
      <c r="N1660" s="78">
        <v>2616.6998536479564</v>
      </c>
    </row>
    <row r="1661" spans="1:14" ht="19.5" customHeight="1" outlineLevel="1" x14ac:dyDescent="0.2">
      <c r="A1661" s="101">
        <v>23</v>
      </c>
      <c r="B1661" s="81" t="s">
        <v>30</v>
      </c>
      <c r="C1661" s="84">
        <v>365.73</v>
      </c>
      <c r="D1661" s="53">
        <v>1088.4103418945351</v>
      </c>
      <c r="E1661" s="78">
        <v>2975.99415386907</v>
      </c>
      <c r="F1661" s="84">
        <v>363.75</v>
      </c>
      <c r="G1661" s="53">
        <v>798.35366058415832</v>
      </c>
      <c r="H1661" s="78">
        <v>2194.786695764009</v>
      </c>
      <c r="I1661" s="84">
        <v>399.92</v>
      </c>
      <c r="J1661" s="53">
        <v>1064.1319294502928</v>
      </c>
      <c r="K1661" s="78">
        <v>2660.8619960249371</v>
      </c>
      <c r="L1661" s="84">
        <v>376.4666666666667</v>
      </c>
      <c r="M1661" s="53">
        <v>983.63197730966203</v>
      </c>
      <c r="N1661" s="78">
        <v>2612.7996563918769</v>
      </c>
    </row>
    <row r="1662" spans="1:14" ht="19.5" customHeight="1" outlineLevel="1" x14ac:dyDescent="0.2">
      <c r="A1662" s="101">
        <v>24</v>
      </c>
      <c r="B1662" s="81" t="s">
        <v>31</v>
      </c>
      <c r="C1662" s="84">
        <v>918.05</v>
      </c>
      <c r="D1662" s="53">
        <v>2539.662061</v>
      </c>
      <c r="E1662" s="78">
        <v>2766.3657328032245</v>
      </c>
      <c r="F1662" s="84">
        <v>928.06</v>
      </c>
      <c r="G1662" s="53">
        <v>2408.7379592329808</v>
      </c>
      <c r="H1662" s="78">
        <v>2595.4549913076535</v>
      </c>
      <c r="I1662" s="84">
        <v>938.77</v>
      </c>
      <c r="J1662" s="53">
        <v>2424.7037211916836</v>
      </c>
      <c r="K1662" s="78">
        <v>2582.8517327904428</v>
      </c>
      <c r="L1662" s="84">
        <v>928.29333333333341</v>
      </c>
      <c r="M1662" s="53">
        <v>2457.7012471415546</v>
      </c>
      <c r="N1662" s="78">
        <v>2647.5480959411761</v>
      </c>
    </row>
    <row r="1663" spans="1:14" ht="19.5" customHeight="1" outlineLevel="1" x14ac:dyDescent="0.2">
      <c r="A1663" s="101">
        <v>25</v>
      </c>
      <c r="B1663" s="81" t="s">
        <v>32</v>
      </c>
      <c r="C1663" s="84">
        <v>312.5</v>
      </c>
      <c r="D1663" s="53">
        <v>875.22521116824055</v>
      </c>
      <c r="E1663" s="78">
        <v>2800.7206757383697</v>
      </c>
      <c r="F1663" s="84">
        <v>284.44</v>
      </c>
      <c r="G1663" s="53">
        <v>762.84397962448293</v>
      </c>
      <c r="H1663" s="78">
        <v>2681.915270793429</v>
      </c>
      <c r="I1663" s="84">
        <v>293.41000000000003</v>
      </c>
      <c r="J1663" s="53">
        <v>826.82153095035778</v>
      </c>
      <c r="K1663" s="78">
        <v>2817.9732488679924</v>
      </c>
      <c r="L1663" s="84">
        <v>296.78333333333336</v>
      </c>
      <c r="M1663" s="53">
        <v>821.63024058102712</v>
      </c>
      <c r="N1663" s="78">
        <v>2768.4514199394407</v>
      </c>
    </row>
    <row r="1664" spans="1:14" ht="19.5" customHeight="1" outlineLevel="1" x14ac:dyDescent="0.2">
      <c r="A1664" s="101">
        <v>26</v>
      </c>
      <c r="B1664" s="81" t="s">
        <v>33</v>
      </c>
      <c r="C1664" s="84">
        <v>212.5</v>
      </c>
      <c r="D1664" s="53">
        <v>579.83250676876332</v>
      </c>
      <c r="E1664" s="78">
        <v>2728.6235612647683</v>
      </c>
      <c r="F1664" s="84">
        <v>242.44</v>
      </c>
      <c r="G1664" s="53">
        <v>748.09673001307158</v>
      </c>
      <c r="H1664" s="78">
        <v>3085.6984409052616</v>
      </c>
      <c r="I1664" s="84">
        <v>241.16</v>
      </c>
      <c r="J1664" s="53">
        <v>723.95270252605326</v>
      </c>
      <c r="K1664" s="78">
        <v>3001.9601199454855</v>
      </c>
      <c r="L1664" s="84">
        <v>232.03333333333333</v>
      </c>
      <c r="M1664" s="53">
        <v>683.96064643596264</v>
      </c>
      <c r="N1664" s="78">
        <v>2947.6827170060164</v>
      </c>
    </row>
    <row r="1665" spans="1:14" ht="19.5" customHeight="1" outlineLevel="1" x14ac:dyDescent="0.2">
      <c r="A1665" s="101">
        <v>27</v>
      </c>
      <c r="B1665" s="81" t="s">
        <v>34</v>
      </c>
      <c r="C1665" s="84">
        <v>42.83</v>
      </c>
      <c r="D1665" s="53">
        <v>109.59713338285229</v>
      </c>
      <c r="E1665" s="78">
        <v>2558.8870740801376</v>
      </c>
      <c r="F1665" s="84">
        <v>42.45</v>
      </c>
      <c r="G1665" s="53">
        <v>103.18458373626737</v>
      </c>
      <c r="H1665" s="78">
        <v>2430.7322434927532</v>
      </c>
      <c r="I1665" s="84">
        <v>90.03</v>
      </c>
      <c r="J1665" s="53">
        <v>220.29496429769148</v>
      </c>
      <c r="K1665" s="78">
        <v>2446.9061901331943</v>
      </c>
      <c r="L1665" s="84">
        <v>58.436666666666667</v>
      </c>
      <c r="M1665" s="53">
        <v>144.35889380560371</v>
      </c>
      <c r="N1665" s="78">
        <v>2470.3478490491761</v>
      </c>
    </row>
    <row r="1666" spans="1:14" ht="19.5" customHeight="1" outlineLevel="1" x14ac:dyDescent="0.2">
      <c r="A1666" s="101">
        <v>28</v>
      </c>
      <c r="B1666" s="81" t="s">
        <v>35</v>
      </c>
      <c r="C1666" s="84">
        <v>215.35</v>
      </c>
      <c r="D1666" s="53">
        <v>413.49869975609766</v>
      </c>
      <c r="E1666" s="78">
        <v>1920.1239830791628</v>
      </c>
      <c r="F1666" s="84">
        <v>205.75</v>
      </c>
      <c r="G1666" s="53">
        <v>404.82644614814814</v>
      </c>
      <c r="H1666" s="78">
        <v>1967.5647443409389</v>
      </c>
      <c r="I1666" s="84">
        <v>215.43</v>
      </c>
      <c r="J1666" s="53">
        <v>440.53346955501752</v>
      </c>
      <c r="K1666" s="78">
        <v>2044.9030755002439</v>
      </c>
      <c r="L1666" s="84">
        <v>212.17666666666665</v>
      </c>
      <c r="M1666" s="53">
        <v>419.61953848642111</v>
      </c>
      <c r="N1666" s="78">
        <v>1977.6893712146536</v>
      </c>
    </row>
    <row r="1667" spans="1:14" ht="19.5" customHeight="1" outlineLevel="1" x14ac:dyDescent="0.2">
      <c r="A1667" s="101">
        <v>29</v>
      </c>
      <c r="B1667" s="81" t="s">
        <v>36</v>
      </c>
      <c r="C1667" s="84">
        <v>74.900000000000006</v>
      </c>
      <c r="D1667" s="53">
        <v>162.64764411545542</v>
      </c>
      <c r="E1667" s="78">
        <v>2171.5306290447984</v>
      </c>
      <c r="F1667" s="84">
        <v>69.550000000000011</v>
      </c>
      <c r="G1667" s="53">
        <v>145.46269878637787</v>
      </c>
      <c r="H1667" s="78">
        <v>2091.4838071369927</v>
      </c>
      <c r="I1667" s="84">
        <v>73.2</v>
      </c>
      <c r="J1667" s="53">
        <v>158.98955762652778</v>
      </c>
      <c r="K1667" s="78">
        <v>2171.9884921656803</v>
      </c>
      <c r="L1667" s="84">
        <v>72.550000000000011</v>
      </c>
      <c r="M1667" s="53">
        <v>155.69996684278703</v>
      </c>
      <c r="N1667" s="78">
        <v>2146.1056766752176</v>
      </c>
    </row>
    <row r="1668" spans="1:14" ht="19.5" customHeight="1" outlineLevel="1" x14ac:dyDescent="0.2">
      <c r="A1668" s="101">
        <v>30</v>
      </c>
      <c r="B1668" s="81" t="s">
        <v>37</v>
      </c>
      <c r="C1668" s="84">
        <v>1.22</v>
      </c>
      <c r="D1668" s="53">
        <v>3.5191105291510199</v>
      </c>
      <c r="E1668" s="78">
        <v>2884.5168271729672</v>
      </c>
      <c r="F1668" s="84">
        <v>1.69</v>
      </c>
      <c r="G1668" s="53">
        <v>4.743514078931808</v>
      </c>
      <c r="H1668" s="78">
        <v>2806.8130644566913</v>
      </c>
      <c r="I1668" s="84">
        <v>3.2199999999999998</v>
      </c>
      <c r="J1668" s="53">
        <v>6.4228794062996428</v>
      </c>
      <c r="K1668" s="78">
        <v>1994.6830454346718</v>
      </c>
      <c r="L1668" s="84">
        <v>2.0433333333333334</v>
      </c>
      <c r="M1668" s="53">
        <v>4.895168004794157</v>
      </c>
      <c r="N1668" s="78">
        <v>2395.6776532434701</v>
      </c>
    </row>
    <row r="1669" spans="1:14" ht="19.5" customHeight="1" outlineLevel="1" x14ac:dyDescent="0.2">
      <c r="A1669" s="101">
        <v>31</v>
      </c>
      <c r="B1669" s="81" t="s">
        <v>38</v>
      </c>
      <c r="C1669" s="84">
        <v>3.54</v>
      </c>
      <c r="D1669" s="53">
        <v>8.854040179816419</v>
      </c>
      <c r="E1669" s="78">
        <v>2501.1412937334517</v>
      </c>
      <c r="F1669" s="84">
        <v>1.9400000000000002</v>
      </c>
      <c r="G1669" s="53">
        <v>4.9390034039593287</v>
      </c>
      <c r="H1669" s="78">
        <v>2545.878043278004</v>
      </c>
      <c r="I1669" s="84">
        <v>2.09</v>
      </c>
      <c r="J1669" s="53">
        <v>5.4072132413909806</v>
      </c>
      <c r="K1669" s="78">
        <v>2587.1833690865938</v>
      </c>
      <c r="L1669" s="84">
        <v>2.5233333333333334</v>
      </c>
      <c r="M1669" s="53">
        <v>6.4000856083889097</v>
      </c>
      <c r="N1669" s="78">
        <v>2536.3615356891319</v>
      </c>
    </row>
    <row r="1670" spans="1:14" ht="19.5" customHeight="1" outlineLevel="1" x14ac:dyDescent="0.2">
      <c r="A1670" s="101">
        <v>32</v>
      </c>
      <c r="B1670" s="81" t="s">
        <v>39</v>
      </c>
      <c r="C1670" s="84">
        <v>0</v>
      </c>
      <c r="D1670" s="53">
        <v>0</v>
      </c>
      <c r="E1670" s="78">
        <v>0</v>
      </c>
      <c r="F1670" s="84">
        <v>0</v>
      </c>
      <c r="G1670" s="53">
        <v>0</v>
      </c>
      <c r="H1670" s="78">
        <v>0</v>
      </c>
      <c r="I1670" s="84">
        <v>0</v>
      </c>
      <c r="J1670" s="53">
        <v>0</v>
      </c>
      <c r="K1670" s="78">
        <v>0</v>
      </c>
      <c r="L1670" s="84">
        <v>0</v>
      </c>
      <c r="M1670" s="53">
        <v>0</v>
      </c>
      <c r="N1670" s="78">
        <v>0</v>
      </c>
    </row>
    <row r="1671" spans="1:14" ht="19.5" customHeight="1" outlineLevel="1" thickBot="1" x14ac:dyDescent="0.25">
      <c r="A1671" s="102">
        <v>33</v>
      </c>
      <c r="B1671" s="91" t="s">
        <v>40</v>
      </c>
      <c r="C1671" s="92">
        <v>57.870000000000005</v>
      </c>
      <c r="D1671" s="93">
        <v>151.22809699187974</v>
      </c>
      <c r="E1671" s="94">
        <v>2613.2382407444225</v>
      </c>
      <c r="F1671" s="92">
        <v>62.199999999999996</v>
      </c>
      <c r="G1671" s="93">
        <v>173.1893421394243</v>
      </c>
      <c r="H1671" s="94">
        <v>2784.3945681579471</v>
      </c>
      <c r="I1671" s="92">
        <v>61.97</v>
      </c>
      <c r="J1671" s="93">
        <v>153.48044635634972</v>
      </c>
      <c r="K1671" s="94">
        <v>2476.689468393573</v>
      </c>
      <c r="L1671" s="92">
        <v>60.68</v>
      </c>
      <c r="M1671" s="93">
        <v>159.29929516255126</v>
      </c>
      <c r="N1671" s="94">
        <v>2625.2355827711149</v>
      </c>
    </row>
    <row r="1672" spans="1:14" ht="19.5" customHeight="1" thickBot="1" x14ac:dyDescent="0.25">
      <c r="A1672" s="151" t="s">
        <v>41</v>
      </c>
      <c r="B1672" s="152"/>
      <c r="C1672" s="96">
        <v>14175.680000000002</v>
      </c>
      <c r="D1672" s="97">
        <v>44297.319372339829</v>
      </c>
      <c r="E1672" s="98">
        <v>3124.8814428894998</v>
      </c>
      <c r="F1672" s="96">
        <v>13948.700000000006</v>
      </c>
      <c r="G1672" s="97">
        <v>42966.856473390049</v>
      </c>
      <c r="H1672" s="98">
        <v>3080.3484535039129</v>
      </c>
      <c r="I1672" s="96">
        <v>15284.76</v>
      </c>
      <c r="J1672" s="97">
        <v>49304.312879419602</v>
      </c>
      <c r="K1672" s="98">
        <v>3225.7171770717764</v>
      </c>
      <c r="L1672" s="96">
        <v>14469.713333333335</v>
      </c>
      <c r="M1672" s="97">
        <v>45522.829575049829</v>
      </c>
      <c r="N1672" s="98">
        <v>3146.0768106705059</v>
      </c>
    </row>
    <row r="1673" spans="1:14" ht="34.5" customHeight="1" x14ac:dyDescent="0.2">
      <c r="A1673" s="153" t="s">
        <v>247</v>
      </c>
      <c r="B1673" s="154"/>
      <c r="C1673" s="154"/>
      <c r="D1673" s="154"/>
      <c r="E1673" s="154"/>
      <c r="F1673" s="154"/>
      <c r="G1673" s="154"/>
      <c r="H1673" s="154"/>
      <c r="I1673" s="154"/>
      <c r="J1673" s="154"/>
      <c r="K1673" s="154"/>
      <c r="L1673" s="154"/>
      <c r="M1673" s="154"/>
      <c r="N1673" s="154"/>
    </row>
    <row r="1674" spans="1:14" ht="19.5" customHeight="1" thickBot="1" x14ac:dyDescent="0.25">
      <c r="A1674" s="50"/>
      <c r="B1674" s="51" t="s">
        <v>86</v>
      </c>
      <c r="C1674" s="52"/>
      <c r="D1674" s="52"/>
      <c r="E1674" s="52"/>
      <c r="F1674" s="52"/>
      <c r="G1674" s="52"/>
      <c r="H1674" s="52"/>
      <c r="I1674" s="52"/>
      <c r="J1674" s="52"/>
      <c r="K1674" s="155" t="s">
        <v>1</v>
      </c>
      <c r="L1674" s="154"/>
      <c r="M1674" s="154"/>
      <c r="N1674" s="154"/>
    </row>
    <row r="1675" spans="1:14" ht="19.5" customHeight="1" x14ac:dyDescent="0.2">
      <c r="A1675" s="156" t="s">
        <v>2</v>
      </c>
      <c r="B1675" s="158" t="s">
        <v>3</v>
      </c>
      <c r="C1675" s="148" t="s">
        <v>243</v>
      </c>
      <c r="D1675" s="149"/>
      <c r="E1675" s="150"/>
      <c r="F1675" s="148" t="s">
        <v>244</v>
      </c>
      <c r="G1675" s="149"/>
      <c r="H1675" s="150"/>
      <c r="I1675" s="148" t="s">
        <v>246</v>
      </c>
      <c r="J1675" s="149"/>
      <c r="K1675" s="150"/>
      <c r="L1675" s="148" t="s">
        <v>4</v>
      </c>
      <c r="M1675" s="149"/>
      <c r="N1675" s="150"/>
    </row>
    <row r="1676" spans="1:14" ht="19.5" customHeight="1" thickBot="1" x14ac:dyDescent="0.25">
      <c r="A1676" s="157"/>
      <c r="B1676" s="159"/>
      <c r="C1676" s="85" t="s">
        <v>5</v>
      </c>
      <c r="D1676" s="79" t="s">
        <v>6</v>
      </c>
      <c r="E1676" s="80" t="s">
        <v>7</v>
      </c>
      <c r="F1676" s="85" t="s">
        <v>5</v>
      </c>
      <c r="G1676" s="79" t="s">
        <v>6</v>
      </c>
      <c r="H1676" s="80" t="s">
        <v>7</v>
      </c>
      <c r="I1676" s="85" t="s">
        <v>5</v>
      </c>
      <c r="J1676" s="79" t="s">
        <v>6</v>
      </c>
      <c r="K1676" s="80" t="s">
        <v>7</v>
      </c>
      <c r="L1676" s="85" t="s">
        <v>5</v>
      </c>
      <c r="M1676" s="79" t="s">
        <v>6</v>
      </c>
      <c r="N1676" s="80" t="s">
        <v>7</v>
      </c>
    </row>
    <row r="1677" spans="1:14" ht="19.5" customHeight="1" outlineLevel="1" x14ac:dyDescent="0.2">
      <c r="A1677" s="100">
        <v>1</v>
      </c>
      <c r="B1677" s="86" t="s">
        <v>8</v>
      </c>
      <c r="C1677" s="87">
        <v>2.5499999999999998</v>
      </c>
      <c r="D1677" s="88">
        <v>4.3326040396266947</v>
      </c>
      <c r="E1677" s="89">
        <v>1699.0604076967431</v>
      </c>
      <c r="F1677" s="87">
        <v>10.8</v>
      </c>
      <c r="G1677" s="88">
        <v>15.472060592058863</v>
      </c>
      <c r="H1677" s="89">
        <v>1432.598202968413</v>
      </c>
      <c r="I1677" s="87">
        <v>21.2</v>
      </c>
      <c r="J1677" s="88">
        <v>39.185145514664285</v>
      </c>
      <c r="K1677" s="89">
        <v>1848.3559205030324</v>
      </c>
      <c r="L1677" s="87">
        <v>11.516666666666666</v>
      </c>
      <c r="M1677" s="88">
        <v>19.663270048783279</v>
      </c>
      <c r="N1677" s="89">
        <v>1707.3751127742355</v>
      </c>
    </row>
    <row r="1678" spans="1:14" ht="19.5" customHeight="1" outlineLevel="1" x14ac:dyDescent="0.2">
      <c r="A1678" s="101">
        <v>2</v>
      </c>
      <c r="B1678" s="81" t="s">
        <v>9</v>
      </c>
      <c r="C1678" s="84">
        <v>8.56</v>
      </c>
      <c r="D1678" s="53">
        <v>14.543957089884119</v>
      </c>
      <c r="E1678" s="78">
        <v>1699.0604076967429</v>
      </c>
      <c r="F1678" s="84">
        <v>5.33</v>
      </c>
      <c r="G1678" s="53">
        <v>9.1375747379068901</v>
      </c>
      <c r="H1678" s="78">
        <v>1714.3667425716492</v>
      </c>
      <c r="I1678" s="84">
        <v>4.2300000000000004</v>
      </c>
      <c r="J1678" s="53">
        <v>7.7856524082103729</v>
      </c>
      <c r="K1678" s="78">
        <v>1840.5797655343667</v>
      </c>
      <c r="L1678" s="84">
        <v>6.04</v>
      </c>
      <c r="M1678" s="53">
        <v>10.48906141200046</v>
      </c>
      <c r="N1678" s="78">
        <v>1736.5995715232548</v>
      </c>
    </row>
    <row r="1679" spans="1:14" ht="19.5" customHeight="1" outlineLevel="1" x14ac:dyDescent="0.2">
      <c r="A1679" s="101">
        <v>3</v>
      </c>
      <c r="B1679" s="81" t="s">
        <v>10</v>
      </c>
      <c r="C1679" s="84">
        <v>501.2</v>
      </c>
      <c r="D1679" s="53">
        <v>603.50660000000005</v>
      </c>
      <c r="E1679" s="78">
        <v>1204.1233040702316</v>
      </c>
      <c r="F1679" s="84">
        <v>468.46</v>
      </c>
      <c r="G1679" s="53">
        <v>665.58295999999996</v>
      </c>
      <c r="H1679" s="78">
        <v>1420.7893096529053</v>
      </c>
      <c r="I1679" s="84">
        <v>641.54</v>
      </c>
      <c r="J1679" s="53">
        <v>927.23752810780445</v>
      </c>
      <c r="K1679" s="78">
        <v>1445.3308104059054</v>
      </c>
      <c r="L1679" s="84">
        <v>537.06666666666661</v>
      </c>
      <c r="M1679" s="53">
        <v>732.10902936926811</v>
      </c>
      <c r="N1679" s="78">
        <v>1363.1622940093127</v>
      </c>
    </row>
    <row r="1680" spans="1:14" ht="19.5" customHeight="1" outlineLevel="1" x14ac:dyDescent="0.2">
      <c r="A1680" s="101">
        <v>4</v>
      </c>
      <c r="B1680" s="81" t="s">
        <v>11</v>
      </c>
      <c r="C1680" s="84">
        <v>7.36</v>
      </c>
      <c r="D1680" s="53">
        <v>12.505084600648027</v>
      </c>
      <c r="E1680" s="78">
        <v>1699.0604076967429</v>
      </c>
      <c r="F1680" s="84">
        <v>8.31</v>
      </c>
      <c r="G1680" s="53">
        <v>14.6900025</v>
      </c>
      <c r="H1680" s="78">
        <v>1767.75</v>
      </c>
      <c r="I1680" s="84">
        <v>9.32</v>
      </c>
      <c r="J1680" s="53">
        <v>19.242631199999998</v>
      </c>
      <c r="K1680" s="78">
        <v>2064.66</v>
      </c>
      <c r="L1680" s="84">
        <v>8.33</v>
      </c>
      <c r="M1680" s="53">
        <v>15.479239433549344</v>
      </c>
      <c r="N1680" s="78">
        <v>1858.2520328390569</v>
      </c>
    </row>
    <row r="1681" spans="1:14" ht="19.5" customHeight="1" outlineLevel="1" x14ac:dyDescent="0.2">
      <c r="A1681" s="101">
        <v>5</v>
      </c>
      <c r="B1681" s="81" t="s">
        <v>12</v>
      </c>
      <c r="C1681" s="84">
        <v>31.03</v>
      </c>
      <c r="D1681" s="53">
        <v>64.554661368932031</v>
      </c>
      <c r="E1681" s="78">
        <v>2080.3951456310674</v>
      </c>
      <c r="F1681" s="84">
        <v>42.86</v>
      </c>
      <c r="G1681" s="53">
        <v>77.883533192468619</v>
      </c>
      <c r="H1681" s="78">
        <v>1817.1612970711296</v>
      </c>
      <c r="I1681" s="84">
        <v>40.520000000000003</v>
      </c>
      <c r="J1681" s="53">
        <v>79.168064178882744</v>
      </c>
      <c r="K1681" s="78">
        <v>1953.8021761817063</v>
      </c>
      <c r="L1681" s="84">
        <v>38.136666666666663</v>
      </c>
      <c r="M1681" s="53">
        <v>73.868752913427798</v>
      </c>
      <c r="N1681" s="78">
        <v>1936.9483326657059</v>
      </c>
    </row>
    <row r="1682" spans="1:14" ht="19.5" customHeight="1" outlineLevel="1" x14ac:dyDescent="0.2">
      <c r="A1682" s="101">
        <v>6</v>
      </c>
      <c r="B1682" s="81" t="s">
        <v>13</v>
      </c>
      <c r="C1682" s="84">
        <v>117.31</v>
      </c>
      <c r="D1682" s="53">
        <v>157.12710999999999</v>
      </c>
      <c r="E1682" s="78">
        <v>1339.4178671894977</v>
      </c>
      <c r="F1682" s="84">
        <v>106.54</v>
      </c>
      <c r="G1682" s="53">
        <v>144.32634999999999</v>
      </c>
      <c r="H1682" s="78">
        <v>1354.6681997371877</v>
      </c>
      <c r="I1682" s="84">
        <v>102.59</v>
      </c>
      <c r="J1682" s="53">
        <v>136.04362</v>
      </c>
      <c r="K1682" s="78">
        <v>1326.0904571595672</v>
      </c>
      <c r="L1682" s="84">
        <v>108.81333333333335</v>
      </c>
      <c r="M1682" s="53">
        <v>145.83235999999999</v>
      </c>
      <c r="N1682" s="78">
        <v>1340.2067148633744</v>
      </c>
    </row>
    <row r="1683" spans="1:14" ht="19.5" customHeight="1" outlineLevel="1" x14ac:dyDescent="0.2">
      <c r="A1683" s="101">
        <v>7</v>
      </c>
      <c r="B1683" s="81" t="s">
        <v>14</v>
      </c>
      <c r="C1683" s="84">
        <v>11.61</v>
      </c>
      <c r="D1683" s="53">
        <v>19.726091333359186</v>
      </c>
      <c r="E1683" s="78">
        <v>1699.0604076967429</v>
      </c>
      <c r="F1683" s="84">
        <v>13.44</v>
      </c>
      <c r="G1683" s="53">
        <v>24.865410181818181</v>
      </c>
      <c r="H1683" s="78">
        <v>1850.1049242424242</v>
      </c>
      <c r="I1683" s="84">
        <v>9.52</v>
      </c>
      <c r="J1683" s="53">
        <v>15.711808000000001</v>
      </c>
      <c r="K1683" s="78">
        <v>1650.4</v>
      </c>
      <c r="L1683" s="84">
        <v>11.523333333333332</v>
      </c>
      <c r="M1683" s="53">
        <v>20.101103171725793</v>
      </c>
      <c r="N1683" s="78">
        <v>1744.3826877401616</v>
      </c>
    </row>
    <row r="1684" spans="1:14" ht="19.5" customHeight="1" outlineLevel="1" x14ac:dyDescent="0.2">
      <c r="A1684" s="101">
        <v>8</v>
      </c>
      <c r="B1684" s="81" t="s">
        <v>15</v>
      </c>
      <c r="C1684" s="84">
        <v>538.77</v>
      </c>
      <c r="D1684" s="53">
        <v>487.70752999999996</v>
      </c>
      <c r="E1684" s="78">
        <v>905.2239916847634</v>
      </c>
      <c r="F1684" s="84">
        <v>467.11</v>
      </c>
      <c r="G1684" s="53">
        <v>420.45835016465747</v>
      </c>
      <c r="H1684" s="78">
        <v>900.12705821895793</v>
      </c>
      <c r="I1684" s="84">
        <v>427.23</v>
      </c>
      <c r="J1684" s="53">
        <v>455.712947220947</v>
      </c>
      <c r="K1684" s="78">
        <v>1066.6688837884676</v>
      </c>
      <c r="L1684" s="84">
        <v>477.70333333333338</v>
      </c>
      <c r="M1684" s="53">
        <v>454.62627579520148</v>
      </c>
      <c r="N1684" s="78">
        <v>951.69165478267848</v>
      </c>
    </row>
    <row r="1685" spans="1:14" ht="19.5" customHeight="1" outlineLevel="1" x14ac:dyDescent="0.2">
      <c r="A1685" s="101">
        <v>9</v>
      </c>
      <c r="B1685" s="81" t="s">
        <v>16</v>
      </c>
      <c r="C1685" s="84">
        <v>396.48</v>
      </c>
      <c r="D1685" s="53">
        <v>585.3178612386962</v>
      </c>
      <c r="E1685" s="78">
        <v>1476.2859696294797</v>
      </c>
      <c r="F1685" s="84">
        <v>258</v>
      </c>
      <c r="G1685" s="53">
        <v>430.5989129855725</v>
      </c>
      <c r="H1685" s="78">
        <v>1668.9880348278002</v>
      </c>
      <c r="I1685" s="84">
        <v>543.48</v>
      </c>
      <c r="J1685" s="53">
        <v>883.51250363000008</v>
      </c>
      <c r="K1685" s="78">
        <v>1625.6578045742253</v>
      </c>
      <c r="L1685" s="84">
        <v>399.32</v>
      </c>
      <c r="M1685" s="53">
        <v>633.14309261808955</v>
      </c>
      <c r="N1685" s="78">
        <v>1585.5531719375176</v>
      </c>
    </row>
    <row r="1686" spans="1:14" ht="19.5" customHeight="1" outlineLevel="1" x14ac:dyDescent="0.2">
      <c r="A1686" s="101">
        <v>10</v>
      </c>
      <c r="B1686" s="81" t="s">
        <v>17</v>
      </c>
      <c r="C1686" s="84">
        <v>272.5</v>
      </c>
      <c r="D1686" s="53">
        <v>485.27750299999997</v>
      </c>
      <c r="E1686" s="78">
        <v>1780.8348733944954</v>
      </c>
      <c r="F1686" s="84">
        <v>154.69999999999999</v>
      </c>
      <c r="G1686" s="53">
        <v>234.06720700000002</v>
      </c>
      <c r="H1686" s="78">
        <v>1513.0394764059472</v>
      </c>
      <c r="I1686" s="84">
        <v>243.97</v>
      </c>
      <c r="J1686" s="53">
        <v>402.11296029999994</v>
      </c>
      <c r="K1686" s="78">
        <v>1648.2065840062301</v>
      </c>
      <c r="L1686" s="84">
        <v>223.72333333333333</v>
      </c>
      <c r="M1686" s="53">
        <v>373.81922343333326</v>
      </c>
      <c r="N1686" s="78">
        <v>1670.8995787952379</v>
      </c>
    </row>
    <row r="1687" spans="1:14" ht="19.5" customHeight="1" outlineLevel="1" x14ac:dyDescent="0.2">
      <c r="A1687" s="101">
        <v>11</v>
      </c>
      <c r="B1687" s="81" t="s">
        <v>18</v>
      </c>
      <c r="C1687" s="84">
        <v>745.73</v>
      </c>
      <c r="D1687" s="53">
        <v>1497.09883126</v>
      </c>
      <c r="E1687" s="78">
        <v>2007.5614917731616</v>
      </c>
      <c r="F1687" s="84">
        <v>597.92999999999995</v>
      </c>
      <c r="G1687" s="53">
        <v>1244.5452984899998</v>
      </c>
      <c r="H1687" s="78">
        <v>2081.4230737544526</v>
      </c>
      <c r="I1687" s="84">
        <v>1102.02</v>
      </c>
      <c r="J1687" s="53">
        <v>2572.0027385799995</v>
      </c>
      <c r="K1687" s="78">
        <v>2333.8984216075933</v>
      </c>
      <c r="L1687" s="84">
        <v>815.22666666666657</v>
      </c>
      <c r="M1687" s="53">
        <v>1771.2156227766664</v>
      </c>
      <c r="N1687" s="78">
        <v>2172.6664438233947</v>
      </c>
    </row>
    <row r="1688" spans="1:14" ht="19.5" customHeight="1" outlineLevel="1" x14ac:dyDescent="0.2">
      <c r="A1688" s="101">
        <v>12</v>
      </c>
      <c r="B1688" s="81" t="s">
        <v>19</v>
      </c>
      <c r="C1688" s="84">
        <v>843.36</v>
      </c>
      <c r="D1688" s="53">
        <v>1694.5942631999999</v>
      </c>
      <c r="E1688" s="78">
        <v>2009.3367757541262</v>
      </c>
      <c r="F1688" s="84">
        <v>573.78</v>
      </c>
      <c r="G1688" s="53">
        <v>1225.6475329999998</v>
      </c>
      <c r="H1688" s="78">
        <v>2136.0931593990726</v>
      </c>
      <c r="I1688" s="84">
        <v>791.4</v>
      </c>
      <c r="J1688" s="53">
        <v>1647.7311556000002</v>
      </c>
      <c r="K1688" s="78">
        <v>2082.0459383371244</v>
      </c>
      <c r="L1688" s="84">
        <v>736.18</v>
      </c>
      <c r="M1688" s="53">
        <v>1522.6576506000001</v>
      </c>
      <c r="N1688" s="78">
        <v>2068.3224898801927</v>
      </c>
    </row>
    <row r="1689" spans="1:14" ht="19.5" customHeight="1" outlineLevel="1" x14ac:dyDescent="0.2">
      <c r="A1689" s="101">
        <v>13</v>
      </c>
      <c r="B1689" s="81" t="s">
        <v>20</v>
      </c>
      <c r="C1689" s="84">
        <v>599.91</v>
      </c>
      <c r="D1689" s="53">
        <v>976.56254935751383</v>
      </c>
      <c r="E1689" s="78">
        <v>1627.8484261931187</v>
      </c>
      <c r="F1689" s="84">
        <v>189.5</v>
      </c>
      <c r="G1689" s="53">
        <v>327.27355786944577</v>
      </c>
      <c r="H1689" s="78">
        <v>1727.0372446936451</v>
      </c>
      <c r="I1689" s="84">
        <v>672.42</v>
      </c>
      <c r="J1689" s="53">
        <v>1281.0739407799999</v>
      </c>
      <c r="K1689" s="78">
        <v>1905.16930011005</v>
      </c>
      <c r="L1689" s="84">
        <v>487.27666666666664</v>
      </c>
      <c r="M1689" s="53">
        <v>861.6366826689864</v>
      </c>
      <c r="N1689" s="78">
        <v>1768.2699411059832</v>
      </c>
    </row>
    <row r="1690" spans="1:14" ht="19.5" customHeight="1" outlineLevel="1" x14ac:dyDescent="0.2">
      <c r="A1690" s="101">
        <v>14</v>
      </c>
      <c r="B1690" s="81" t="s">
        <v>21</v>
      </c>
      <c r="C1690" s="84">
        <v>466.95000000000005</v>
      </c>
      <c r="D1690" s="53">
        <v>1017.1808699999999</v>
      </c>
      <c r="E1690" s="78">
        <v>2178.3507227754571</v>
      </c>
      <c r="F1690" s="84">
        <v>304.75</v>
      </c>
      <c r="G1690" s="53">
        <v>628.7568</v>
      </c>
      <c r="H1690" s="78">
        <v>2063.1888433141921</v>
      </c>
      <c r="I1690" s="84">
        <v>409.54999999999995</v>
      </c>
      <c r="J1690" s="53">
        <v>994.06245000000001</v>
      </c>
      <c r="K1690" s="78">
        <v>2427.2065681845934</v>
      </c>
      <c r="L1690" s="84">
        <v>393.75</v>
      </c>
      <c r="M1690" s="53">
        <v>880.0000399999999</v>
      </c>
      <c r="N1690" s="78">
        <v>2234.9207365079365</v>
      </c>
    </row>
    <row r="1691" spans="1:14" ht="19.5" customHeight="1" outlineLevel="1" x14ac:dyDescent="0.2">
      <c r="A1691" s="101">
        <v>15</v>
      </c>
      <c r="B1691" s="81" t="s">
        <v>22</v>
      </c>
      <c r="C1691" s="84">
        <v>696.88</v>
      </c>
      <c r="D1691" s="53">
        <v>1379.8754000000001</v>
      </c>
      <c r="E1691" s="78">
        <v>1980.0760532659858</v>
      </c>
      <c r="F1691" s="84">
        <v>819.59999999999991</v>
      </c>
      <c r="G1691" s="53">
        <v>1490.3849</v>
      </c>
      <c r="H1691" s="78">
        <v>1818.4295998047828</v>
      </c>
      <c r="I1691" s="84">
        <v>889.69</v>
      </c>
      <c r="J1691" s="53">
        <v>1629.3554999999999</v>
      </c>
      <c r="K1691" s="78">
        <v>1831.374411311805</v>
      </c>
      <c r="L1691" s="84">
        <v>802.05666666666673</v>
      </c>
      <c r="M1691" s="53">
        <v>1499.8719333333331</v>
      </c>
      <c r="N1691" s="78">
        <v>1870.0323751023407</v>
      </c>
    </row>
    <row r="1692" spans="1:14" ht="19.5" customHeight="1" outlineLevel="1" x14ac:dyDescent="0.2">
      <c r="A1692" s="101">
        <v>16</v>
      </c>
      <c r="B1692" s="81" t="s">
        <v>23</v>
      </c>
      <c r="C1692" s="84">
        <v>225.34</v>
      </c>
      <c r="D1692" s="53">
        <v>490.79194999999993</v>
      </c>
      <c r="E1692" s="78">
        <v>2178.0063459660955</v>
      </c>
      <c r="F1692" s="84">
        <v>239</v>
      </c>
      <c r="G1692" s="53">
        <v>484.58515799999998</v>
      </c>
      <c r="H1692" s="78">
        <v>2027.5529623430962</v>
      </c>
      <c r="I1692" s="84">
        <v>221.48000000000002</v>
      </c>
      <c r="J1692" s="53">
        <v>480.53962839999997</v>
      </c>
      <c r="K1692" s="78">
        <v>2169.6750424417551</v>
      </c>
      <c r="L1692" s="84">
        <v>228.60666666666668</v>
      </c>
      <c r="M1692" s="53">
        <v>485.30557879999998</v>
      </c>
      <c r="N1692" s="78">
        <v>2122.8846292029975</v>
      </c>
    </row>
    <row r="1693" spans="1:14" ht="19.5" customHeight="1" outlineLevel="1" x14ac:dyDescent="0.2">
      <c r="A1693" s="101">
        <v>17</v>
      </c>
      <c r="B1693" s="81" t="s">
        <v>24</v>
      </c>
      <c r="C1693" s="84">
        <v>831.59</v>
      </c>
      <c r="D1693" s="53">
        <v>1632.3571899999997</v>
      </c>
      <c r="E1693" s="78">
        <v>1962.9350882045235</v>
      </c>
      <c r="F1693" s="84">
        <v>753.95</v>
      </c>
      <c r="G1693" s="53">
        <v>1467.2667300000001</v>
      </c>
      <c r="H1693" s="78">
        <v>1946.1061476225213</v>
      </c>
      <c r="I1693" s="84">
        <v>935.14</v>
      </c>
      <c r="J1693" s="53">
        <v>1691.7309800000003</v>
      </c>
      <c r="K1693" s="78">
        <v>1809.0670701713116</v>
      </c>
      <c r="L1693" s="84">
        <v>840.22666666666657</v>
      </c>
      <c r="M1693" s="53">
        <v>1597.1183000000001</v>
      </c>
      <c r="N1693" s="78">
        <v>1900.8183902756402</v>
      </c>
    </row>
    <row r="1694" spans="1:14" ht="19.5" customHeight="1" outlineLevel="1" x14ac:dyDescent="0.2">
      <c r="A1694" s="101">
        <v>18</v>
      </c>
      <c r="B1694" s="81" t="s">
        <v>25</v>
      </c>
      <c r="C1694" s="84">
        <v>236.41</v>
      </c>
      <c r="D1694" s="53">
        <v>401.69802842235214</v>
      </c>
      <c r="E1694" s="78">
        <v>1699.1583622619694</v>
      </c>
      <c r="F1694" s="84">
        <v>137.65</v>
      </c>
      <c r="G1694" s="53">
        <v>304.01739000000009</v>
      </c>
      <c r="H1694" s="78">
        <v>2208.6261532873232</v>
      </c>
      <c r="I1694" s="84">
        <v>217.21</v>
      </c>
      <c r="J1694" s="53">
        <v>501.63821999999999</v>
      </c>
      <c r="K1694" s="78">
        <v>2309.4619032272913</v>
      </c>
      <c r="L1694" s="84">
        <v>197.09</v>
      </c>
      <c r="M1694" s="53">
        <v>402.45121280745076</v>
      </c>
      <c r="N1694" s="78">
        <v>2041.9666792199032</v>
      </c>
    </row>
    <row r="1695" spans="1:14" ht="19.5" customHeight="1" outlineLevel="1" x14ac:dyDescent="0.2">
      <c r="A1695" s="101">
        <v>19</v>
      </c>
      <c r="B1695" s="81" t="s">
        <v>26</v>
      </c>
      <c r="C1695" s="84">
        <v>121.6</v>
      </c>
      <c r="D1695" s="53">
        <v>272.88983109999992</v>
      </c>
      <c r="E1695" s="78">
        <v>2244.1597952302627</v>
      </c>
      <c r="F1695" s="84">
        <v>57.39</v>
      </c>
      <c r="G1695" s="53">
        <v>146.75092212666164</v>
      </c>
      <c r="H1695" s="78">
        <v>2557.0817586105877</v>
      </c>
      <c r="I1695" s="84">
        <v>245.01</v>
      </c>
      <c r="J1695" s="53">
        <v>616.69324399999994</v>
      </c>
      <c r="K1695" s="78">
        <v>2517.0125464266762</v>
      </c>
      <c r="L1695" s="84">
        <v>141.33333333333334</v>
      </c>
      <c r="M1695" s="53">
        <v>345.44466574222048</v>
      </c>
      <c r="N1695" s="78">
        <v>2444.1839557232579</v>
      </c>
    </row>
    <row r="1696" spans="1:14" ht="19.5" customHeight="1" outlineLevel="1" x14ac:dyDescent="0.2">
      <c r="A1696" s="101">
        <v>20</v>
      </c>
      <c r="B1696" s="81" t="s">
        <v>27</v>
      </c>
      <c r="C1696" s="84">
        <v>89.9</v>
      </c>
      <c r="D1696" s="53">
        <v>89.788529784007352</v>
      </c>
      <c r="E1696" s="78">
        <v>998.76006433823511</v>
      </c>
      <c r="F1696" s="84">
        <v>91.97</v>
      </c>
      <c r="G1696" s="53">
        <v>88.649980180530562</v>
      </c>
      <c r="H1696" s="78">
        <v>963.90105665467615</v>
      </c>
      <c r="I1696" s="84">
        <v>72.400000000000006</v>
      </c>
      <c r="J1696" s="53">
        <v>68.899341277330265</v>
      </c>
      <c r="K1696" s="78">
        <v>951.64836018411972</v>
      </c>
      <c r="L1696" s="84">
        <v>84.756666666666675</v>
      </c>
      <c r="M1696" s="53">
        <v>82.445950413956055</v>
      </c>
      <c r="N1696" s="78">
        <v>972.73705605013629</v>
      </c>
    </row>
    <row r="1697" spans="1:14" ht="19.5" customHeight="1" outlineLevel="1" x14ac:dyDescent="0.2">
      <c r="A1697" s="101">
        <v>21</v>
      </c>
      <c r="B1697" s="81" t="s">
        <v>28</v>
      </c>
      <c r="C1697" s="84">
        <v>18.45</v>
      </c>
      <c r="D1697" s="53">
        <v>26.601339999999997</v>
      </c>
      <c r="E1697" s="78">
        <v>1441.8070460704605</v>
      </c>
      <c r="F1697" s="84">
        <v>21.29</v>
      </c>
      <c r="G1697" s="53">
        <v>46.278336000000003</v>
      </c>
      <c r="H1697" s="78">
        <v>2173.7123532174733</v>
      </c>
      <c r="I1697" s="84">
        <v>16.62</v>
      </c>
      <c r="J1697" s="53">
        <v>32.379339999999999</v>
      </c>
      <c r="K1697" s="78">
        <v>1948.2154031287605</v>
      </c>
      <c r="L1697" s="84">
        <v>18.786666666666665</v>
      </c>
      <c r="M1697" s="53">
        <v>35.08633866666667</v>
      </c>
      <c r="N1697" s="78">
        <v>1867.6191625266149</v>
      </c>
    </row>
    <row r="1698" spans="1:14" ht="19.5" customHeight="1" outlineLevel="1" x14ac:dyDescent="0.2">
      <c r="A1698" s="101">
        <v>22</v>
      </c>
      <c r="B1698" s="81" t="s">
        <v>29</v>
      </c>
      <c r="C1698" s="84">
        <v>18.04</v>
      </c>
      <c r="D1698" s="53">
        <v>30.651049754849243</v>
      </c>
      <c r="E1698" s="78">
        <v>1699.0604076967429</v>
      </c>
      <c r="F1698" s="84">
        <v>19.48</v>
      </c>
      <c r="G1698" s="53">
        <v>33.231278131632834</v>
      </c>
      <c r="H1698" s="78">
        <v>1705.9177685643137</v>
      </c>
      <c r="I1698" s="84">
        <v>22.57</v>
      </c>
      <c r="J1698" s="53">
        <v>41.541885308110658</v>
      </c>
      <c r="K1698" s="78">
        <v>1840.5797655343667</v>
      </c>
      <c r="L1698" s="84">
        <v>20.029999999999998</v>
      </c>
      <c r="M1698" s="53">
        <v>35.141404398197579</v>
      </c>
      <c r="N1698" s="78">
        <v>1754.438562066779</v>
      </c>
    </row>
    <row r="1699" spans="1:14" ht="19.5" customHeight="1" outlineLevel="1" x14ac:dyDescent="0.2">
      <c r="A1699" s="101">
        <v>23</v>
      </c>
      <c r="B1699" s="81" t="s">
        <v>30</v>
      </c>
      <c r="C1699" s="84">
        <v>136.16</v>
      </c>
      <c r="D1699" s="53">
        <v>183.32711864991472</v>
      </c>
      <c r="E1699" s="78">
        <v>1346.4095082984336</v>
      </c>
      <c r="F1699" s="84">
        <v>134.9</v>
      </c>
      <c r="G1699" s="53">
        <v>182.22299249904032</v>
      </c>
      <c r="H1699" s="78">
        <v>1350.8005374280231</v>
      </c>
      <c r="I1699" s="84">
        <v>126.72</v>
      </c>
      <c r="J1699" s="53">
        <v>181.3756114285714</v>
      </c>
      <c r="K1699" s="78">
        <v>1431.3100649350647</v>
      </c>
      <c r="L1699" s="84">
        <v>132.59333333333333</v>
      </c>
      <c r="M1699" s="53">
        <v>182.30857419250879</v>
      </c>
      <c r="N1699" s="78">
        <v>1374.9452525957222</v>
      </c>
    </row>
    <row r="1700" spans="1:14" ht="19.5" customHeight="1" outlineLevel="1" x14ac:dyDescent="0.2">
      <c r="A1700" s="101">
        <v>24</v>
      </c>
      <c r="B1700" s="81" t="s">
        <v>31</v>
      </c>
      <c r="C1700" s="84">
        <v>446.98</v>
      </c>
      <c r="D1700" s="53">
        <v>586.17486400000018</v>
      </c>
      <c r="E1700" s="78">
        <v>1311.4118394559043</v>
      </c>
      <c r="F1700" s="84">
        <v>466.51</v>
      </c>
      <c r="G1700" s="53">
        <v>645.6958810000001</v>
      </c>
      <c r="H1700" s="78">
        <v>1384.0986924181691</v>
      </c>
      <c r="I1700" s="84">
        <v>480.76</v>
      </c>
      <c r="J1700" s="53">
        <v>680.96150899999986</v>
      </c>
      <c r="K1700" s="78">
        <v>1416.4271341209749</v>
      </c>
      <c r="L1700" s="84">
        <v>464.75</v>
      </c>
      <c r="M1700" s="53">
        <v>637.61075133333327</v>
      </c>
      <c r="N1700" s="78">
        <v>1371.9435208893669</v>
      </c>
    </row>
    <row r="1701" spans="1:14" ht="19.5" customHeight="1" outlineLevel="1" x14ac:dyDescent="0.2">
      <c r="A1701" s="101">
        <v>25</v>
      </c>
      <c r="B1701" s="81" t="s">
        <v>32</v>
      </c>
      <c r="C1701" s="84">
        <v>6.88</v>
      </c>
      <c r="D1701" s="53">
        <v>10.029470495561259</v>
      </c>
      <c r="E1701" s="78">
        <v>1457.7718743548344</v>
      </c>
      <c r="F1701" s="84">
        <v>9.83</v>
      </c>
      <c r="G1701" s="53">
        <v>11.52446999988954</v>
      </c>
      <c r="H1701" s="78">
        <v>1172.377416062008</v>
      </c>
      <c r="I1701" s="84">
        <v>69.739999999999995</v>
      </c>
      <c r="J1701" s="53">
        <v>98.203810231888966</v>
      </c>
      <c r="K1701" s="78">
        <v>1408.1418157712787</v>
      </c>
      <c r="L1701" s="84">
        <v>28.816666666666663</v>
      </c>
      <c r="M1701" s="53">
        <v>39.919250242446587</v>
      </c>
      <c r="N1701" s="78">
        <v>1385.2834092231321</v>
      </c>
    </row>
    <row r="1702" spans="1:14" ht="19.5" customHeight="1" outlineLevel="1" x14ac:dyDescent="0.2">
      <c r="A1702" s="101">
        <v>26</v>
      </c>
      <c r="B1702" s="81" t="s">
        <v>33</v>
      </c>
      <c r="C1702" s="84">
        <v>13.61</v>
      </c>
      <c r="D1702" s="53">
        <v>23.925660000000001</v>
      </c>
      <c r="E1702" s="78">
        <v>1757.9470977222632</v>
      </c>
      <c r="F1702" s="84">
        <v>9.49</v>
      </c>
      <c r="G1702" s="53">
        <v>15.906716000000003</v>
      </c>
      <c r="H1702" s="78">
        <v>1676.155532139094</v>
      </c>
      <c r="I1702" s="84">
        <v>43.1</v>
      </c>
      <c r="J1702" s="53">
        <v>49.025499999999994</v>
      </c>
      <c r="K1702" s="78">
        <v>1137.4825986078883</v>
      </c>
      <c r="L1702" s="84">
        <v>22.066666666666666</v>
      </c>
      <c r="M1702" s="53">
        <v>29.619292000000002</v>
      </c>
      <c r="N1702" s="78">
        <v>1342.2639879154078</v>
      </c>
    </row>
    <row r="1703" spans="1:14" ht="19.5" customHeight="1" outlineLevel="1" x14ac:dyDescent="0.2">
      <c r="A1703" s="101">
        <v>27</v>
      </c>
      <c r="B1703" s="81" t="s">
        <v>34</v>
      </c>
      <c r="C1703" s="84">
        <v>12.94</v>
      </c>
      <c r="D1703" s="53">
        <v>21.305289659516582</v>
      </c>
      <c r="E1703" s="78">
        <v>1646.4675161913897</v>
      </c>
      <c r="F1703" s="84">
        <v>11.07</v>
      </c>
      <c r="G1703" s="53">
        <v>15.420858000000003</v>
      </c>
      <c r="H1703" s="78">
        <v>1393.0314363143632</v>
      </c>
      <c r="I1703" s="84">
        <v>9.24</v>
      </c>
      <c r="J1703" s="53">
        <v>12.214608999999999</v>
      </c>
      <c r="K1703" s="78">
        <v>1321.9273809523809</v>
      </c>
      <c r="L1703" s="84">
        <v>11.083333333333334</v>
      </c>
      <c r="M1703" s="53">
        <v>16.313585553172192</v>
      </c>
      <c r="N1703" s="78">
        <v>1471.9024559253105</v>
      </c>
    </row>
    <row r="1704" spans="1:14" ht="19.5" customHeight="1" outlineLevel="1" x14ac:dyDescent="0.2">
      <c r="A1704" s="101">
        <v>28</v>
      </c>
      <c r="B1704" s="81" t="s">
        <v>35</v>
      </c>
      <c r="C1704" s="84">
        <v>333.07</v>
      </c>
      <c r="D1704" s="53">
        <v>243.81657645957446</v>
      </c>
      <c r="E1704" s="78">
        <v>732.02803152362708</v>
      </c>
      <c r="F1704" s="84">
        <v>21.86</v>
      </c>
      <c r="G1704" s="53">
        <v>20.190557086538458</v>
      </c>
      <c r="H1704" s="78">
        <v>923.63024183616005</v>
      </c>
      <c r="I1704" s="84">
        <v>196.7</v>
      </c>
      <c r="J1704" s="53">
        <v>145.39800886341465</v>
      </c>
      <c r="K1704" s="78">
        <v>739.18662360658186</v>
      </c>
      <c r="L1704" s="84">
        <v>183.87666666666667</v>
      </c>
      <c r="M1704" s="53">
        <v>136.46838080317585</v>
      </c>
      <c r="N1704" s="78">
        <v>742.17345396285111</v>
      </c>
    </row>
    <row r="1705" spans="1:14" ht="19.5" customHeight="1" outlineLevel="1" x14ac:dyDescent="0.2">
      <c r="A1705" s="101">
        <v>29</v>
      </c>
      <c r="B1705" s="81" t="s">
        <v>36</v>
      </c>
      <c r="C1705" s="84">
        <v>16.07</v>
      </c>
      <c r="D1705" s="53">
        <v>23.611208116594124</v>
      </c>
      <c r="E1705" s="78">
        <v>1469.2724403605553</v>
      </c>
      <c r="F1705" s="84">
        <v>20.55</v>
      </c>
      <c r="G1705" s="53">
        <v>27.599894304917107</v>
      </c>
      <c r="H1705" s="78">
        <v>1343.0605501176208</v>
      </c>
      <c r="I1705" s="84">
        <v>20.21</v>
      </c>
      <c r="J1705" s="53">
        <v>29.427206523810888</v>
      </c>
      <c r="K1705" s="78">
        <v>1456.0715746566495</v>
      </c>
      <c r="L1705" s="84">
        <v>18.943333333333335</v>
      </c>
      <c r="M1705" s="53">
        <v>26.87943631510737</v>
      </c>
      <c r="N1705" s="78">
        <v>1418.9390981052632</v>
      </c>
    </row>
    <row r="1706" spans="1:14" ht="19.5" customHeight="1" outlineLevel="1" x14ac:dyDescent="0.2">
      <c r="A1706" s="101">
        <v>30</v>
      </c>
      <c r="B1706" s="81" t="s">
        <v>37</v>
      </c>
      <c r="C1706" s="84">
        <v>163.77000000000001</v>
      </c>
      <c r="D1706" s="53">
        <v>144.73419000000004</v>
      </c>
      <c r="E1706" s="78">
        <v>883.76497527019615</v>
      </c>
      <c r="F1706" s="84">
        <v>154.16999999999999</v>
      </c>
      <c r="G1706" s="53">
        <v>151.52831149999997</v>
      </c>
      <c r="H1706" s="78">
        <v>982.8650937277032</v>
      </c>
      <c r="I1706" s="84">
        <v>154</v>
      </c>
      <c r="J1706" s="53">
        <v>141.15946200000002</v>
      </c>
      <c r="K1706" s="78">
        <v>916.61988311688333</v>
      </c>
      <c r="L1706" s="84">
        <v>157.31333333333333</v>
      </c>
      <c r="M1706" s="53">
        <v>145.80732116666667</v>
      </c>
      <c r="N1706" s="78">
        <v>926.85926918676103</v>
      </c>
    </row>
    <row r="1707" spans="1:14" ht="19.5" customHeight="1" outlineLevel="1" x14ac:dyDescent="0.2">
      <c r="A1707" s="101">
        <v>31</v>
      </c>
      <c r="B1707" s="81" t="s">
        <v>38</v>
      </c>
      <c r="C1707" s="84">
        <v>22.02</v>
      </c>
      <c r="D1707" s="53">
        <v>18.525089999999999</v>
      </c>
      <c r="E1707" s="78">
        <v>841.28474114441417</v>
      </c>
      <c r="F1707" s="84">
        <v>23</v>
      </c>
      <c r="G1707" s="53">
        <v>16.51774</v>
      </c>
      <c r="H1707" s="78">
        <v>718.16260869565224</v>
      </c>
      <c r="I1707" s="84">
        <v>23.09</v>
      </c>
      <c r="J1707" s="53">
        <v>20.103260000000002</v>
      </c>
      <c r="K1707" s="78">
        <v>870.64789952360343</v>
      </c>
      <c r="L1707" s="84">
        <v>22.703333333333333</v>
      </c>
      <c r="M1707" s="53">
        <v>18.38203</v>
      </c>
      <c r="N1707" s="78">
        <v>809.66216414623398</v>
      </c>
    </row>
    <row r="1708" spans="1:14" ht="19.5" customHeight="1" outlineLevel="1" x14ac:dyDescent="0.2">
      <c r="A1708" s="101">
        <v>32</v>
      </c>
      <c r="B1708" s="81" t="s">
        <v>39</v>
      </c>
      <c r="C1708" s="84">
        <v>82.86</v>
      </c>
      <c r="D1708" s="53">
        <v>57.608948716476988</v>
      </c>
      <c r="E1708" s="78">
        <v>695.25644118364698</v>
      </c>
      <c r="F1708" s="84">
        <v>81.7</v>
      </c>
      <c r="G1708" s="53">
        <v>60.396279411764709</v>
      </c>
      <c r="H1708" s="78">
        <v>739.24454604363166</v>
      </c>
      <c r="I1708" s="84">
        <v>77.59</v>
      </c>
      <c r="J1708" s="53">
        <v>58.12766961470588</v>
      </c>
      <c r="K1708" s="78">
        <v>749.16444921646962</v>
      </c>
      <c r="L1708" s="84">
        <v>80.716666666666669</v>
      </c>
      <c r="M1708" s="53">
        <v>58.710965914315864</v>
      </c>
      <c r="N1708" s="78">
        <v>727.37104168055998</v>
      </c>
    </row>
    <row r="1709" spans="1:14" ht="19.5" customHeight="1" outlineLevel="1" thickBot="1" x14ac:dyDescent="0.25">
      <c r="A1709" s="102">
        <v>33</v>
      </c>
      <c r="B1709" s="91" t="s">
        <v>40</v>
      </c>
      <c r="C1709" s="92">
        <v>50.620000000000005</v>
      </c>
      <c r="D1709" s="93">
        <v>63.045358755270399</v>
      </c>
      <c r="E1709" s="94">
        <v>1245.463428590881</v>
      </c>
      <c r="F1709" s="92">
        <v>48.13</v>
      </c>
      <c r="G1709" s="93">
        <v>61.522198237161682</v>
      </c>
      <c r="H1709" s="94">
        <v>1278.2505347426072</v>
      </c>
      <c r="I1709" s="92">
        <v>48.98</v>
      </c>
      <c r="J1709" s="93">
        <v>53.483038327620967</v>
      </c>
      <c r="K1709" s="94">
        <v>1091.9362663867082</v>
      </c>
      <c r="L1709" s="92">
        <v>49.243333333333332</v>
      </c>
      <c r="M1709" s="93">
        <v>59.350198440017685</v>
      </c>
      <c r="N1709" s="94">
        <v>1205.2433176744944</v>
      </c>
    </row>
    <row r="1710" spans="1:14" ht="19.5" customHeight="1" thickBot="1" x14ac:dyDescent="0.25">
      <c r="A1710" s="151" t="s">
        <v>41</v>
      </c>
      <c r="B1710" s="152"/>
      <c r="C1710" s="96">
        <v>8066.5099999999993</v>
      </c>
      <c r="D1710" s="97">
        <v>13320.792610402776</v>
      </c>
      <c r="E1710" s="98">
        <v>1651.3699989713987</v>
      </c>
      <c r="F1710" s="96">
        <v>6323.0499999999993</v>
      </c>
      <c r="G1710" s="97">
        <v>10732.996143192062</v>
      </c>
      <c r="H1710" s="98">
        <v>1697.4397076082055</v>
      </c>
      <c r="I1710" s="96">
        <v>8889.24</v>
      </c>
      <c r="J1710" s="97">
        <v>15992.840969495961</v>
      </c>
      <c r="K1710" s="98">
        <v>1799.1235436883201</v>
      </c>
      <c r="L1710" s="96">
        <v>7759.5999999999985</v>
      </c>
      <c r="M1710" s="97">
        <v>13348.876574363601</v>
      </c>
      <c r="N1710" s="98">
        <v>1720.3047288988612</v>
      </c>
    </row>
    <row r="1711" spans="1:14" ht="34.5" customHeight="1" x14ac:dyDescent="0.2">
      <c r="A1711" s="153" t="s">
        <v>247</v>
      </c>
      <c r="B1711" s="154"/>
      <c r="C1711" s="154"/>
      <c r="D1711" s="154"/>
      <c r="E1711" s="154"/>
      <c r="F1711" s="154"/>
      <c r="G1711" s="154"/>
      <c r="H1711" s="154"/>
      <c r="I1711" s="154"/>
      <c r="J1711" s="154"/>
      <c r="K1711" s="154"/>
      <c r="L1711" s="154"/>
      <c r="M1711" s="154"/>
      <c r="N1711" s="154"/>
    </row>
    <row r="1712" spans="1:14" ht="19.5" customHeight="1" thickBot="1" x14ac:dyDescent="0.25">
      <c r="A1712" s="50"/>
      <c r="B1712" s="51" t="s">
        <v>87</v>
      </c>
      <c r="C1712" s="52"/>
      <c r="D1712" s="52"/>
      <c r="E1712" s="52"/>
      <c r="F1712" s="52"/>
      <c r="G1712" s="52"/>
      <c r="H1712" s="52"/>
      <c r="I1712" s="52"/>
      <c r="J1712" s="52"/>
      <c r="K1712" s="155" t="s">
        <v>1</v>
      </c>
      <c r="L1712" s="154"/>
      <c r="M1712" s="154"/>
      <c r="N1712" s="154"/>
    </row>
    <row r="1713" spans="1:14" ht="19.5" customHeight="1" x14ac:dyDescent="0.2">
      <c r="A1713" s="156" t="s">
        <v>2</v>
      </c>
      <c r="B1713" s="158" t="s">
        <v>3</v>
      </c>
      <c r="C1713" s="148" t="s">
        <v>243</v>
      </c>
      <c r="D1713" s="149"/>
      <c r="E1713" s="150"/>
      <c r="F1713" s="148" t="s">
        <v>244</v>
      </c>
      <c r="G1713" s="149"/>
      <c r="H1713" s="150"/>
      <c r="I1713" s="148" t="s">
        <v>246</v>
      </c>
      <c r="J1713" s="149"/>
      <c r="K1713" s="150"/>
      <c r="L1713" s="148" t="s">
        <v>4</v>
      </c>
      <c r="M1713" s="149"/>
      <c r="N1713" s="150"/>
    </row>
    <row r="1714" spans="1:14" ht="19.5" customHeight="1" thickBot="1" x14ac:dyDescent="0.25">
      <c r="A1714" s="157"/>
      <c r="B1714" s="159"/>
      <c r="C1714" s="85" t="s">
        <v>5</v>
      </c>
      <c r="D1714" s="79" t="s">
        <v>6</v>
      </c>
      <c r="E1714" s="80" t="s">
        <v>7</v>
      </c>
      <c r="F1714" s="85" t="s">
        <v>5</v>
      </c>
      <c r="G1714" s="79" t="s">
        <v>6</v>
      </c>
      <c r="H1714" s="80" t="s">
        <v>7</v>
      </c>
      <c r="I1714" s="85" t="s">
        <v>5</v>
      </c>
      <c r="J1714" s="79" t="s">
        <v>6</v>
      </c>
      <c r="K1714" s="80" t="s">
        <v>7</v>
      </c>
      <c r="L1714" s="85" t="s">
        <v>5</v>
      </c>
      <c r="M1714" s="79" t="s">
        <v>6</v>
      </c>
      <c r="N1714" s="80" t="s">
        <v>7</v>
      </c>
    </row>
    <row r="1715" spans="1:14" ht="19.5" customHeight="1" outlineLevel="1" x14ac:dyDescent="0.2">
      <c r="A1715" s="100">
        <v>1</v>
      </c>
      <c r="B1715" s="86" t="s">
        <v>8</v>
      </c>
      <c r="C1715" s="87">
        <v>320.63</v>
      </c>
      <c r="D1715" s="88">
        <v>866.28727201951199</v>
      </c>
      <c r="E1715" s="89">
        <v>2701.828500201204</v>
      </c>
      <c r="F1715" s="87">
        <v>363.26</v>
      </c>
      <c r="G1715" s="88">
        <v>1035.084045566894</v>
      </c>
      <c r="H1715" s="89">
        <v>2849.430285654611</v>
      </c>
      <c r="I1715" s="87">
        <v>400.06</v>
      </c>
      <c r="J1715" s="88">
        <v>1199.4926396483584</v>
      </c>
      <c r="K1715" s="89">
        <v>2998.2818568423695</v>
      </c>
      <c r="L1715" s="87">
        <v>361.31666666666666</v>
      </c>
      <c r="M1715" s="88">
        <v>1033.6213190782548</v>
      </c>
      <c r="N1715" s="89">
        <v>2860.7075577607498</v>
      </c>
    </row>
    <row r="1716" spans="1:14" ht="19.5" customHeight="1" outlineLevel="1" x14ac:dyDescent="0.2">
      <c r="A1716" s="101">
        <v>2</v>
      </c>
      <c r="B1716" s="81" t="s">
        <v>9</v>
      </c>
      <c r="C1716" s="84">
        <v>684.6099999999999</v>
      </c>
      <c r="D1716" s="53">
        <v>2087.7463262346137</v>
      </c>
      <c r="E1716" s="78">
        <v>3049.5410908906001</v>
      </c>
      <c r="F1716" s="84">
        <v>788.72</v>
      </c>
      <c r="G1716" s="53">
        <v>2447.0747153824736</v>
      </c>
      <c r="H1716" s="78">
        <v>3102.5899119871101</v>
      </c>
      <c r="I1716" s="84">
        <v>771.08</v>
      </c>
      <c r="J1716" s="53">
        <v>2360.5465564526608</v>
      </c>
      <c r="K1716" s="78">
        <v>3061.351035499119</v>
      </c>
      <c r="L1716" s="84">
        <v>748.13666666666666</v>
      </c>
      <c r="M1716" s="53">
        <v>2298.4558660232492</v>
      </c>
      <c r="N1716" s="78">
        <v>3072.240632535832</v>
      </c>
    </row>
    <row r="1717" spans="1:14" ht="19.5" customHeight="1" outlineLevel="1" x14ac:dyDescent="0.2">
      <c r="A1717" s="101">
        <v>3</v>
      </c>
      <c r="B1717" s="81" t="s">
        <v>10</v>
      </c>
      <c r="C1717" s="84">
        <v>957.13</v>
      </c>
      <c r="D1717" s="53">
        <v>1867.8686200000002</v>
      </c>
      <c r="E1717" s="78">
        <v>1951.5307429502786</v>
      </c>
      <c r="F1717" s="84">
        <v>861.31999999999994</v>
      </c>
      <c r="G1717" s="53">
        <v>1764.1261200000001</v>
      </c>
      <c r="H1717" s="78">
        <v>2048.1657455997774</v>
      </c>
      <c r="I1717" s="84">
        <v>1050.82</v>
      </c>
      <c r="J1717" s="53">
        <v>2068.1287466458903</v>
      </c>
      <c r="K1717" s="78">
        <v>1968.1094256351139</v>
      </c>
      <c r="L1717" s="84">
        <v>956.42333333333318</v>
      </c>
      <c r="M1717" s="53">
        <v>1900.0411622152969</v>
      </c>
      <c r="N1717" s="78">
        <v>1986.6110497255022</v>
      </c>
    </row>
    <row r="1718" spans="1:14" ht="19.5" customHeight="1" outlineLevel="1" x14ac:dyDescent="0.2">
      <c r="A1718" s="101">
        <v>4</v>
      </c>
      <c r="B1718" s="81" t="s">
        <v>11</v>
      </c>
      <c r="C1718" s="84">
        <v>680.99</v>
      </c>
      <c r="D1718" s="53">
        <v>2144.737043208358</v>
      </c>
      <c r="E1718" s="78">
        <v>3149.4398496429581</v>
      </c>
      <c r="F1718" s="84">
        <v>680.43999999999994</v>
      </c>
      <c r="G1718" s="53">
        <v>2224.8091469950282</v>
      </c>
      <c r="H1718" s="78">
        <v>3269.6624933793255</v>
      </c>
      <c r="I1718" s="84">
        <v>692.93000000000006</v>
      </c>
      <c r="J1718" s="53">
        <v>2305.7007079416544</v>
      </c>
      <c r="K1718" s="78">
        <v>3327.4655563212077</v>
      </c>
      <c r="L1718" s="84">
        <v>684.78666666666652</v>
      </c>
      <c r="M1718" s="53">
        <v>2225.0822993816801</v>
      </c>
      <c r="N1718" s="78">
        <v>3249.3072772761548</v>
      </c>
    </row>
    <row r="1719" spans="1:14" ht="19.5" customHeight="1" outlineLevel="1" x14ac:dyDescent="0.2">
      <c r="A1719" s="101">
        <v>5</v>
      </c>
      <c r="B1719" s="81" t="s">
        <v>12</v>
      </c>
      <c r="C1719" s="84">
        <v>911.43999999999994</v>
      </c>
      <c r="D1719" s="53">
        <v>2903.128420187848</v>
      </c>
      <c r="E1719" s="78">
        <v>3185.2106778151588</v>
      </c>
      <c r="F1719" s="84">
        <v>908.22</v>
      </c>
      <c r="G1719" s="53">
        <v>2787.1743801924686</v>
      </c>
      <c r="H1719" s="78">
        <v>3068.8317590368724</v>
      </c>
      <c r="I1719" s="84">
        <v>894.6</v>
      </c>
      <c r="J1719" s="53">
        <v>2831.2049878788825</v>
      </c>
      <c r="K1719" s="78">
        <v>3164.771951574874</v>
      </c>
      <c r="L1719" s="84">
        <v>904.75333333333322</v>
      </c>
      <c r="M1719" s="53">
        <v>2840.5025960864</v>
      </c>
      <c r="N1719" s="78">
        <v>3139.5326122991905</v>
      </c>
    </row>
    <row r="1720" spans="1:14" ht="19.5" customHeight="1" outlineLevel="1" x14ac:dyDescent="0.2">
      <c r="A1720" s="101">
        <v>6</v>
      </c>
      <c r="B1720" s="81" t="s">
        <v>13</v>
      </c>
      <c r="C1720" s="84">
        <v>987.73</v>
      </c>
      <c r="D1720" s="53">
        <v>2736.7748999999999</v>
      </c>
      <c r="E1720" s="78">
        <v>2770.7722758243649</v>
      </c>
      <c r="F1720" s="84">
        <v>1004.97</v>
      </c>
      <c r="G1720" s="53">
        <v>2860.1583910618497</v>
      </c>
      <c r="H1720" s="78">
        <v>2846.0137029581479</v>
      </c>
      <c r="I1720" s="84">
        <v>1059.57</v>
      </c>
      <c r="J1720" s="53">
        <v>2952.6327973045945</v>
      </c>
      <c r="K1720" s="78">
        <v>2786.6330655875445</v>
      </c>
      <c r="L1720" s="84">
        <v>1017.4233333333333</v>
      </c>
      <c r="M1720" s="53">
        <v>2849.8553627888145</v>
      </c>
      <c r="N1720" s="78">
        <v>2801.0517052444393</v>
      </c>
    </row>
    <row r="1721" spans="1:14" ht="19.5" customHeight="1" outlineLevel="1" x14ac:dyDescent="0.2">
      <c r="A1721" s="101">
        <v>7</v>
      </c>
      <c r="B1721" s="81" t="s">
        <v>14</v>
      </c>
      <c r="C1721" s="84">
        <v>335.27</v>
      </c>
      <c r="D1721" s="53">
        <v>1206.0736313429563</v>
      </c>
      <c r="E1721" s="78">
        <v>3597.3204621438135</v>
      </c>
      <c r="F1721" s="84">
        <v>315.53999999999996</v>
      </c>
      <c r="G1721" s="53">
        <v>1106.1402786430333</v>
      </c>
      <c r="H1721" s="78">
        <v>3505.5469311118509</v>
      </c>
      <c r="I1721" s="84">
        <v>301.00999999999993</v>
      </c>
      <c r="J1721" s="53">
        <v>1047.4886801105667</v>
      </c>
      <c r="K1721" s="78">
        <v>3479.9132258415566</v>
      </c>
      <c r="L1721" s="84">
        <v>317.27333333333331</v>
      </c>
      <c r="M1721" s="53">
        <v>1119.9008633655187</v>
      </c>
      <c r="N1721" s="78">
        <v>3529.7667522184406</v>
      </c>
    </row>
    <row r="1722" spans="1:14" ht="19.5" customHeight="1" outlineLevel="1" x14ac:dyDescent="0.2">
      <c r="A1722" s="101">
        <v>8</v>
      </c>
      <c r="B1722" s="81" t="s">
        <v>15</v>
      </c>
      <c r="C1722" s="84">
        <v>2071.5100000000002</v>
      </c>
      <c r="D1722" s="53">
        <v>4089.4123962637896</v>
      </c>
      <c r="E1722" s="78">
        <v>1974.1214844551989</v>
      </c>
      <c r="F1722" s="84">
        <v>1925.8900000000003</v>
      </c>
      <c r="G1722" s="53">
        <v>3739.8634888306487</v>
      </c>
      <c r="H1722" s="78">
        <v>1941.888419811437</v>
      </c>
      <c r="I1722" s="84">
        <v>1937.78</v>
      </c>
      <c r="J1722" s="53">
        <v>4156.1969027127607</v>
      </c>
      <c r="K1722" s="78">
        <v>2144.8239236202048</v>
      </c>
      <c r="L1722" s="84">
        <v>1978.3933333333334</v>
      </c>
      <c r="M1722" s="53">
        <v>3995.1575959357328</v>
      </c>
      <c r="N1722" s="78">
        <v>2019.394995233034</v>
      </c>
    </row>
    <row r="1723" spans="1:14" ht="19.5" customHeight="1" outlineLevel="1" x14ac:dyDescent="0.2">
      <c r="A1723" s="101">
        <v>9</v>
      </c>
      <c r="B1723" s="81" t="s">
        <v>16</v>
      </c>
      <c r="C1723" s="84">
        <v>861.65000000000009</v>
      </c>
      <c r="D1723" s="53">
        <v>1978.8605215086959</v>
      </c>
      <c r="E1723" s="78">
        <v>2296.594349804092</v>
      </c>
      <c r="F1723" s="84">
        <v>606.1</v>
      </c>
      <c r="G1723" s="53">
        <v>1351.0674105855724</v>
      </c>
      <c r="H1723" s="78">
        <v>2229.1163349044259</v>
      </c>
      <c r="I1723" s="84">
        <v>1060.83</v>
      </c>
      <c r="J1723" s="53">
        <v>2331.1523903299999</v>
      </c>
      <c r="K1723" s="78">
        <v>2197.4797001687357</v>
      </c>
      <c r="L1723" s="84">
        <v>842.86</v>
      </c>
      <c r="M1723" s="53">
        <v>1887.0267741414227</v>
      </c>
      <c r="N1723" s="78">
        <v>2238.8377359720744</v>
      </c>
    </row>
    <row r="1724" spans="1:14" ht="19.5" customHeight="1" outlineLevel="1" x14ac:dyDescent="0.2">
      <c r="A1724" s="101">
        <v>10</v>
      </c>
      <c r="B1724" s="81" t="s">
        <v>17</v>
      </c>
      <c r="C1724" s="84">
        <v>715.75</v>
      </c>
      <c r="D1724" s="53">
        <v>2043.2407800000001</v>
      </c>
      <c r="E1724" s="78">
        <v>2854.684987775061</v>
      </c>
      <c r="F1724" s="84">
        <v>483.55</v>
      </c>
      <c r="G1724" s="53">
        <v>1314.8229980000003</v>
      </c>
      <c r="H1724" s="78">
        <v>2719.1045352083556</v>
      </c>
      <c r="I1724" s="84">
        <v>895.67000000000007</v>
      </c>
      <c r="J1724" s="53">
        <v>2807.8567533000005</v>
      </c>
      <c r="K1724" s="78">
        <v>3134.9233013274979</v>
      </c>
      <c r="L1724" s="84">
        <v>698.32333333333338</v>
      </c>
      <c r="M1724" s="53">
        <v>2055.306843766667</v>
      </c>
      <c r="N1724" s="78">
        <v>2943.2023042334736</v>
      </c>
    </row>
    <row r="1725" spans="1:14" ht="19.5" customHeight="1" outlineLevel="1" x14ac:dyDescent="0.2">
      <c r="A1725" s="101">
        <v>11</v>
      </c>
      <c r="B1725" s="81" t="s">
        <v>18</v>
      </c>
      <c r="C1725" s="84">
        <v>1646.5</v>
      </c>
      <c r="D1725" s="53">
        <v>4968.9672827599998</v>
      </c>
      <c r="E1725" s="78">
        <v>3017.8969224172488</v>
      </c>
      <c r="F1725" s="84">
        <v>1455.77</v>
      </c>
      <c r="G1725" s="53">
        <v>4761.2041875900004</v>
      </c>
      <c r="H1725" s="78">
        <v>3270.5744640911685</v>
      </c>
      <c r="I1725" s="84">
        <v>2198.38</v>
      </c>
      <c r="J1725" s="53">
        <v>7170.3994673439993</v>
      </c>
      <c r="K1725" s="78">
        <v>3261.674263477651</v>
      </c>
      <c r="L1725" s="84">
        <v>1766.8833333333332</v>
      </c>
      <c r="M1725" s="53">
        <v>5633.5236458979998</v>
      </c>
      <c r="N1725" s="78">
        <v>3188.3959396855103</v>
      </c>
    </row>
    <row r="1726" spans="1:14" ht="19.5" customHeight="1" outlineLevel="1" x14ac:dyDescent="0.2">
      <c r="A1726" s="101">
        <v>12</v>
      </c>
      <c r="B1726" s="81" t="s">
        <v>19</v>
      </c>
      <c r="C1726" s="84">
        <v>1169.51</v>
      </c>
      <c r="D1726" s="53">
        <v>3080.0964119172772</v>
      </c>
      <c r="E1726" s="78">
        <v>2633.6640233236803</v>
      </c>
      <c r="F1726" s="84">
        <v>849.36</v>
      </c>
      <c r="G1726" s="53">
        <v>2396.3105301479432</v>
      </c>
      <c r="H1726" s="78">
        <v>2821.3131418337844</v>
      </c>
      <c r="I1726" s="84">
        <v>1156.01</v>
      </c>
      <c r="J1726" s="53">
        <v>3152.1840460306084</v>
      </c>
      <c r="K1726" s="78">
        <v>2726.7792199294199</v>
      </c>
      <c r="L1726" s="84">
        <v>1058.2933333333333</v>
      </c>
      <c r="M1726" s="53">
        <v>2876.1969960319425</v>
      </c>
      <c r="N1726" s="78">
        <v>2717.7691717784064</v>
      </c>
    </row>
    <row r="1727" spans="1:14" ht="19.5" customHeight="1" outlineLevel="1" x14ac:dyDescent="0.2">
      <c r="A1727" s="101">
        <v>13</v>
      </c>
      <c r="B1727" s="81" t="s">
        <v>20</v>
      </c>
      <c r="C1727" s="84">
        <v>680.20999999999992</v>
      </c>
      <c r="D1727" s="53">
        <v>1299.8251568670789</v>
      </c>
      <c r="E1727" s="78">
        <v>1910.9174473575501</v>
      </c>
      <c r="F1727" s="84">
        <v>240.4</v>
      </c>
      <c r="G1727" s="53">
        <v>516.24258839652316</v>
      </c>
      <c r="H1727" s="78">
        <v>2147.431732098682</v>
      </c>
      <c r="I1727" s="84">
        <v>807.15</v>
      </c>
      <c r="J1727" s="53">
        <v>1814.7272354006436</v>
      </c>
      <c r="K1727" s="78">
        <v>2248.3147313394584</v>
      </c>
      <c r="L1727" s="84">
        <v>575.91999999999996</v>
      </c>
      <c r="M1727" s="53">
        <v>1210.2649935547486</v>
      </c>
      <c r="N1727" s="78">
        <v>2101.44637025064</v>
      </c>
    </row>
    <row r="1728" spans="1:14" ht="19.5" customHeight="1" outlineLevel="1" x14ac:dyDescent="0.2">
      <c r="A1728" s="101">
        <v>14</v>
      </c>
      <c r="B1728" s="81" t="s">
        <v>21</v>
      </c>
      <c r="C1728" s="84">
        <v>745.2</v>
      </c>
      <c r="D1728" s="53">
        <v>1994.5279349999998</v>
      </c>
      <c r="E1728" s="78">
        <v>2676.5001811594198</v>
      </c>
      <c r="F1728" s="84">
        <v>588.79999999999995</v>
      </c>
      <c r="G1728" s="53">
        <v>1446.7513977256945</v>
      </c>
      <c r="H1728" s="78">
        <v>2457.1185423330408</v>
      </c>
      <c r="I1728" s="84">
        <v>742.81999999999994</v>
      </c>
      <c r="J1728" s="53">
        <v>2081.0695418918917</v>
      </c>
      <c r="K1728" s="78">
        <v>2801.5798469237393</v>
      </c>
      <c r="L1728" s="84">
        <v>692.2733333333332</v>
      </c>
      <c r="M1728" s="53">
        <v>1840.7829582058621</v>
      </c>
      <c r="N1728" s="78">
        <v>2659.0406846128153</v>
      </c>
    </row>
    <row r="1729" spans="1:14" ht="19.5" customHeight="1" outlineLevel="1" x14ac:dyDescent="0.2">
      <c r="A1729" s="101">
        <v>15</v>
      </c>
      <c r="B1729" s="81" t="s">
        <v>22</v>
      </c>
      <c r="C1729" s="84">
        <v>1635.28</v>
      </c>
      <c r="D1729" s="53">
        <v>5118.6719598838044</v>
      </c>
      <c r="E1729" s="78">
        <v>3130.1501638152517</v>
      </c>
      <c r="F1729" s="84">
        <v>1753.35</v>
      </c>
      <c r="G1729" s="53">
        <v>5158.9751968961491</v>
      </c>
      <c r="H1729" s="78">
        <v>2942.3533218673679</v>
      </c>
      <c r="I1729" s="84">
        <v>1965.52</v>
      </c>
      <c r="J1729" s="53">
        <v>5981.6480175364213</v>
      </c>
      <c r="K1729" s="78">
        <v>3043.2903341285873</v>
      </c>
      <c r="L1729" s="84">
        <v>1784.7166666666665</v>
      </c>
      <c r="M1729" s="53">
        <v>5419.7650581054577</v>
      </c>
      <c r="N1729" s="78">
        <v>3036.7649719033598</v>
      </c>
    </row>
    <row r="1730" spans="1:14" ht="19.5" customHeight="1" outlineLevel="1" x14ac:dyDescent="0.2">
      <c r="A1730" s="101">
        <v>16</v>
      </c>
      <c r="B1730" s="81" t="s">
        <v>23</v>
      </c>
      <c r="C1730" s="84">
        <v>711.84</v>
      </c>
      <c r="D1730" s="53">
        <v>2419.3279007677788</v>
      </c>
      <c r="E1730" s="78">
        <v>3398.6961968529149</v>
      </c>
      <c r="F1730" s="84">
        <v>731.45</v>
      </c>
      <c r="G1730" s="53">
        <v>2340.7837046515283</v>
      </c>
      <c r="H1730" s="78">
        <v>3200.1964654474377</v>
      </c>
      <c r="I1730" s="84">
        <v>724.33</v>
      </c>
      <c r="J1730" s="53">
        <v>2570.8067906000001</v>
      </c>
      <c r="K1730" s="78">
        <v>3549.2203699971005</v>
      </c>
      <c r="L1730" s="84">
        <v>722.54</v>
      </c>
      <c r="M1730" s="53">
        <v>2443.6394653397692</v>
      </c>
      <c r="N1730" s="78">
        <v>3382.012712569227</v>
      </c>
    </row>
    <row r="1731" spans="1:14" ht="19.5" customHeight="1" outlineLevel="1" x14ac:dyDescent="0.2">
      <c r="A1731" s="101">
        <v>17</v>
      </c>
      <c r="B1731" s="81" t="s">
        <v>24</v>
      </c>
      <c r="C1731" s="84">
        <v>1123.68</v>
      </c>
      <c r="D1731" s="53">
        <v>2706.623716389252</v>
      </c>
      <c r="E1731" s="78">
        <v>2408.7139722957172</v>
      </c>
      <c r="F1731" s="84">
        <v>1147.45</v>
      </c>
      <c r="G1731" s="53">
        <v>2915.2647951867725</v>
      </c>
      <c r="H1731" s="78">
        <v>2540.6464727759576</v>
      </c>
      <c r="I1731" s="84">
        <v>1389.55</v>
      </c>
      <c r="J1731" s="53">
        <v>3438.2471231599998</v>
      </c>
      <c r="K1731" s="78">
        <v>2474.3601332517724</v>
      </c>
      <c r="L1731" s="84">
        <v>1220.2266666666667</v>
      </c>
      <c r="M1731" s="53">
        <v>3020.0452115786743</v>
      </c>
      <c r="N1731" s="78">
        <v>2474.9870610749977</v>
      </c>
    </row>
    <row r="1732" spans="1:14" ht="19.5" customHeight="1" outlineLevel="1" x14ac:dyDescent="0.2">
      <c r="A1732" s="101">
        <v>18</v>
      </c>
      <c r="B1732" s="81" t="s">
        <v>25</v>
      </c>
      <c r="C1732" s="84">
        <v>467.03</v>
      </c>
      <c r="D1732" s="53">
        <v>1110.0091178785515</v>
      </c>
      <c r="E1732" s="78">
        <v>2376.7405046325753</v>
      </c>
      <c r="F1732" s="84">
        <v>334.55</v>
      </c>
      <c r="G1732" s="53">
        <v>953.62866260816259</v>
      </c>
      <c r="H1732" s="78">
        <v>2850.4817295117696</v>
      </c>
      <c r="I1732" s="84">
        <v>569.28000000000009</v>
      </c>
      <c r="J1732" s="53">
        <v>1800.0787796295724</v>
      </c>
      <c r="K1732" s="78">
        <v>3162.0270861958475</v>
      </c>
      <c r="L1732" s="84">
        <v>456.95333333333338</v>
      </c>
      <c r="M1732" s="53">
        <v>1287.9055200387622</v>
      </c>
      <c r="N1732" s="78">
        <v>2818.46181237784</v>
      </c>
    </row>
    <row r="1733" spans="1:14" ht="19.5" customHeight="1" outlineLevel="1" x14ac:dyDescent="0.2">
      <c r="A1733" s="101">
        <v>19</v>
      </c>
      <c r="B1733" s="81" t="s">
        <v>26</v>
      </c>
      <c r="C1733" s="84">
        <v>241.63</v>
      </c>
      <c r="D1733" s="53">
        <v>711.86651103999998</v>
      </c>
      <c r="E1733" s="78">
        <v>2946.1015231552374</v>
      </c>
      <c r="F1733" s="84">
        <v>240.17000000000002</v>
      </c>
      <c r="G1733" s="53">
        <v>834.85582212666168</v>
      </c>
      <c r="H1733" s="78">
        <v>3476.103685417253</v>
      </c>
      <c r="I1733" s="84">
        <v>475.79999999999995</v>
      </c>
      <c r="J1733" s="53">
        <v>1472.090874</v>
      </c>
      <c r="K1733" s="78">
        <v>3093.9278562421191</v>
      </c>
      <c r="L1733" s="84">
        <v>319.2</v>
      </c>
      <c r="M1733" s="53">
        <v>1006.2710690555538</v>
      </c>
      <c r="N1733" s="78">
        <v>3152.4782865148927</v>
      </c>
    </row>
    <row r="1734" spans="1:14" ht="19.5" customHeight="1" outlineLevel="1" x14ac:dyDescent="0.2">
      <c r="A1734" s="101">
        <v>20</v>
      </c>
      <c r="B1734" s="81" t="s">
        <v>27</v>
      </c>
      <c r="C1734" s="84">
        <v>643.12</v>
      </c>
      <c r="D1734" s="53">
        <v>1778.8269588415906</v>
      </c>
      <c r="E1734" s="78">
        <v>2765.9331988456129</v>
      </c>
      <c r="F1734" s="84">
        <v>589.14</v>
      </c>
      <c r="G1734" s="53">
        <v>1558.6053198021195</v>
      </c>
      <c r="H1734" s="78">
        <v>2645.5601721188846</v>
      </c>
      <c r="I1734" s="84">
        <v>427.27</v>
      </c>
      <c r="J1734" s="53">
        <v>1149.0698806119321</v>
      </c>
      <c r="K1734" s="78">
        <v>2689.3296524725165</v>
      </c>
      <c r="L1734" s="84">
        <v>553.17666666666662</v>
      </c>
      <c r="M1734" s="53">
        <v>1495.5007197518808</v>
      </c>
      <c r="N1734" s="78">
        <v>2703.4775865791175</v>
      </c>
    </row>
    <row r="1735" spans="1:14" ht="19.5" customHeight="1" outlineLevel="1" x14ac:dyDescent="0.2">
      <c r="A1735" s="101">
        <v>21</v>
      </c>
      <c r="B1735" s="81" t="s">
        <v>28</v>
      </c>
      <c r="C1735" s="84">
        <v>774.95</v>
      </c>
      <c r="D1735" s="53">
        <v>2331.2090280019675</v>
      </c>
      <c r="E1735" s="78">
        <v>3008.2057268236235</v>
      </c>
      <c r="F1735" s="84">
        <v>761.06999999999994</v>
      </c>
      <c r="G1735" s="53">
        <v>2200.0692737046415</v>
      </c>
      <c r="H1735" s="78">
        <v>2890.7581085900661</v>
      </c>
      <c r="I1735" s="84">
        <v>600.75</v>
      </c>
      <c r="J1735" s="53">
        <v>1775.113316036598</v>
      </c>
      <c r="K1735" s="78">
        <v>2954.8286575723646</v>
      </c>
      <c r="L1735" s="84">
        <v>712.25666666666666</v>
      </c>
      <c r="M1735" s="53">
        <v>2102.1305392477357</v>
      </c>
      <c r="N1735" s="78">
        <v>2951.3666036790146</v>
      </c>
    </row>
    <row r="1736" spans="1:14" ht="19.5" customHeight="1" outlineLevel="1" x14ac:dyDescent="0.2">
      <c r="A1736" s="101">
        <v>22</v>
      </c>
      <c r="B1736" s="81" t="s">
        <v>29</v>
      </c>
      <c r="C1736" s="84">
        <v>387.06</v>
      </c>
      <c r="D1736" s="53">
        <v>865.45147198983273</v>
      </c>
      <c r="E1736" s="78">
        <v>2235.9620523687095</v>
      </c>
      <c r="F1736" s="84">
        <v>458.75</v>
      </c>
      <c r="G1736" s="53">
        <v>1223.9363467008202</v>
      </c>
      <c r="H1736" s="78">
        <v>2667.9811372224963</v>
      </c>
      <c r="I1736" s="84">
        <v>483.46</v>
      </c>
      <c r="J1736" s="53">
        <v>1337.0995147568528</v>
      </c>
      <c r="K1736" s="78">
        <v>2765.687988162108</v>
      </c>
      <c r="L1736" s="84">
        <v>443.09</v>
      </c>
      <c r="M1736" s="53">
        <v>1142.162444482502</v>
      </c>
      <c r="N1736" s="78">
        <v>2577.7211051535855</v>
      </c>
    </row>
    <row r="1737" spans="1:14" ht="19.5" customHeight="1" outlineLevel="1" x14ac:dyDescent="0.2">
      <c r="A1737" s="101">
        <v>23</v>
      </c>
      <c r="B1737" s="81" t="s">
        <v>30</v>
      </c>
      <c r="C1737" s="84">
        <v>501.89</v>
      </c>
      <c r="D1737" s="53">
        <v>1271.7374605444497</v>
      </c>
      <c r="E1737" s="78">
        <v>2533.8967912180951</v>
      </c>
      <c r="F1737" s="84">
        <v>498.65</v>
      </c>
      <c r="G1737" s="53">
        <v>980.57665308319861</v>
      </c>
      <c r="H1737" s="78">
        <v>1966.462755606535</v>
      </c>
      <c r="I1737" s="84">
        <v>526.64</v>
      </c>
      <c r="J1737" s="53">
        <v>1245.5075408788641</v>
      </c>
      <c r="K1737" s="78">
        <v>2365.0074830602766</v>
      </c>
      <c r="L1737" s="84">
        <v>509.05999999999995</v>
      </c>
      <c r="M1737" s="53">
        <v>1165.9405515021708</v>
      </c>
      <c r="N1737" s="78">
        <v>2290.3794277730931</v>
      </c>
    </row>
    <row r="1738" spans="1:14" ht="19.5" customHeight="1" outlineLevel="1" x14ac:dyDescent="0.2">
      <c r="A1738" s="101">
        <v>24</v>
      </c>
      <c r="B1738" s="81" t="s">
        <v>31</v>
      </c>
      <c r="C1738" s="84">
        <v>1365.03</v>
      </c>
      <c r="D1738" s="53">
        <v>3125.8369250000001</v>
      </c>
      <c r="E1738" s="78">
        <v>2289.9400928917316</v>
      </c>
      <c r="F1738" s="84">
        <v>1394.57</v>
      </c>
      <c r="G1738" s="53">
        <v>3054.4338402329809</v>
      </c>
      <c r="H1738" s="78">
        <v>2190.233434128786</v>
      </c>
      <c r="I1738" s="84">
        <v>1419.53</v>
      </c>
      <c r="J1738" s="53">
        <v>3105.6652301916833</v>
      </c>
      <c r="K1738" s="78">
        <v>2187.8123253412632</v>
      </c>
      <c r="L1738" s="84">
        <v>1393.0433333333333</v>
      </c>
      <c r="M1738" s="53">
        <v>3095.3119984748882</v>
      </c>
      <c r="N1738" s="78">
        <v>2221.9782575379718</v>
      </c>
    </row>
    <row r="1739" spans="1:14" ht="19.5" customHeight="1" outlineLevel="1" x14ac:dyDescent="0.2">
      <c r="A1739" s="101">
        <v>25</v>
      </c>
      <c r="B1739" s="81" t="s">
        <v>32</v>
      </c>
      <c r="C1739" s="84">
        <v>319.38</v>
      </c>
      <c r="D1739" s="53">
        <v>885.25468166380176</v>
      </c>
      <c r="E1739" s="78">
        <v>2771.7912256991726</v>
      </c>
      <c r="F1739" s="84">
        <v>294.27</v>
      </c>
      <c r="G1739" s="53">
        <v>774.36844962437249</v>
      </c>
      <c r="H1739" s="78">
        <v>2631.4896171012083</v>
      </c>
      <c r="I1739" s="84">
        <v>363.15000000000003</v>
      </c>
      <c r="J1739" s="53">
        <v>925.02534118224673</v>
      </c>
      <c r="K1739" s="78">
        <v>2547.2266038338057</v>
      </c>
      <c r="L1739" s="84">
        <v>325.59999999999997</v>
      </c>
      <c r="M1739" s="53">
        <v>861.54949082347366</v>
      </c>
      <c r="N1739" s="78">
        <v>2646.0365197281135</v>
      </c>
    </row>
    <row r="1740" spans="1:14" ht="19.5" customHeight="1" outlineLevel="1" x14ac:dyDescent="0.2">
      <c r="A1740" s="101">
        <v>26</v>
      </c>
      <c r="B1740" s="81" t="s">
        <v>33</v>
      </c>
      <c r="C1740" s="84">
        <v>226.11</v>
      </c>
      <c r="D1740" s="53">
        <v>603.75816676876332</v>
      </c>
      <c r="E1740" s="78">
        <v>2670.1966598945792</v>
      </c>
      <c r="F1740" s="84">
        <v>251.93</v>
      </c>
      <c r="G1740" s="53">
        <v>764.00344601307154</v>
      </c>
      <c r="H1740" s="78">
        <v>3032.6020958721533</v>
      </c>
      <c r="I1740" s="84">
        <v>284.26</v>
      </c>
      <c r="J1740" s="53">
        <v>772.97820252605322</v>
      </c>
      <c r="K1740" s="78">
        <v>2719.2647665026848</v>
      </c>
      <c r="L1740" s="84">
        <v>254.1</v>
      </c>
      <c r="M1740" s="53">
        <v>713.57993843596262</v>
      </c>
      <c r="N1740" s="78">
        <v>2808.2642205272045</v>
      </c>
    </row>
    <row r="1741" spans="1:14" ht="19.5" customHeight="1" outlineLevel="1" x14ac:dyDescent="0.2">
      <c r="A1741" s="101">
        <v>27</v>
      </c>
      <c r="B1741" s="81" t="s">
        <v>34</v>
      </c>
      <c r="C1741" s="84">
        <v>55.769999999999996</v>
      </c>
      <c r="D1741" s="53">
        <v>130.90242304236887</v>
      </c>
      <c r="E1741" s="78">
        <v>2347.1834865047317</v>
      </c>
      <c r="F1741" s="84">
        <v>53.52</v>
      </c>
      <c r="G1741" s="53">
        <v>118.60544173626738</v>
      </c>
      <c r="H1741" s="78">
        <v>2216.0956976133666</v>
      </c>
      <c r="I1741" s="84">
        <v>99.27</v>
      </c>
      <c r="J1741" s="53">
        <v>232.50957329769147</v>
      </c>
      <c r="K1741" s="78">
        <v>2342.1937473324415</v>
      </c>
      <c r="L1741" s="84">
        <v>69.52</v>
      </c>
      <c r="M1741" s="53">
        <v>160.67247935877592</v>
      </c>
      <c r="N1741" s="78">
        <v>2311.1691507303785</v>
      </c>
    </row>
    <row r="1742" spans="1:14" ht="19.5" customHeight="1" outlineLevel="1" x14ac:dyDescent="0.2">
      <c r="A1742" s="101">
        <v>28</v>
      </c>
      <c r="B1742" s="81" t="s">
        <v>35</v>
      </c>
      <c r="C1742" s="84">
        <v>548.41999999999996</v>
      </c>
      <c r="D1742" s="53">
        <v>657.31527621567216</v>
      </c>
      <c r="E1742" s="78">
        <v>1198.5618252720035</v>
      </c>
      <c r="F1742" s="84">
        <v>227.61</v>
      </c>
      <c r="G1742" s="53">
        <v>425.01700323468657</v>
      </c>
      <c r="H1742" s="78">
        <v>1867.3037354891549</v>
      </c>
      <c r="I1742" s="84">
        <v>412.13</v>
      </c>
      <c r="J1742" s="53">
        <v>585.93147841843211</v>
      </c>
      <c r="K1742" s="78">
        <v>1421.7151831180261</v>
      </c>
      <c r="L1742" s="84">
        <v>396.05333333333328</v>
      </c>
      <c r="M1742" s="53">
        <v>556.08791928959693</v>
      </c>
      <c r="N1742" s="78">
        <v>1404.0733216644148</v>
      </c>
    </row>
    <row r="1743" spans="1:14" ht="19.5" customHeight="1" outlineLevel="1" x14ac:dyDescent="0.2">
      <c r="A1743" s="101">
        <v>29</v>
      </c>
      <c r="B1743" s="81" t="s">
        <v>36</v>
      </c>
      <c r="C1743" s="84">
        <v>90.97</v>
      </c>
      <c r="D1743" s="53">
        <v>186.25885223204955</v>
      </c>
      <c r="E1743" s="78">
        <v>2047.4755659233763</v>
      </c>
      <c r="F1743" s="84">
        <v>90.100000000000009</v>
      </c>
      <c r="G1743" s="53">
        <v>173.06259309129499</v>
      </c>
      <c r="H1743" s="78">
        <v>1920.78349712869</v>
      </c>
      <c r="I1743" s="84">
        <v>93.41</v>
      </c>
      <c r="J1743" s="53">
        <v>188.41676415033868</v>
      </c>
      <c r="K1743" s="78">
        <v>2017.0941457053709</v>
      </c>
      <c r="L1743" s="84">
        <v>91.493333333333339</v>
      </c>
      <c r="M1743" s="53">
        <v>182.57940315789438</v>
      </c>
      <c r="N1743" s="78">
        <v>1995.5487083710402</v>
      </c>
    </row>
    <row r="1744" spans="1:14" ht="19.5" customHeight="1" outlineLevel="1" x14ac:dyDescent="0.2">
      <c r="A1744" s="101">
        <v>30</v>
      </c>
      <c r="B1744" s="81" t="s">
        <v>37</v>
      </c>
      <c r="C1744" s="84">
        <v>164.99</v>
      </c>
      <c r="D1744" s="53">
        <v>148.25330052915106</v>
      </c>
      <c r="E1744" s="78">
        <v>898.55930983181429</v>
      </c>
      <c r="F1744" s="84">
        <v>155.85999999999999</v>
      </c>
      <c r="G1744" s="53">
        <v>156.27182557893178</v>
      </c>
      <c r="H1744" s="78">
        <v>1002.6422788331309</v>
      </c>
      <c r="I1744" s="84">
        <v>157.22</v>
      </c>
      <c r="J1744" s="53">
        <v>147.58234140629966</v>
      </c>
      <c r="K1744" s="78">
        <v>938.69953826675794</v>
      </c>
      <c r="L1744" s="84">
        <v>159.35666666666668</v>
      </c>
      <c r="M1744" s="53">
        <v>150.70248917146083</v>
      </c>
      <c r="N1744" s="78">
        <v>945.69303138532518</v>
      </c>
    </row>
    <row r="1745" spans="1:14" ht="19.5" customHeight="1" outlineLevel="1" x14ac:dyDescent="0.2">
      <c r="A1745" s="101">
        <v>31</v>
      </c>
      <c r="B1745" s="81" t="s">
        <v>38</v>
      </c>
      <c r="C1745" s="84">
        <v>25.56</v>
      </c>
      <c r="D1745" s="53">
        <v>27.379130179816418</v>
      </c>
      <c r="E1745" s="78">
        <v>1071.1709773011119</v>
      </c>
      <c r="F1745" s="84">
        <v>24.94</v>
      </c>
      <c r="G1745" s="53">
        <v>21.456743403959329</v>
      </c>
      <c r="H1745" s="78">
        <v>860.33453905209808</v>
      </c>
      <c r="I1745" s="84">
        <v>25.18</v>
      </c>
      <c r="J1745" s="53">
        <v>25.510473241390983</v>
      </c>
      <c r="K1745" s="78">
        <v>1013.1244337327635</v>
      </c>
      <c r="L1745" s="84">
        <v>25.22666666666667</v>
      </c>
      <c r="M1745" s="53">
        <v>24.78211560838891</v>
      </c>
      <c r="N1745" s="78">
        <v>982.37773289068082</v>
      </c>
    </row>
    <row r="1746" spans="1:14" ht="19.5" customHeight="1" outlineLevel="1" x14ac:dyDescent="0.2">
      <c r="A1746" s="101">
        <v>32</v>
      </c>
      <c r="B1746" s="81" t="s">
        <v>39</v>
      </c>
      <c r="C1746" s="84">
        <v>82.86</v>
      </c>
      <c r="D1746" s="53">
        <v>57.608948716476988</v>
      </c>
      <c r="E1746" s="78">
        <v>695.25644118364698</v>
      </c>
      <c r="F1746" s="84">
        <v>81.7</v>
      </c>
      <c r="G1746" s="53">
        <v>60.396279411764709</v>
      </c>
      <c r="H1746" s="78">
        <v>739.24454604363166</v>
      </c>
      <c r="I1746" s="84">
        <v>77.59</v>
      </c>
      <c r="J1746" s="53">
        <v>58.12766961470588</v>
      </c>
      <c r="K1746" s="78">
        <v>749.16444921646962</v>
      </c>
      <c r="L1746" s="84">
        <v>80.716666666666669</v>
      </c>
      <c r="M1746" s="53">
        <v>58.710965914315864</v>
      </c>
      <c r="N1746" s="78">
        <v>727.37104168055998</v>
      </c>
    </row>
    <row r="1747" spans="1:14" ht="19.5" customHeight="1" outlineLevel="1" thickBot="1" x14ac:dyDescent="0.25">
      <c r="A1747" s="102">
        <v>33</v>
      </c>
      <c r="B1747" s="91" t="s">
        <v>40</v>
      </c>
      <c r="C1747" s="92">
        <v>108.49000000000001</v>
      </c>
      <c r="D1747" s="93">
        <v>214.27345574715014</v>
      </c>
      <c r="E1747" s="94">
        <v>1975.0525923785615</v>
      </c>
      <c r="F1747" s="92">
        <v>110.33</v>
      </c>
      <c r="G1747" s="93">
        <v>234.71154037658599</v>
      </c>
      <c r="H1747" s="94">
        <v>2127.3591985551166</v>
      </c>
      <c r="I1747" s="92">
        <v>110.94999999999999</v>
      </c>
      <c r="J1747" s="93">
        <v>206.96348468397068</v>
      </c>
      <c r="K1747" s="94">
        <v>1865.3761575842336</v>
      </c>
      <c r="L1747" s="92">
        <v>109.92333333333333</v>
      </c>
      <c r="M1747" s="93">
        <v>218.64949360256892</v>
      </c>
      <c r="N1747" s="94">
        <v>1989.1090178236552</v>
      </c>
    </row>
    <row r="1748" spans="1:14" ht="19.5" customHeight="1" thickBot="1" x14ac:dyDescent="0.25">
      <c r="A1748" s="151" t="s">
        <v>41</v>
      </c>
      <c r="B1748" s="152"/>
      <c r="C1748" s="96">
        <v>22242.190000000006</v>
      </c>
      <c r="D1748" s="97">
        <v>57618.111982742623</v>
      </c>
      <c r="E1748" s="98">
        <v>2590.4873568089565</v>
      </c>
      <c r="F1748" s="96">
        <v>20271.750000000004</v>
      </c>
      <c r="G1748" s="97">
        <v>53699.852616582088</v>
      </c>
      <c r="H1748" s="98">
        <v>2648.9993521320102</v>
      </c>
      <c r="I1748" s="96">
        <v>24174</v>
      </c>
      <c r="J1748" s="97">
        <v>65297.15384891555</v>
      </c>
      <c r="K1748" s="98">
        <v>2701.1315400395279</v>
      </c>
      <c r="L1748" s="96">
        <v>22229.313333333335</v>
      </c>
      <c r="M1748" s="97">
        <v>58871.706149413425</v>
      </c>
      <c r="N1748" s="98">
        <v>2648.3816781301125</v>
      </c>
    </row>
    <row r="1749" spans="1:14" ht="34.5" customHeight="1" x14ac:dyDescent="0.2">
      <c r="A1749" s="153" t="s">
        <v>247</v>
      </c>
      <c r="B1749" s="154"/>
      <c r="C1749" s="154"/>
      <c r="D1749" s="154"/>
      <c r="E1749" s="154"/>
      <c r="F1749" s="154"/>
      <c r="G1749" s="154"/>
      <c r="H1749" s="154"/>
      <c r="I1749" s="154"/>
      <c r="J1749" s="154"/>
      <c r="K1749" s="154"/>
      <c r="L1749" s="154"/>
      <c r="M1749" s="154"/>
      <c r="N1749" s="154"/>
    </row>
    <row r="1750" spans="1:14" ht="19.5" customHeight="1" thickBot="1" x14ac:dyDescent="0.25">
      <c r="A1750" s="50"/>
      <c r="B1750" s="138" t="s">
        <v>88</v>
      </c>
      <c r="C1750" s="52"/>
      <c r="D1750" s="52"/>
      <c r="E1750" s="52"/>
      <c r="F1750" s="52"/>
      <c r="G1750" s="52"/>
      <c r="H1750" s="52"/>
      <c r="I1750" s="52"/>
      <c r="J1750" s="52"/>
      <c r="K1750" s="155" t="s">
        <v>1</v>
      </c>
      <c r="L1750" s="154"/>
      <c r="M1750" s="154"/>
      <c r="N1750" s="154"/>
    </row>
    <row r="1751" spans="1:14" ht="19.5" customHeight="1" x14ac:dyDescent="0.2">
      <c r="A1751" s="156" t="s">
        <v>2</v>
      </c>
      <c r="B1751" s="158" t="s">
        <v>3</v>
      </c>
      <c r="C1751" s="148" t="s">
        <v>243</v>
      </c>
      <c r="D1751" s="149"/>
      <c r="E1751" s="150"/>
      <c r="F1751" s="148" t="s">
        <v>244</v>
      </c>
      <c r="G1751" s="149"/>
      <c r="H1751" s="150"/>
      <c r="I1751" s="148" t="s">
        <v>246</v>
      </c>
      <c r="J1751" s="149"/>
      <c r="K1751" s="150"/>
      <c r="L1751" s="148" t="s">
        <v>4</v>
      </c>
      <c r="M1751" s="149"/>
      <c r="N1751" s="150"/>
    </row>
    <row r="1752" spans="1:14" ht="19.5" customHeight="1" thickBot="1" x14ac:dyDescent="0.25">
      <c r="A1752" s="157"/>
      <c r="B1752" s="159"/>
      <c r="C1752" s="85" t="s">
        <v>5</v>
      </c>
      <c r="D1752" s="79" t="s">
        <v>6</v>
      </c>
      <c r="E1752" s="80" t="s">
        <v>7</v>
      </c>
      <c r="F1752" s="85" t="s">
        <v>5</v>
      </c>
      <c r="G1752" s="79" t="s">
        <v>6</v>
      </c>
      <c r="H1752" s="80" t="s">
        <v>7</v>
      </c>
      <c r="I1752" s="85" t="s">
        <v>5</v>
      </c>
      <c r="J1752" s="79" t="s">
        <v>6</v>
      </c>
      <c r="K1752" s="80" t="s">
        <v>7</v>
      </c>
      <c r="L1752" s="85" t="s">
        <v>5</v>
      </c>
      <c r="M1752" s="79" t="s">
        <v>6</v>
      </c>
      <c r="N1752" s="80" t="s">
        <v>7</v>
      </c>
    </row>
    <row r="1753" spans="1:14" ht="19.5" customHeight="1" outlineLevel="1" x14ac:dyDescent="0.2">
      <c r="A1753" s="100">
        <v>1</v>
      </c>
      <c r="B1753" s="86" t="s">
        <v>8</v>
      </c>
      <c r="C1753" s="87">
        <v>0</v>
      </c>
      <c r="D1753" s="88">
        <v>0</v>
      </c>
      <c r="E1753" s="89">
        <v>0</v>
      </c>
      <c r="F1753" s="87">
        <v>0</v>
      </c>
      <c r="G1753" s="88">
        <v>0</v>
      </c>
      <c r="H1753" s="89">
        <v>0</v>
      </c>
      <c r="I1753" s="87">
        <v>0</v>
      </c>
      <c r="J1753" s="88">
        <v>0</v>
      </c>
      <c r="K1753" s="89">
        <v>0</v>
      </c>
      <c r="L1753" s="87">
        <v>0</v>
      </c>
      <c r="M1753" s="88">
        <v>0</v>
      </c>
      <c r="N1753" s="89">
        <v>0</v>
      </c>
    </row>
    <row r="1754" spans="1:14" ht="19.5" customHeight="1" outlineLevel="1" x14ac:dyDescent="0.2">
      <c r="A1754" s="101">
        <v>2</v>
      </c>
      <c r="B1754" s="81" t="s">
        <v>9</v>
      </c>
      <c r="C1754" s="84">
        <v>0</v>
      </c>
      <c r="D1754" s="53">
        <v>0</v>
      </c>
      <c r="E1754" s="78">
        <v>0</v>
      </c>
      <c r="F1754" s="84">
        <v>0</v>
      </c>
      <c r="G1754" s="53">
        <v>0</v>
      </c>
      <c r="H1754" s="78">
        <v>0</v>
      </c>
      <c r="I1754" s="84">
        <v>0</v>
      </c>
      <c r="J1754" s="53">
        <v>0</v>
      </c>
      <c r="K1754" s="78">
        <v>0</v>
      </c>
      <c r="L1754" s="84">
        <v>0</v>
      </c>
      <c r="M1754" s="53">
        <v>0</v>
      </c>
      <c r="N1754" s="78">
        <v>0</v>
      </c>
    </row>
    <row r="1755" spans="1:14" ht="19.5" customHeight="1" outlineLevel="1" x14ac:dyDescent="0.2">
      <c r="A1755" s="101">
        <v>3</v>
      </c>
      <c r="B1755" s="81" t="s">
        <v>10</v>
      </c>
      <c r="C1755" s="84">
        <v>0</v>
      </c>
      <c r="D1755" s="53">
        <v>0</v>
      </c>
      <c r="E1755" s="78">
        <v>0</v>
      </c>
      <c r="F1755" s="84">
        <v>0</v>
      </c>
      <c r="G1755" s="53">
        <v>0</v>
      </c>
      <c r="H1755" s="78">
        <v>0</v>
      </c>
      <c r="I1755" s="84">
        <v>0</v>
      </c>
      <c r="J1755" s="53">
        <v>0</v>
      </c>
      <c r="K1755" s="78">
        <v>0</v>
      </c>
      <c r="L1755" s="84">
        <v>0</v>
      </c>
      <c r="M1755" s="53">
        <v>0</v>
      </c>
      <c r="N1755" s="78">
        <v>0</v>
      </c>
    </row>
    <row r="1756" spans="1:14" ht="19.5" customHeight="1" outlineLevel="1" x14ac:dyDescent="0.2">
      <c r="A1756" s="101">
        <v>4</v>
      </c>
      <c r="B1756" s="81" t="s">
        <v>11</v>
      </c>
      <c r="C1756" s="84">
        <v>2.42</v>
      </c>
      <c r="D1756" s="53">
        <v>7.0144891353823775</v>
      </c>
      <c r="E1756" s="78">
        <v>2898.5492294968503</v>
      </c>
      <c r="F1756" s="84">
        <v>1.57</v>
      </c>
      <c r="G1756" s="53">
        <v>4.4215434570629419</v>
      </c>
      <c r="H1756" s="78">
        <v>2816.2697178744857</v>
      </c>
      <c r="I1756" s="84">
        <v>2.37</v>
      </c>
      <c r="J1756" s="53">
        <v>6.4899743601694455</v>
      </c>
      <c r="K1756" s="78">
        <v>2738.3858059786689</v>
      </c>
      <c r="L1756" s="84">
        <v>2.12</v>
      </c>
      <c r="M1756" s="53">
        <v>5.975335650871588</v>
      </c>
      <c r="N1756" s="78">
        <v>2818.5545522979187</v>
      </c>
    </row>
    <row r="1757" spans="1:14" ht="19.5" customHeight="1" outlineLevel="1" x14ac:dyDescent="0.2">
      <c r="A1757" s="101">
        <v>5</v>
      </c>
      <c r="B1757" s="81" t="s">
        <v>12</v>
      </c>
      <c r="C1757" s="84">
        <v>0</v>
      </c>
      <c r="D1757" s="53">
        <v>0</v>
      </c>
      <c r="E1757" s="78">
        <v>0</v>
      </c>
      <c r="F1757" s="84">
        <v>0.05</v>
      </c>
      <c r="G1757" s="53">
        <v>0.14081348589372428</v>
      </c>
      <c r="H1757" s="78">
        <v>2816.2697178744857</v>
      </c>
      <c r="I1757" s="84">
        <v>0</v>
      </c>
      <c r="J1757" s="53">
        <v>0</v>
      </c>
      <c r="K1757" s="78">
        <v>0</v>
      </c>
      <c r="L1757" s="84">
        <v>0.05</v>
      </c>
      <c r="M1757" s="53">
        <v>0.14081348589372428</v>
      </c>
      <c r="N1757" s="78">
        <v>2816.2697178744852</v>
      </c>
    </row>
    <row r="1758" spans="1:14" ht="19.5" customHeight="1" outlineLevel="1" x14ac:dyDescent="0.2">
      <c r="A1758" s="101">
        <v>6</v>
      </c>
      <c r="B1758" s="81" t="s">
        <v>13</v>
      </c>
      <c r="C1758" s="84">
        <v>0</v>
      </c>
      <c r="D1758" s="53">
        <v>0</v>
      </c>
      <c r="E1758" s="78">
        <v>0</v>
      </c>
      <c r="F1758" s="84">
        <v>0</v>
      </c>
      <c r="G1758" s="53">
        <v>0</v>
      </c>
      <c r="H1758" s="78">
        <v>0</v>
      </c>
      <c r="I1758" s="84">
        <v>0</v>
      </c>
      <c r="J1758" s="53">
        <v>0</v>
      </c>
      <c r="K1758" s="78">
        <v>0</v>
      </c>
      <c r="L1758" s="84">
        <v>0</v>
      </c>
      <c r="M1758" s="53">
        <v>0</v>
      </c>
      <c r="N1758" s="78">
        <v>0</v>
      </c>
    </row>
    <row r="1759" spans="1:14" ht="19.5" customHeight="1" outlineLevel="1" x14ac:dyDescent="0.2">
      <c r="A1759" s="101">
        <v>7</v>
      </c>
      <c r="B1759" s="81" t="s">
        <v>14</v>
      </c>
      <c r="C1759" s="84">
        <v>0.6</v>
      </c>
      <c r="D1759" s="53">
        <v>1.7391295376981102</v>
      </c>
      <c r="E1759" s="78">
        <v>2898.5492294968503</v>
      </c>
      <c r="F1759" s="84">
        <v>0.42</v>
      </c>
      <c r="G1759" s="53">
        <v>1.182833281507284</v>
      </c>
      <c r="H1759" s="78">
        <v>2816.2697178744857</v>
      </c>
      <c r="I1759" s="84">
        <v>0.84</v>
      </c>
      <c r="J1759" s="53">
        <v>2.3002440770220818</v>
      </c>
      <c r="K1759" s="78">
        <v>2738.3858059786689</v>
      </c>
      <c r="L1759" s="84">
        <v>0.62</v>
      </c>
      <c r="M1759" s="53">
        <v>1.7407356320758254</v>
      </c>
      <c r="N1759" s="78">
        <v>2807.6381162513312</v>
      </c>
    </row>
    <row r="1760" spans="1:14" ht="19.5" customHeight="1" outlineLevel="1" x14ac:dyDescent="0.2">
      <c r="A1760" s="101">
        <v>8</v>
      </c>
      <c r="B1760" s="81" t="s">
        <v>15</v>
      </c>
      <c r="C1760" s="84">
        <v>302.97000000000003</v>
      </c>
      <c r="D1760" s="53">
        <v>932.30798531553978</v>
      </c>
      <c r="E1760" s="78">
        <v>3077.228720056572</v>
      </c>
      <c r="F1760" s="84">
        <v>345.05</v>
      </c>
      <c r="G1760" s="53">
        <v>975.30545767541651</v>
      </c>
      <c r="H1760" s="78">
        <v>2826.5626943208708</v>
      </c>
      <c r="I1760" s="84">
        <v>435.16</v>
      </c>
      <c r="J1760" s="53">
        <v>1273.5406992087776</v>
      </c>
      <c r="K1760" s="78">
        <v>2926.6033165014651</v>
      </c>
      <c r="L1760" s="84">
        <v>361.06</v>
      </c>
      <c r="M1760" s="53">
        <v>1060.3847140665778</v>
      </c>
      <c r="N1760" s="78">
        <v>2936.8656568619558</v>
      </c>
    </row>
    <row r="1761" spans="1:14" ht="19.5" customHeight="1" outlineLevel="1" x14ac:dyDescent="0.2">
      <c r="A1761" s="101">
        <v>9</v>
      </c>
      <c r="B1761" s="81" t="s">
        <v>16</v>
      </c>
      <c r="C1761" s="84">
        <v>2.75</v>
      </c>
      <c r="D1761" s="53">
        <v>7.9710103811163382</v>
      </c>
      <c r="E1761" s="78">
        <v>2898.5492294968503</v>
      </c>
      <c r="F1761" s="84">
        <v>4.3499999999999996</v>
      </c>
      <c r="G1761" s="53">
        <v>12.250773272754012</v>
      </c>
      <c r="H1761" s="78">
        <v>2816.2697178744857</v>
      </c>
      <c r="I1761" s="84">
        <v>14.15</v>
      </c>
      <c r="J1761" s="53">
        <v>38.748159154598163</v>
      </c>
      <c r="K1761" s="78">
        <v>2738.3858059786689</v>
      </c>
      <c r="L1761" s="84">
        <v>7.083333333333333</v>
      </c>
      <c r="M1761" s="53">
        <v>19.65664760282284</v>
      </c>
      <c r="N1761" s="78">
        <v>2775.0561321632244</v>
      </c>
    </row>
    <row r="1762" spans="1:14" ht="19.5" customHeight="1" outlineLevel="1" x14ac:dyDescent="0.2">
      <c r="A1762" s="101">
        <v>10</v>
      </c>
      <c r="B1762" s="81" t="s">
        <v>17</v>
      </c>
      <c r="C1762" s="84">
        <v>0</v>
      </c>
      <c r="D1762" s="53">
        <v>0</v>
      </c>
      <c r="E1762" s="78">
        <v>0</v>
      </c>
      <c r="F1762" s="84">
        <v>0</v>
      </c>
      <c r="G1762" s="53">
        <v>0</v>
      </c>
      <c r="H1762" s="78">
        <v>0</v>
      </c>
      <c r="I1762" s="84">
        <v>0</v>
      </c>
      <c r="J1762" s="53">
        <v>0</v>
      </c>
      <c r="K1762" s="78">
        <v>0</v>
      </c>
      <c r="L1762" s="84">
        <v>0</v>
      </c>
      <c r="M1762" s="53">
        <v>0</v>
      </c>
      <c r="N1762" s="78">
        <v>0</v>
      </c>
    </row>
    <row r="1763" spans="1:14" ht="19.5" customHeight="1" outlineLevel="1" x14ac:dyDescent="0.2">
      <c r="A1763" s="101">
        <v>11</v>
      </c>
      <c r="B1763" s="81" t="s">
        <v>18</v>
      </c>
      <c r="C1763" s="84">
        <v>0</v>
      </c>
      <c r="D1763" s="53">
        <v>0</v>
      </c>
      <c r="E1763" s="78">
        <v>0</v>
      </c>
      <c r="F1763" s="84">
        <v>0</v>
      </c>
      <c r="G1763" s="53">
        <v>0</v>
      </c>
      <c r="H1763" s="78">
        <v>0</v>
      </c>
      <c r="I1763" s="84">
        <v>0</v>
      </c>
      <c r="J1763" s="53">
        <v>0</v>
      </c>
      <c r="K1763" s="78">
        <v>0</v>
      </c>
      <c r="L1763" s="84">
        <v>0</v>
      </c>
      <c r="M1763" s="53">
        <v>0</v>
      </c>
      <c r="N1763" s="78">
        <v>0</v>
      </c>
    </row>
    <row r="1764" spans="1:14" ht="19.5" customHeight="1" outlineLevel="1" x14ac:dyDescent="0.2">
      <c r="A1764" s="101">
        <v>12</v>
      </c>
      <c r="B1764" s="81" t="s">
        <v>19</v>
      </c>
      <c r="C1764" s="84">
        <v>0</v>
      </c>
      <c r="D1764" s="53">
        <v>0</v>
      </c>
      <c r="E1764" s="78">
        <v>0</v>
      </c>
      <c r="F1764" s="84">
        <v>0</v>
      </c>
      <c r="G1764" s="53">
        <v>0</v>
      </c>
      <c r="H1764" s="78">
        <v>0</v>
      </c>
      <c r="I1764" s="84">
        <v>0</v>
      </c>
      <c r="J1764" s="53">
        <v>0</v>
      </c>
      <c r="K1764" s="78">
        <v>0</v>
      </c>
      <c r="L1764" s="84">
        <v>0</v>
      </c>
      <c r="M1764" s="53">
        <v>0</v>
      </c>
      <c r="N1764" s="78">
        <v>0</v>
      </c>
    </row>
    <row r="1765" spans="1:14" ht="19.5" customHeight="1" outlineLevel="1" x14ac:dyDescent="0.2">
      <c r="A1765" s="101">
        <v>13</v>
      </c>
      <c r="B1765" s="81" t="s">
        <v>20</v>
      </c>
      <c r="C1765" s="84">
        <v>0</v>
      </c>
      <c r="D1765" s="53">
        <v>0</v>
      </c>
      <c r="E1765" s="78">
        <v>0</v>
      </c>
      <c r="F1765" s="84">
        <v>0</v>
      </c>
      <c r="G1765" s="53">
        <v>0</v>
      </c>
      <c r="H1765" s="78">
        <v>0</v>
      </c>
      <c r="I1765" s="84">
        <v>0</v>
      </c>
      <c r="J1765" s="53">
        <v>0</v>
      </c>
      <c r="K1765" s="78">
        <v>0</v>
      </c>
      <c r="L1765" s="84">
        <v>0</v>
      </c>
      <c r="M1765" s="53">
        <v>0</v>
      </c>
      <c r="N1765" s="78">
        <v>0</v>
      </c>
    </row>
    <row r="1766" spans="1:14" ht="19.5" customHeight="1" outlineLevel="1" x14ac:dyDescent="0.2">
      <c r="A1766" s="101">
        <v>14</v>
      </c>
      <c r="B1766" s="81" t="s">
        <v>21</v>
      </c>
      <c r="C1766" s="84">
        <v>0</v>
      </c>
      <c r="D1766" s="53">
        <v>0</v>
      </c>
      <c r="E1766" s="78">
        <v>0</v>
      </c>
      <c r="F1766" s="84">
        <v>0</v>
      </c>
      <c r="G1766" s="53">
        <v>0</v>
      </c>
      <c r="H1766" s="78">
        <v>0</v>
      </c>
      <c r="I1766" s="84">
        <v>0</v>
      </c>
      <c r="J1766" s="53">
        <v>0</v>
      </c>
      <c r="K1766" s="78">
        <v>0</v>
      </c>
      <c r="L1766" s="84">
        <v>0</v>
      </c>
      <c r="M1766" s="53">
        <v>0</v>
      </c>
      <c r="N1766" s="78">
        <v>0</v>
      </c>
    </row>
    <row r="1767" spans="1:14" ht="19.5" customHeight="1" outlineLevel="1" x14ac:dyDescent="0.2">
      <c r="A1767" s="101">
        <v>15</v>
      </c>
      <c r="B1767" s="81" t="s">
        <v>22</v>
      </c>
      <c r="C1767" s="84">
        <v>0</v>
      </c>
      <c r="D1767" s="53">
        <v>0</v>
      </c>
      <c r="E1767" s="78">
        <v>0</v>
      </c>
      <c r="F1767" s="84">
        <v>0</v>
      </c>
      <c r="G1767" s="53">
        <v>0</v>
      </c>
      <c r="H1767" s="78">
        <v>0</v>
      </c>
      <c r="I1767" s="84">
        <v>0</v>
      </c>
      <c r="J1767" s="53">
        <v>0</v>
      </c>
      <c r="K1767" s="78">
        <v>0</v>
      </c>
      <c r="L1767" s="84">
        <v>0</v>
      </c>
      <c r="M1767" s="53">
        <v>0</v>
      </c>
      <c r="N1767" s="78">
        <v>0</v>
      </c>
    </row>
    <row r="1768" spans="1:14" ht="19.5" customHeight="1" outlineLevel="1" x14ac:dyDescent="0.2">
      <c r="A1768" s="101">
        <v>16</v>
      </c>
      <c r="B1768" s="81" t="s">
        <v>23</v>
      </c>
      <c r="C1768" s="84">
        <v>0</v>
      </c>
      <c r="D1768" s="53">
        <v>0</v>
      </c>
      <c r="E1768" s="78">
        <v>0</v>
      </c>
      <c r="F1768" s="84">
        <v>0</v>
      </c>
      <c r="G1768" s="53">
        <v>0</v>
      </c>
      <c r="H1768" s="78">
        <v>0</v>
      </c>
      <c r="I1768" s="84">
        <v>0</v>
      </c>
      <c r="J1768" s="53">
        <v>0</v>
      </c>
      <c r="K1768" s="78">
        <v>0</v>
      </c>
      <c r="L1768" s="84">
        <v>0</v>
      </c>
      <c r="M1768" s="53">
        <v>0</v>
      </c>
      <c r="N1768" s="78">
        <v>0</v>
      </c>
    </row>
    <row r="1769" spans="1:14" ht="19.5" customHeight="1" outlineLevel="1" x14ac:dyDescent="0.2">
      <c r="A1769" s="101">
        <v>17</v>
      </c>
      <c r="B1769" s="81" t="s">
        <v>24</v>
      </c>
      <c r="C1769" s="84">
        <v>0</v>
      </c>
      <c r="D1769" s="53">
        <v>0</v>
      </c>
      <c r="E1769" s="78">
        <v>0</v>
      </c>
      <c r="F1769" s="84">
        <v>0</v>
      </c>
      <c r="G1769" s="53">
        <v>0</v>
      </c>
      <c r="H1769" s="78">
        <v>0</v>
      </c>
      <c r="I1769" s="84">
        <v>0</v>
      </c>
      <c r="J1769" s="53">
        <v>0</v>
      </c>
      <c r="K1769" s="78">
        <v>0</v>
      </c>
      <c r="L1769" s="84">
        <v>0</v>
      </c>
      <c r="M1769" s="53">
        <v>0</v>
      </c>
      <c r="N1769" s="78">
        <v>0</v>
      </c>
    </row>
    <row r="1770" spans="1:14" ht="19.5" customHeight="1" outlineLevel="1" x14ac:dyDescent="0.2">
      <c r="A1770" s="101">
        <v>18</v>
      </c>
      <c r="B1770" s="81" t="s">
        <v>25</v>
      </c>
      <c r="C1770" s="84">
        <v>0</v>
      </c>
      <c r="D1770" s="53">
        <v>0</v>
      </c>
      <c r="E1770" s="78">
        <v>0</v>
      </c>
      <c r="F1770" s="84">
        <v>0</v>
      </c>
      <c r="G1770" s="53">
        <v>0</v>
      </c>
      <c r="H1770" s="78">
        <v>0</v>
      </c>
      <c r="I1770" s="84">
        <v>0</v>
      </c>
      <c r="J1770" s="53">
        <v>0</v>
      </c>
      <c r="K1770" s="78">
        <v>0</v>
      </c>
      <c r="L1770" s="84">
        <v>0</v>
      </c>
      <c r="M1770" s="53">
        <v>0</v>
      </c>
      <c r="N1770" s="78">
        <v>0</v>
      </c>
    </row>
    <row r="1771" spans="1:14" ht="19.5" customHeight="1" outlineLevel="1" x14ac:dyDescent="0.2">
      <c r="A1771" s="101">
        <v>19</v>
      </c>
      <c r="B1771" s="81" t="s">
        <v>26</v>
      </c>
      <c r="C1771" s="84">
        <v>0</v>
      </c>
      <c r="D1771" s="53">
        <v>0</v>
      </c>
      <c r="E1771" s="78">
        <v>0</v>
      </c>
      <c r="F1771" s="84">
        <v>0</v>
      </c>
      <c r="G1771" s="53">
        <v>0</v>
      </c>
      <c r="H1771" s="78">
        <v>0</v>
      </c>
      <c r="I1771" s="84">
        <v>0</v>
      </c>
      <c r="J1771" s="53">
        <v>0</v>
      </c>
      <c r="K1771" s="78">
        <v>0</v>
      </c>
      <c r="L1771" s="84">
        <v>0</v>
      </c>
      <c r="M1771" s="53">
        <v>0</v>
      </c>
      <c r="N1771" s="78">
        <v>0</v>
      </c>
    </row>
    <row r="1772" spans="1:14" ht="19.5" customHeight="1" outlineLevel="1" x14ac:dyDescent="0.2">
      <c r="A1772" s="101">
        <v>20</v>
      </c>
      <c r="B1772" s="81" t="s">
        <v>27</v>
      </c>
      <c r="C1772" s="84">
        <v>68.02</v>
      </c>
      <c r="D1772" s="53">
        <v>219.93802803638454</v>
      </c>
      <c r="E1772" s="78">
        <v>3233.4317559009783</v>
      </c>
      <c r="F1772" s="84">
        <v>99</v>
      </c>
      <c r="G1772" s="53">
        <v>322.55202587064673</v>
      </c>
      <c r="H1772" s="78">
        <v>3258.101271420674</v>
      </c>
      <c r="I1772" s="84">
        <v>216.22</v>
      </c>
      <c r="J1772" s="53">
        <v>633.18609517907203</v>
      </c>
      <c r="K1772" s="78">
        <v>2928.4344426004627</v>
      </c>
      <c r="L1772" s="84">
        <v>127.74666666666667</v>
      </c>
      <c r="M1772" s="53">
        <v>391.8920496953678</v>
      </c>
      <c r="N1772" s="78">
        <v>3067.7281836084526</v>
      </c>
    </row>
    <row r="1773" spans="1:14" ht="19.5" customHeight="1" outlineLevel="1" x14ac:dyDescent="0.2">
      <c r="A1773" s="101">
        <v>21</v>
      </c>
      <c r="B1773" s="81" t="s">
        <v>28</v>
      </c>
      <c r="C1773" s="84">
        <v>127.85</v>
      </c>
      <c r="D1773" s="53">
        <v>392.29861787671229</v>
      </c>
      <c r="E1773" s="78">
        <v>3068.4287671232873</v>
      </c>
      <c r="F1773" s="84">
        <v>142.41999999999999</v>
      </c>
      <c r="G1773" s="53">
        <v>401.08957227338539</v>
      </c>
      <c r="H1773" s="78">
        <v>2816.2447147408047</v>
      </c>
      <c r="I1773" s="84">
        <v>179.01</v>
      </c>
      <c r="J1773" s="53">
        <v>451.16250191014387</v>
      </c>
      <c r="K1773" s="78">
        <v>2520.3201045201045</v>
      </c>
      <c r="L1773" s="84">
        <v>149.76</v>
      </c>
      <c r="M1773" s="53">
        <v>414.85023068674718</v>
      </c>
      <c r="N1773" s="78">
        <v>2770.1003651625747</v>
      </c>
    </row>
    <row r="1774" spans="1:14" ht="19.5" customHeight="1" outlineLevel="1" x14ac:dyDescent="0.2">
      <c r="A1774" s="101">
        <v>22</v>
      </c>
      <c r="B1774" s="81" t="s">
        <v>29</v>
      </c>
      <c r="C1774" s="84">
        <v>2.9</v>
      </c>
      <c r="D1774" s="53">
        <v>5.1840013333333328</v>
      </c>
      <c r="E1774" s="78">
        <v>1787.5866666666666</v>
      </c>
      <c r="F1774" s="84">
        <v>31.34</v>
      </c>
      <c r="G1774" s="53">
        <v>88.26189295818638</v>
      </c>
      <c r="H1774" s="78">
        <v>2816.2697178744857</v>
      </c>
      <c r="I1774" s="84">
        <v>29.12</v>
      </c>
      <c r="J1774" s="53">
        <v>58.235534933333334</v>
      </c>
      <c r="K1774" s="78">
        <v>1999.8466666666666</v>
      </c>
      <c r="L1774" s="84">
        <v>21.12</v>
      </c>
      <c r="M1774" s="53">
        <v>50.560476408284352</v>
      </c>
      <c r="N1774" s="78">
        <v>2393.9619511498272</v>
      </c>
    </row>
    <row r="1775" spans="1:14" ht="19.5" customHeight="1" outlineLevel="1" x14ac:dyDescent="0.2">
      <c r="A1775" s="101">
        <v>23</v>
      </c>
      <c r="B1775" s="81" t="s">
        <v>30</v>
      </c>
      <c r="C1775" s="84">
        <v>1.19</v>
      </c>
      <c r="D1775" s="53">
        <v>3.449273583101252</v>
      </c>
      <c r="E1775" s="78">
        <v>2898.5492294968503</v>
      </c>
      <c r="F1775" s="84">
        <v>1.77</v>
      </c>
      <c r="G1775" s="53">
        <v>4.9847974006378397</v>
      </c>
      <c r="H1775" s="78">
        <v>2816.2697178744857</v>
      </c>
      <c r="I1775" s="84">
        <v>1.83</v>
      </c>
      <c r="J1775" s="53">
        <v>5.0112460249409638</v>
      </c>
      <c r="K1775" s="78">
        <v>2738.3858059786689</v>
      </c>
      <c r="L1775" s="84">
        <v>1.5966666666666667</v>
      </c>
      <c r="M1775" s="53">
        <v>4.4817723362266859</v>
      </c>
      <c r="N1775" s="78">
        <v>2806.9555341712021</v>
      </c>
    </row>
    <row r="1776" spans="1:14" ht="19.5" customHeight="1" outlineLevel="1" x14ac:dyDescent="0.2">
      <c r="A1776" s="101">
        <v>24</v>
      </c>
      <c r="B1776" s="81" t="s">
        <v>31</v>
      </c>
      <c r="C1776" s="84">
        <v>0</v>
      </c>
      <c r="D1776" s="53">
        <v>0</v>
      </c>
      <c r="E1776" s="78">
        <v>0</v>
      </c>
      <c r="F1776" s="84">
        <v>0</v>
      </c>
      <c r="G1776" s="53">
        <v>0</v>
      </c>
      <c r="H1776" s="78">
        <v>0</v>
      </c>
      <c r="I1776" s="84">
        <v>0</v>
      </c>
      <c r="J1776" s="53">
        <v>0</v>
      </c>
      <c r="K1776" s="78">
        <v>0</v>
      </c>
      <c r="L1776" s="84">
        <v>0</v>
      </c>
      <c r="M1776" s="53">
        <v>0</v>
      </c>
      <c r="N1776" s="78">
        <v>0</v>
      </c>
    </row>
    <row r="1777" spans="1:14" ht="19.5" customHeight="1" outlineLevel="1" x14ac:dyDescent="0.2">
      <c r="A1777" s="101">
        <v>25</v>
      </c>
      <c r="B1777" s="81" t="s">
        <v>32</v>
      </c>
      <c r="C1777" s="84">
        <v>37.32</v>
      </c>
      <c r="D1777" s="53">
        <v>83.09830189979489</v>
      </c>
      <c r="E1777" s="78">
        <v>2226.6426018165835</v>
      </c>
      <c r="F1777" s="84">
        <v>49.88</v>
      </c>
      <c r="G1777" s="53">
        <v>107.49474823704976</v>
      </c>
      <c r="H1777" s="78">
        <v>2155.0671258430184</v>
      </c>
      <c r="I1777" s="84">
        <v>50.8</v>
      </c>
      <c r="J1777" s="53">
        <v>106.08756868956227</v>
      </c>
      <c r="K1777" s="78">
        <v>2088.3379663299661</v>
      </c>
      <c r="L1777" s="84">
        <v>46</v>
      </c>
      <c r="M1777" s="53">
        <v>98.893539608802314</v>
      </c>
      <c r="N1777" s="78">
        <v>2149.8595567130938</v>
      </c>
    </row>
    <row r="1778" spans="1:14" ht="19.5" customHeight="1" outlineLevel="1" x14ac:dyDescent="0.2">
      <c r="A1778" s="101">
        <v>26</v>
      </c>
      <c r="B1778" s="81" t="s">
        <v>33</v>
      </c>
      <c r="C1778" s="84">
        <v>0.16</v>
      </c>
      <c r="D1778" s="53">
        <v>0.4637678767194961</v>
      </c>
      <c r="E1778" s="78">
        <v>2898.5492294968503</v>
      </c>
      <c r="F1778" s="84">
        <v>0</v>
      </c>
      <c r="G1778" s="53">
        <v>0</v>
      </c>
      <c r="H1778" s="78">
        <v>0</v>
      </c>
      <c r="I1778" s="84">
        <v>0</v>
      </c>
      <c r="J1778" s="53">
        <v>0</v>
      </c>
      <c r="K1778" s="78">
        <v>0</v>
      </c>
      <c r="L1778" s="84">
        <v>0.16</v>
      </c>
      <c r="M1778" s="53">
        <v>0.4637678767194961</v>
      </c>
      <c r="N1778" s="78">
        <v>2898.5492294968503</v>
      </c>
    </row>
    <row r="1779" spans="1:14" ht="19.5" customHeight="1" outlineLevel="1" x14ac:dyDescent="0.2">
      <c r="A1779" s="101">
        <v>27</v>
      </c>
      <c r="B1779" s="81" t="s">
        <v>34</v>
      </c>
      <c r="C1779" s="84">
        <v>0</v>
      </c>
      <c r="D1779" s="53">
        <v>0</v>
      </c>
      <c r="E1779" s="78">
        <v>0</v>
      </c>
      <c r="F1779" s="84">
        <v>0</v>
      </c>
      <c r="G1779" s="53">
        <v>0</v>
      </c>
      <c r="H1779" s="78">
        <v>0</v>
      </c>
      <c r="I1779" s="84">
        <v>0</v>
      </c>
      <c r="J1779" s="53">
        <v>0</v>
      </c>
      <c r="K1779" s="78">
        <v>0</v>
      </c>
      <c r="L1779" s="84">
        <v>0</v>
      </c>
      <c r="M1779" s="53">
        <v>0</v>
      </c>
      <c r="N1779" s="78">
        <v>0</v>
      </c>
    </row>
    <row r="1780" spans="1:14" ht="19.5" customHeight="1" outlineLevel="1" x14ac:dyDescent="0.2">
      <c r="A1780" s="101">
        <v>28</v>
      </c>
      <c r="B1780" s="81" t="s">
        <v>35</v>
      </c>
      <c r="C1780" s="84">
        <v>36.85</v>
      </c>
      <c r="D1780" s="53">
        <v>91.157659999999993</v>
      </c>
      <c r="E1780" s="78">
        <v>2473.7492537313428</v>
      </c>
      <c r="F1780" s="84">
        <v>56.1</v>
      </c>
      <c r="G1780" s="53">
        <v>176.07938666666666</v>
      </c>
      <c r="H1780" s="78">
        <v>3138.6699940582293</v>
      </c>
      <c r="I1780" s="84">
        <v>89</v>
      </c>
      <c r="J1780" s="53">
        <v>264.73153333333329</v>
      </c>
      <c r="K1780" s="78">
        <v>2974.5116104868907</v>
      </c>
      <c r="L1780" s="84">
        <v>60.65</v>
      </c>
      <c r="M1780" s="53">
        <v>177.32285999999999</v>
      </c>
      <c r="N1780" s="78">
        <v>2923.7075020610055</v>
      </c>
    </row>
    <row r="1781" spans="1:14" ht="19.5" customHeight="1" outlineLevel="1" x14ac:dyDescent="0.2">
      <c r="A1781" s="101">
        <v>29</v>
      </c>
      <c r="B1781" s="81" t="s">
        <v>36</v>
      </c>
      <c r="C1781" s="84">
        <v>135.53</v>
      </c>
      <c r="D1781" s="53">
        <v>351.4460107153796</v>
      </c>
      <c r="E1781" s="78">
        <v>2593.1233727984918</v>
      </c>
      <c r="F1781" s="84">
        <v>145.66999999999999</v>
      </c>
      <c r="G1781" s="53">
        <v>374.45065403710424</v>
      </c>
      <c r="H1781" s="78">
        <v>2570.5406331921758</v>
      </c>
      <c r="I1781" s="84">
        <v>188.64</v>
      </c>
      <c r="J1781" s="53">
        <v>445.32759928204518</v>
      </c>
      <c r="K1781" s="78">
        <v>2360.7273074747945</v>
      </c>
      <c r="L1781" s="84">
        <v>156.61333333333332</v>
      </c>
      <c r="M1781" s="53">
        <v>390.40808801150962</v>
      </c>
      <c r="N1781" s="78">
        <v>2492.8151371414292</v>
      </c>
    </row>
    <row r="1782" spans="1:14" ht="19.5" customHeight="1" outlineLevel="1" x14ac:dyDescent="0.2">
      <c r="A1782" s="101">
        <v>30</v>
      </c>
      <c r="B1782" s="81" t="s">
        <v>37</v>
      </c>
      <c r="C1782" s="84">
        <v>0.15</v>
      </c>
      <c r="D1782" s="53">
        <v>0.43478238442452755</v>
      </c>
      <c r="E1782" s="78">
        <v>2898.5492294968503</v>
      </c>
      <c r="F1782" s="84">
        <v>0.24</v>
      </c>
      <c r="G1782" s="53">
        <v>0.67590473228987646</v>
      </c>
      <c r="H1782" s="78">
        <v>2816.2697178744857</v>
      </c>
      <c r="I1782" s="84">
        <v>0.97</v>
      </c>
      <c r="J1782" s="53">
        <v>2.6562342317993091</v>
      </c>
      <c r="K1782" s="78">
        <v>2738.3858059786689</v>
      </c>
      <c r="L1782" s="84">
        <v>0.45333333333333331</v>
      </c>
      <c r="M1782" s="53">
        <v>1.255640449504571</v>
      </c>
      <c r="N1782" s="78">
        <v>2769.7951092012599</v>
      </c>
    </row>
    <row r="1783" spans="1:14" ht="19.5" customHeight="1" outlineLevel="1" x14ac:dyDescent="0.2">
      <c r="A1783" s="101">
        <v>31</v>
      </c>
      <c r="B1783" s="81" t="s">
        <v>38</v>
      </c>
      <c r="C1783" s="84">
        <v>51.45</v>
      </c>
      <c r="D1783" s="53">
        <v>144.26423822298796</v>
      </c>
      <c r="E1783" s="78">
        <v>2803.9696447616702</v>
      </c>
      <c r="F1783" s="84">
        <v>53.38</v>
      </c>
      <c r="G1783" s="53">
        <v>153.73260872483223</v>
      </c>
      <c r="H1783" s="78">
        <v>2879.9664429530203</v>
      </c>
      <c r="I1783" s="84">
        <v>52.72</v>
      </c>
      <c r="J1783" s="53">
        <v>156.63804308585247</v>
      </c>
      <c r="K1783" s="78">
        <v>2971.1313180169282</v>
      </c>
      <c r="L1783" s="84">
        <v>52.516666666666673</v>
      </c>
      <c r="M1783" s="53">
        <v>151.54496334455754</v>
      </c>
      <c r="N1783" s="78">
        <v>2885.6546495314028</v>
      </c>
    </row>
    <row r="1784" spans="1:14" ht="19.5" customHeight="1" outlineLevel="1" x14ac:dyDescent="0.2">
      <c r="A1784" s="101">
        <v>32</v>
      </c>
      <c r="B1784" s="81" t="s">
        <v>39</v>
      </c>
      <c r="C1784" s="84">
        <v>8.41</v>
      </c>
      <c r="D1784" s="53">
        <v>24.376799020068514</v>
      </c>
      <c r="E1784" s="78">
        <v>2898.5492294968503</v>
      </c>
      <c r="F1784" s="84">
        <v>8.25</v>
      </c>
      <c r="G1784" s="53">
        <v>23.234225172464505</v>
      </c>
      <c r="H1784" s="78">
        <v>2816.2697178744857</v>
      </c>
      <c r="I1784" s="84">
        <v>8.2200000000000006</v>
      </c>
      <c r="J1784" s="53">
        <v>22.50953132514466</v>
      </c>
      <c r="K1784" s="78">
        <v>2738.3858059786689</v>
      </c>
      <c r="L1784" s="84">
        <v>8.2933333333333348</v>
      </c>
      <c r="M1784" s="53">
        <v>23.373518505892562</v>
      </c>
      <c r="N1784" s="78">
        <v>2818.3503021574629</v>
      </c>
    </row>
    <row r="1785" spans="1:14" ht="19.5" customHeight="1" outlineLevel="1" thickBot="1" x14ac:dyDescent="0.25">
      <c r="A1785" s="102">
        <v>33</v>
      </c>
      <c r="B1785" s="91" t="s">
        <v>40</v>
      </c>
      <c r="C1785" s="92">
        <v>14.87</v>
      </c>
      <c r="D1785" s="93">
        <v>34.680805333333332</v>
      </c>
      <c r="E1785" s="94">
        <v>2332.2666666666664</v>
      </c>
      <c r="F1785" s="92">
        <v>14.92</v>
      </c>
      <c r="G1785" s="93">
        <v>42.018744190687329</v>
      </c>
      <c r="H1785" s="94">
        <v>2816.2697178744857</v>
      </c>
      <c r="I1785" s="92">
        <v>13.03</v>
      </c>
      <c r="J1785" s="93">
        <v>44.204709333333327</v>
      </c>
      <c r="K1785" s="94">
        <v>3392.5333333333328</v>
      </c>
      <c r="L1785" s="92">
        <v>14.273333333333333</v>
      </c>
      <c r="M1785" s="93">
        <v>40.301419619117993</v>
      </c>
      <c r="N1785" s="94">
        <v>2823.5464469255953</v>
      </c>
    </row>
    <row r="1786" spans="1:14" ht="19.5" customHeight="1" thickBot="1" x14ac:dyDescent="0.25">
      <c r="A1786" s="151" t="s">
        <v>41</v>
      </c>
      <c r="B1786" s="152"/>
      <c r="C1786" s="96">
        <v>793.43999999999994</v>
      </c>
      <c r="D1786" s="97">
        <v>2299.8249006519768</v>
      </c>
      <c r="E1786" s="98">
        <v>2898.5492294968453</v>
      </c>
      <c r="F1786" s="96">
        <v>954.41</v>
      </c>
      <c r="G1786" s="97">
        <v>2687.8759814365853</v>
      </c>
      <c r="H1786" s="98">
        <v>2816.2697178744834</v>
      </c>
      <c r="I1786" s="96">
        <v>1282.08</v>
      </c>
      <c r="J1786" s="97">
        <v>3510.8296741291288</v>
      </c>
      <c r="K1786" s="98">
        <v>2738.3858059786667</v>
      </c>
      <c r="L1786" s="96">
        <v>1009.9766666666666</v>
      </c>
      <c r="M1786" s="97">
        <v>2832.8435187392301</v>
      </c>
      <c r="N1786" s="98">
        <v>2804.8603618623833</v>
      </c>
    </row>
    <row r="1787" spans="1:14" ht="34.5" customHeight="1" x14ac:dyDescent="0.2">
      <c r="A1787" s="153" t="s">
        <v>247</v>
      </c>
      <c r="B1787" s="154"/>
      <c r="C1787" s="154"/>
      <c r="D1787" s="154"/>
      <c r="E1787" s="154"/>
      <c r="F1787" s="154"/>
      <c r="G1787" s="154"/>
      <c r="H1787" s="154"/>
      <c r="I1787" s="154"/>
      <c r="J1787" s="154"/>
      <c r="K1787" s="154"/>
      <c r="L1787" s="154"/>
      <c r="M1787" s="154"/>
      <c r="N1787" s="154"/>
    </row>
    <row r="1788" spans="1:14" ht="19.5" customHeight="1" thickBot="1" x14ac:dyDescent="0.25">
      <c r="A1788" s="50"/>
      <c r="B1788" s="139" t="s">
        <v>89</v>
      </c>
      <c r="C1788" s="52"/>
      <c r="D1788" s="52"/>
      <c r="E1788" s="52"/>
      <c r="F1788" s="52"/>
      <c r="G1788" s="52"/>
      <c r="H1788" s="52"/>
      <c r="I1788" s="52"/>
      <c r="J1788" s="52"/>
      <c r="K1788" s="155" t="s">
        <v>1</v>
      </c>
      <c r="L1788" s="154"/>
      <c r="M1788" s="154"/>
      <c r="N1788" s="154"/>
    </row>
    <row r="1789" spans="1:14" ht="19.5" customHeight="1" x14ac:dyDescent="0.2">
      <c r="A1789" s="156" t="s">
        <v>2</v>
      </c>
      <c r="B1789" s="158" t="s">
        <v>3</v>
      </c>
      <c r="C1789" s="148" t="s">
        <v>243</v>
      </c>
      <c r="D1789" s="149"/>
      <c r="E1789" s="150"/>
      <c r="F1789" s="148" t="s">
        <v>244</v>
      </c>
      <c r="G1789" s="149"/>
      <c r="H1789" s="150"/>
      <c r="I1789" s="148" t="s">
        <v>246</v>
      </c>
      <c r="J1789" s="149"/>
      <c r="K1789" s="150"/>
      <c r="L1789" s="148" t="s">
        <v>4</v>
      </c>
      <c r="M1789" s="149"/>
      <c r="N1789" s="150"/>
    </row>
    <row r="1790" spans="1:14" ht="19.5" customHeight="1" thickBot="1" x14ac:dyDescent="0.25">
      <c r="A1790" s="157"/>
      <c r="B1790" s="159"/>
      <c r="C1790" s="85" t="s">
        <v>5</v>
      </c>
      <c r="D1790" s="79" t="s">
        <v>6</v>
      </c>
      <c r="E1790" s="80" t="s">
        <v>7</v>
      </c>
      <c r="F1790" s="85" t="s">
        <v>5</v>
      </c>
      <c r="G1790" s="79" t="s">
        <v>6</v>
      </c>
      <c r="H1790" s="80" t="s">
        <v>7</v>
      </c>
      <c r="I1790" s="85" t="s">
        <v>5</v>
      </c>
      <c r="J1790" s="79" t="s">
        <v>6</v>
      </c>
      <c r="K1790" s="80" t="s">
        <v>7</v>
      </c>
      <c r="L1790" s="85" t="s">
        <v>5</v>
      </c>
      <c r="M1790" s="79" t="s">
        <v>6</v>
      </c>
      <c r="N1790" s="80" t="s">
        <v>7</v>
      </c>
    </row>
    <row r="1791" spans="1:14" ht="19.5" customHeight="1" outlineLevel="1" x14ac:dyDescent="0.2">
      <c r="A1791" s="100">
        <v>1</v>
      </c>
      <c r="B1791" s="86" t="s">
        <v>8</v>
      </c>
      <c r="C1791" s="87">
        <v>0</v>
      </c>
      <c r="D1791" s="88">
        <v>0</v>
      </c>
      <c r="E1791" s="89">
        <v>0</v>
      </c>
      <c r="F1791" s="87">
        <v>0</v>
      </c>
      <c r="G1791" s="88">
        <v>0</v>
      </c>
      <c r="H1791" s="89">
        <v>0</v>
      </c>
      <c r="I1791" s="87">
        <v>1.4</v>
      </c>
      <c r="J1791" s="88">
        <v>3.2749999999999995</v>
      </c>
      <c r="K1791" s="89">
        <v>2339.2857142857142</v>
      </c>
      <c r="L1791" s="87">
        <v>1.4</v>
      </c>
      <c r="M1791" s="88">
        <v>3.2749999999999995</v>
      </c>
      <c r="N1791" s="89">
        <v>2339.2857142857142</v>
      </c>
    </row>
    <row r="1792" spans="1:14" ht="19.5" customHeight="1" outlineLevel="1" x14ac:dyDescent="0.2">
      <c r="A1792" s="101">
        <v>2</v>
      </c>
      <c r="B1792" s="81" t="s">
        <v>9</v>
      </c>
      <c r="C1792" s="84">
        <v>3.24</v>
      </c>
      <c r="D1792" s="53">
        <v>7.2576000000000001</v>
      </c>
      <c r="E1792" s="78">
        <v>2240</v>
      </c>
      <c r="F1792" s="84">
        <v>6.15</v>
      </c>
      <c r="G1792" s="53">
        <v>12.613650000000002</v>
      </c>
      <c r="H1792" s="78">
        <v>2051</v>
      </c>
      <c r="I1792" s="84">
        <v>18.420000000000002</v>
      </c>
      <c r="J1792" s="53">
        <v>37.779420000000009</v>
      </c>
      <c r="K1792" s="78">
        <v>2051</v>
      </c>
      <c r="L1792" s="84">
        <v>9.2700000000000014</v>
      </c>
      <c r="M1792" s="53">
        <v>19.216890000000003</v>
      </c>
      <c r="N1792" s="78">
        <v>2073.019417475728</v>
      </c>
    </row>
    <row r="1793" spans="1:14" ht="19.5" customHeight="1" outlineLevel="1" x14ac:dyDescent="0.2">
      <c r="A1793" s="101">
        <v>3</v>
      </c>
      <c r="B1793" s="81" t="s">
        <v>10</v>
      </c>
      <c r="C1793" s="84">
        <v>0</v>
      </c>
      <c r="D1793" s="53">
        <v>0</v>
      </c>
      <c r="E1793" s="78">
        <v>0</v>
      </c>
      <c r="F1793" s="84">
        <v>0</v>
      </c>
      <c r="G1793" s="53">
        <v>0</v>
      </c>
      <c r="H1793" s="78">
        <v>0</v>
      </c>
      <c r="I1793" s="84">
        <v>0</v>
      </c>
      <c r="J1793" s="53">
        <v>0</v>
      </c>
      <c r="K1793" s="78">
        <v>0</v>
      </c>
      <c r="L1793" s="84">
        <v>0</v>
      </c>
      <c r="M1793" s="53">
        <v>0</v>
      </c>
      <c r="N1793" s="78">
        <v>0</v>
      </c>
    </row>
    <row r="1794" spans="1:14" ht="19.5" customHeight="1" outlineLevel="1" x14ac:dyDescent="0.2">
      <c r="A1794" s="101">
        <v>4</v>
      </c>
      <c r="B1794" s="81" t="s">
        <v>11</v>
      </c>
      <c r="C1794" s="84">
        <v>0</v>
      </c>
      <c r="D1794" s="53">
        <v>0</v>
      </c>
      <c r="E1794" s="78">
        <v>0</v>
      </c>
      <c r="F1794" s="84">
        <v>0</v>
      </c>
      <c r="G1794" s="53">
        <v>0</v>
      </c>
      <c r="H1794" s="78">
        <v>0</v>
      </c>
      <c r="I1794" s="84">
        <v>1.1399999999999999</v>
      </c>
      <c r="J1794" s="53">
        <v>2.4859999999999998</v>
      </c>
      <c r="K1794" s="78">
        <v>2180.7017543859647</v>
      </c>
      <c r="L1794" s="84">
        <v>1.1399999999999999</v>
      </c>
      <c r="M1794" s="53">
        <v>2.4859999999999998</v>
      </c>
      <c r="N1794" s="78">
        <v>2180.7017543859647</v>
      </c>
    </row>
    <row r="1795" spans="1:14" ht="19.5" customHeight="1" outlineLevel="1" x14ac:dyDescent="0.2">
      <c r="A1795" s="101">
        <v>5</v>
      </c>
      <c r="B1795" s="81" t="s">
        <v>12</v>
      </c>
      <c r="C1795" s="84">
        <v>10.56</v>
      </c>
      <c r="D1795" s="53">
        <v>42.24</v>
      </c>
      <c r="E1795" s="78">
        <v>4000</v>
      </c>
      <c r="F1795" s="84">
        <v>19.32</v>
      </c>
      <c r="G1795" s="53">
        <v>46.368000000000002</v>
      </c>
      <c r="H1795" s="78">
        <v>2400</v>
      </c>
      <c r="I1795" s="84">
        <v>18.5</v>
      </c>
      <c r="J1795" s="53">
        <v>41.625</v>
      </c>
      <c r="K1795" s="78">
        <v>2250</v>
      </c>
      <c r="L1795" s="84">
        <v>16.126666666666669</v>
      </c>
      <c r="M1795" s="53">
        <v>43.411000000000001</v>
      </c>
      <c r="N1795" s="78">
        <v>2691.8768085985939</v>
      </c>
    </row>
    <row r="1796" spans="1:14" ht="19.5" customHeight="1" outlineLevel="1" x14ac:dyDescent="0.2">
      <c r="A1796" s="101">
        <v>6</v>
      </c>
      <c r="B1796" s="81" t="s">
        <v>13</v>
      </c>
      <c r="C1796" s="84">
        <v>5.18</v>
      </c>
      <c r="D1796" s="53">
        <v>14.244999999999999</v>
      </c>
      <c r="E1796" s="78">
        <v>2750</v>
      </c>
      <c r="F1796" s="84">
        <v>4.51</v>
      </c>
      <c r="G1796" s="53">
        <v>12.39348</v>
      </c>
      <c r="H1796" s="78">
        <v>2748</v>
      </c>
      <c r="I1796" s="84">
        <v>1.79</v>
      </c>
      <c r="J1796" s="53">
        <v>4.8829768000000007</v>
      </c>
      <c r="K1796" s="78">
        <v>2727.92</v>
      </c>
      <c r="L1796" s="84">
        <v>3.8266666666666667</v>
      </c>
      <c r="M1796" s="53">
        <v>10.507152266666667</v>
      </c>
      <c r="N1796" s="78">
        <v>2745.77149825784</v>
      </c>
    </row>
    <row r="1797" spans="1:14" ht="19.5" customHeight="1" outlineLevel="1" x14ac:dyDescent="0.2">
      <c r="A1797" s="101">
        <v>7</v>
      </c>
      <c r="B1797" s="81" t="s">
        <v>14</v>
      </c>
      <c r="C1797" s="84">
        <v>0</v>
      </c>
      <c r="D1797" s="53">
        <v>0</v>
      </c>
      <c r="E1797" s="78">
        <v>0</v>
      </c>
      <c r="F1797" s="84">
        <v>0</v>
      </c>
      <c r="G1797" s="53">
        <v>0</v>
      </c>
      <c r="H1797" s="78">
        <v>0</v>
      </c>
      <c r="I1797" s="84">
        <v>0</v>
      </c>
      <c r="J1797" s="53">
        <v>0</v>
      </c>
      <c r="K1797" s="78">
        <v>0</v>
      </c>
      <c r="L1797" s="84">
        <v>0</v>
      </c>
      <c r="M1797" s="53">
        <v>0</v>
      </c>
      <c r="N1797" s="78">
        <v>0</v>
      </c>
    </row>
    <row r="1798" spans="1:14" ht="19.5" customHeight="1" outlineLevel="1" x14ac:dyDescent="0.2">
      <c r="A1798" s="101">
        <v>8</v>
      </c>
      <c r="B1798" s="81" t="s">
        <v>15</v>
      </c>
      <c r="C1798" s="84">
        <v>0</v>
      </c>
      <c r="D1798" s="53">
        <v>0</v>
      </c>
      <c r="E1798" s="78">
        <v>0</v>
      </c>
      <c r="F1798" s="84">
        <v>0.1</v>
      </c>
      <c r="G1798" s="53">
        <v>0.22</v>
      </c>
      <c r="H1798" s="78">
        <v>2200</v>
      </c>
      <c r="I1798" s="84">
        <v>0</v>
      </c>
      <c r="J1798" s="53">
        <v>0</v>
      </c>
      <c r="K1798" s="78">
        <v>0</v>
      </c>
      <c r="L1798" s="84">
        <v>0.1</v>
      </c>
      <c r="M1798" s="53">
        <v>0.22</v>
      </c>
      <c r="N1798" s="78">
        <v>2200</v>
      </c>
    </row>
    <row r="1799" spans="1:14" ht="19.5" customHeight="1" outlineLevel="1" x14ac:dyDescent="0.2">
      <c r="A1799" s="101">
        <v>9</v>
      </c>
      <c r="B1799" s="81" t="s">
        <v>16</v>
      </c>
      <c r="C1799" s="84">
        <v>0</v>
      </c>
      <c r="D1799" s="53">
        <v>0</v>
      </c>
      <c r="E1799" s="78">
        <v>0</v>
      </c>
      <c r="F1799" s="84">
        <v>0</v>
      </c>
      <c r="G1799" s="53">
        <v>0</v>
      </c>
      <c r="H1799" s="78">
        <v>0</v>
      </c>
      <c r="I1799" s="84">
        <v>0</v>
      </c>
      <c r="J1799" s="53">
        <v>0</v>
      </c>
      <c r="K1799" s="78">
        <v>0</v>
      </c>
      <c r="L1799" s="84">
        <v>0</v>
      </c>
      <c r="M1799" s="53">
        <v>0</v>
      </c>
      <c r="N1799" s="78">
        <v>0</v>
      </c>
    </row>
    <row r="1800" spans="1:14" ht="19.5" customHeight="1" outlineLevel="1" x14ac:dyDescent="0.2">
      <c r="A1800" s="101">
        <v>10</v>
      </c>
      <c r="B1800" s="81" t="s">
        <v>17</v>
      </c>
      <c r="C1800" s="84">
        <v>0</v>
      </c>
      <c r="D1800" s="53">
        <v>0</v>
      </c>
      <c r="E1800" s="78">
        <v>0</v>
      </c>
      <c r="F1800" s="84">
        <v>0</v>
      </c>
      <c r="G1800" s="53">
        <v>0</v>
      </c>
      <c r="H1800" s="78">
        <v>0</v>
      </c>
      <c r="I1800" s="84">
        <v>0</v>
      </c>
      <c r="J1800" s="53">
        <v>0</v>
      </c>
      <c r="K1800" s="78">
        <v>0</v>
      </c>
      <c r="L1800" s="84">
        <v>0</v>
      </c>
      <c r="M1800" s="53">
        <v>0</v>
      </c>
      <c r="N1800" s="78">
        <v>0</v>
      </c>
    </row>
    <row r="1801" spans="1:14" ht="19.5" customHeight="1" outlineLevel="1" x14ac:dyDescent="0.2">
      <c r="A1801" s="101">
        <v>11</v>
      </c>
      <c r="B1801" s="81" t="s">
        <v>18</v>
      </c>
      <c r="C1801" s="84">
        <v>0</v>
      </c>
      <c r="D1801" s="53">
        <v>0</v>
      </c>
      <c r="E1801" s="78">
        <v>0</v>
      </c>
      <c r="F1801" s="84">
        <v>0.04</v>
      </c>
      <c r="G1801" s="53">
        <v>0.08</v>
      </c>
      <c r="H1801" s="78">
        <v>2000</v>
      </c>
      <c r="I1801" s="84">
        <v>0</v>
      </c>
      <c r="J1801" s="53">
        <v>0</v>
      </c>
      <c r="K1801" s="78">
        <v>0</v>
      </c>
      <c r="L1801" s="84">
        <v>0.04</v>
      </c>
      <c r="M1801" s="53">
        <v>0.08</v>
      </c>
      <c r="N1801" s="78">
        <v>2000</v>
      </c>
    </row>
    <row r="1802" spans="1:14" ht="19.5" customHeight="1" outlineLevel="1" x14ac:dyDescent="0.2">
      <c r="A1802" s="101">
        <v>12</v>
      </c>
      <c r="B1802" s="81" t="s">
        <v>19</v>
      </c>
      <c r="C1802" s="84">
        <v>0</v>
      </c>
      <c r="D1802" s="53">
        <v>0</v>
      </c>
      <c r="E1802" s="78">
        <v>0</v>
      </c>
      <c r="F1802" s="84">
        <v>0.02</v>
      </c>
      <c r="G1802" s="53">
        <v>0.04</v>
      </c>
      <c r="H1802" s="78">
        <v>2000</v>
      </c>
      <c r="I1802" s="84">
        <v>0</v>
      </c>
      <c r="J1802" s="53">
        <v>0</v>
      </c>
      <c r="K1802" s="78">
        <v>0</v>
      </c>
      <c r="L1802" s="84">
        <v>0.02</v>
      </c>
      <c r="M1802" s="53">
        <v>0.04</v>
      </c>
      <c r="N1802" s="78">
        <v>2000</v>
      </c>
    </row>
    <row r="1803" spans="1:14" ht="19.5" customHeight="1" outlineLevel="1" x14ac:dyDescent="0.2">
      <c r="A1803" s="101">
        <v>13</v>
      </c>
      <c r="B1803" s="81" t="s">
        <v>20</v>
      </c>
      <c r="C1803" s="84">
        <v>0</v>
      </c>
      <c r="D1803" s="53">
        <v>0</v>
      </c>
      <c r="E1803" s="78">
        <v>0</v>
      </c>
      <c r="F1803" s="84">
        <v>0</v>
      </c>
      <c r="G1803" s="53">
        <v>0</v>
      </c>
      <c r="H1803" s="78">
        <v>0</v>
      </c>
      <c r="I1803" s="84">
        <v>0</v>
      </c>
      <c r="J1803" s="53">
        <v>0</v>
      </c>
      <c r="K1803" s="78">
        <v>0</v>
      </c>
      <c r="L1803" s="84">
        <v>0</v>
      </c>
      <c r="M1803" s="53">
        <v>0</v>
      </c>
      <c r="N1803" s="78">
        <v>0</v>
      </c>
    </row>
    <row r="1804" spans="1:14" ht="19.5" customHeight="1" outlineLevel="1" x14ac:dyDescent="0.2">
      <c r="A1804" s="101">
        <v>14</v>
      </c>
      <c r="B1804" s="81" t="s">
        <v>21</v>
      </c>
      <c r="C1804" s="84">
        <v>1.2</v>
      </c>
      <c r="D1804" s="53">
        <v>1.98</v>
      </c>
      <c r="E1804" s="78">
        <v>1650</v>
      </c>
      <c r="F1804" s="84">
        <v>0</v>
      </c>
      <c r="G1804" s="53">
        <v>0</v>
      </c>
      <c r="H1804" s="78">
        <v>0</v>
      </c>
      <c r="I1804" s="84">
        <v>0</v>
      </c>
      <c r="J1804" s="53">
        <v>0</v>
      </c>
      <c r="K1804" s="78">
        <v>0</v>
      </c>
      <c r="L1804" s="84">
        <v>1.2</v>
      </c>
      <c r="M1804" s="53">
        <v>1.98</v>
      </c>
      <c r="N1804" s="78">
        <v>1650</v>
      </c>
    </row>
    <row r="1805" spans="1:14" ht="19.5" customHeight="1" outlineLevel="1" x14ac:dyDescent="0.2">
      <c r="A1805" s="101">
        <v>15</v>
      </c>
      <c r="B1805" s="81" t="s">
        <v>22</v>
      </c>
      <c r="C1805" s="84">
        <v>0</v>
      </c>
      <c r="D1805" s="53">
        <v>0</v>
      </c>
      <c r="E1805" s="78">
        <v>0</v>
      </c>
      <c r="F1805" s="84">
        <v>0</v>
      </c>
      <c r="G1805" s="53">
        <v>0</v>
      </c>
      <c r="H1805" s="78">
        <v>0</v>
      </c>
      <c r="I1805" s="84">
        <v>0</v>
      </c>
      <c r="J1805" s="53">
        <v>0</v>
      </c>
      <c r="K1805" s="78">
        <v>0</v>
      </c>
      <c r="L1805" s="84">
        <v>0</v>
      </c>
      <c r="M1805" s="53">
        <v>0</v>
      </c>
      <c r="N1805" s="78">
        <v>0</v>
      </c>
    </row>
    <row r="1806" spans="1:14" ht="19.5" customHeight="1" outlineLevel="1" x14ac:dyDescent="0.2">
      <c r="A1806" s="101">
        <v>16</v>
      </c>
      <c r="B1806" s="81" t="s">
        <v>23</v>
      </c>
      <c r="C1806" s="84">
        <v>0</v>
      </c>
      <c r="D1806" s="53">
        <v>0</v>
      </c>
      <c r="E1806" s="78">
        <v>0</v>
      </c>
      <c r="F1806" s="84">
        <v>0</v>
      </c>
      <c r="G1806" s="53">
        <v>0</v>
      </c>
      <c r="H1806" s="78">
        <v>0</v>
      </c>
      <c r="I1806" s="84">
        <v>0</v>
      </c>
      <c r="J1806" s="53">
        <v>0</v>
      </c>
      <c r="K1806" s="78">
        <v>0</v>
      </c>
      <c r="L1806" s="84">
        <v>0</v>
      </c>
      <c r="M1806" s="53">
        <v>0</v>
      </c>
      <c r="N1806" s="78">
        <v>0</v>
      </c>
    </row>
    <row r="1807" spans="1:14" ht="19.5" customHeight="1" outlineLevel="1" x14ac:dyDescent="0.2">
      <c r="A1807" s="101">
        <v>17</v>
      </c>
      <c r="B1807" s="81" t="s">
        <v>24</v>
      </c>
      <c r="C1807" s="84">
        <v>0.22</v>
      </c>
      <c r="D1807" s="53">
        <v>0.33</v>
      </c>
      <c r="E1807" s="78">
        <v>1500</v>
      </c>
      <c r="F1807" s="84">
        <v>0</v>
      </c>
      <c r="G1807" s="53">
        <v>0</v>
      </c>
      <c r="H1807" s="78">
        <v>0</v>
      </c>
      <c r="I1807" s="84">
        <v>0</v>
      </c>
      <c r="J1807" s="53">
        <v>0</v>
      </c>
      <c r="K1807" s="78">
        <v>0</v>
      </c>
      <c r="L1807" s="84">
        <v>0.22</v>
      </c>
      <c r="M1807" s="53">
        <v>0.33</v>
      </c>
      <c r="N1807" s="78">
        <v>1500</v>
      </c>
    </row>
    <row r="1808" spans="1:14" ht="19.5" customHeight="1" outlineLevel="1" x14ac:dyDescent="0.2">
      <c r="A1808" s="101">
        <v>18</v>
      </c>
      <c r="B1808" s="81" t="s">
        <v>25</v>
      </c>
      <c r="C1808" s="84">
        <v>0.34</v>
      </c>
      <c r="D1808" s="53">
        <v>0.748</v>
      </c>
      <c r="E1808" s="78">
        <v>2200</v>
      </c>
      <c r="F1808" s="84">
        <v>0.44</v>
      </c>
      <c r="G1808" s="53">
        <v>0.85099999999999998</v>
      </c>
      <c r="H1808" s="78">
        <v>1934.090909090909</v>
      </c>
      <c r="I1808" s="84">
        <v>0.06</v>
      </c>
      <c r="J1808" s="53">
        <v>0.12132</v>
      </c>
      <c r="K1808" s="78">
        <v>2022</v>
      </c>
      <c r="L1808" s="84">
        <v>0.28000000000000003</v>
      </c>
      <c r="M1808" s="53">
        <v>0.57344000000000006</v>
      </c>
      <c r="N1808" s="78">
        <v>2048</v>
      </c>
    </row>
    <row r="1809" spans="1:14" ht="19.5" customHeight="1" outlineLevel="1" x14ac:dyDescent="0.2">
      <c r="A1809" s="101">
        <v>19</v>
      </c>
      <c r="B1809" s="81" t="s">
        <v>26</v>
      </c>
      <c r="C1809" s="84">
        <v>0</v>
      </c>
      <c r="D1809" s="53">
        <v>0</v>
      </c>
      <c r="E1809" s="78">
        <v>0</v>
      </c>
      <c r="F1809" s="84">
        <v>0</v>
      </c>
      <c r="G1809" s="53">
        <v>0</v>
      </c>
      <c r="H1809" s="78">
        <v>0</v>
      </c>
      <c r="I1809" s="84">
        <v>0.05</v>
      </c>
      <c r="J1809" s="53">
        <v>0.125</v>
      </c>
      <c r="K1809" s="78">
        <v>2500</v>
      </c>
      <c r="L1809" s="84">
        <v>0.05</v>
      </c>
      <c r="M1809" s="53">
        <v>0.125</v>
      </c>
      <c r="N1809" s="78">
        <v>2500</v>
      </c>
    </row>
    <row r="1810" spans="1:14" ht="19.5" customHeight="1" outlineLevel="1" x14ac:dyDescent="0.2">
      <c r="A1810" s="101">
        <v>20</v>
      </c>
      <c r="B1810" s="81" t="s">
        <v>27</v>
      </c>
      <c r="C1810" s="84">
        <v>0</v>
      </c>
      <c r="D1810" s="53">
        <v>0</v>
      </c>
      <c r="E1810" s="78">
        <v>0</v>
      </c>
      <c r="F1810" s="84">
        <v>0</v>
      </c>
      <c r="G1810" s="53">
        <v>0</v>
      </c>
      <c r="H1810" s="78">
        <v>0</v>
      </c>
      <c r="I1810" s="84">
        <v>0</v>
      </c>
      <c r="J1810" s="53">
        <v>0</v>
      </c>
      <c r="K1810" s="78">
        <v>0</v>
      </c>
      <c r="L1810" s="84">
        <v>0</v>
      </c>
      <c r="M1810" s="53">
        <v>0</v>
      </c>
      <c r="N1810" s="78">
        <v>0</v>
      </c>
    </row>
    <row r="1811" spans="1:14" ht="19.5" customHeight="1" outlineLevel="1" x14ac:dyDescent="0.2">
      <c r="A1811" s="101">
        <v>21</v>
      </c>
      <c r="B1811" s="81" t="s">
        <v>28</v>
      </c>
      <c r="C1811" s="84">
        <v>0.73</v>
      </c>
      <c r="D1811" s="53">
        <v>1.6278999999999999</v>
      </c>
      <c r="E1811" s="78">
        <v>2230</v>
      </c>
      <c r="F1811" s="84">
        <v>0.53</v>
      </c>
      <c r="G1811" s="53">
        <v>1.18455</v>
      </c>
      <c r="H1811" s="78">
        <v>2235</v>
      </c>
      <c r="I1811" s="84">
        <v>0.5</v>
      </c>
      <c r="J1811" s="53">
        <v>1.1380000000000001</v>
      </c>
      <c r="K1811" s="78">
        <v>2276.0000000000005</v>
      </c>
      <c r="L1811" s="84">
        <v>0.58666666666666667</v>
      </c>
      <c r="M1811" s="53">
        <v>1.3168166666666667</v>
      </c>
      <c r="N1811" s="78">
        <v>2244.573863636364</v>
      </c>
    </row>
    <row r="1812" spans="1:14" ht="19.5" customHeight="1" outlineLevel="1" x14ac:dyDescent="0.2">
      <c r="A1812" s="101">
        <v>22</v>
      </c>
      <c r="B1812" s="81" t="s">
        <v>29</v>
      </c>
      <c r="C1812" s="84">
        <v>3.52</v>
      </c>
      <c r="D1812" s="53">
        <v>8.6240000000000006</v>
      </c>
      <c r="E1812" s="78">
        <v>2450</v>
      </c>
      <c r="F1812" s="84">
        <v>3.31</v>
      </c>
      <c r="G1812" s="53">
        <v>8.1093999999999991</v>
      </c>
      <c r="H1812" s="78">
        <v>2449.9697885196374</v>
      </c>
      <c r="I1812" s="84">
        <v>4.17</v>
      </c>
      <c r="J1812" s="53">
        <v>10.3828</v>
      </c>
      <c r="K1812" s="78">
        <v>2489.8800959232613</v>
      </c>
      <c r="L1812" s="84">
        <v>3.6666666666666665</v>
      </c>
      <c r="M1812" s="53">
        <v>9.0387333333333331</v>
      </c>
      <c r="N1812" s="78">
        <v>2465.1090909090913</v>
      </c>
    </row>
    <row r="1813" spans="1:14" ht="19.5" customHeight="1" outlineLevel="1" x14ac:dyDescent="0.2">
      <c r="A1813" s="101">
        <v>23</v>
      </c>
      <c r="B1813" s="81" t="s">
        <v>30</v>
      </c>
      <c r="C1813" s="84">
        <v>4.57</v>
      </c>
      <c r="D1813" s="53">
        <v>9.2039800000000014</v>
      </c>
      <c r="E1813" s="78">
        <v>2014</v>
      </c>
      <c r="F1813" s="84">
        <v>1.55</v>
      </c>
      <c r="G1813" s="53">
        <v>3.1619999999999999</v>
      </c>
      <c r="H1813" s="78">
        <v>2040</v>
      </c>
      <c r="I1813" s="84">
        <v>0.8</v>
      </c>
      <c r="J1813" s="53">
        <v>1.6080000000000001</v>
      </c>
      <c r="K1813" s="78">
        <v>2010</v>
      </c>
      <c r="L1813" s="84">
        <v>2.3066666666666666</v>
      </c>
      <c r="M1813" s="53">
        <v>4.6579933333333337</v>
      </c>
      <c r="N1813" s="78">
        <v>2019.3612716763007</v>
      </c>
    </row>
    <row r="1814" spans="1:14" ht="19.5" customHeight="1" outlineLevel="1" x14ac:dyDescent="0.2">
      <c r="A1814" s="101">
        <v>24</v>
      </c>
      <c r="B1814" s="81" t="s">
        <v>31</v>
      </c>
      <c r="C1814" s="84">
        <v>0</v>
      </c>
      <c r="D1814" s="53">
        <v>0</v>
      </c>
      <c r="E1814" s="78">
        <v>0</v>
      </c>
      <c r="F1814" s="84">
        <v>0</v>
      </c>
      <c r="G1814" s="53">
        <v>0</v>
      </c>
      <c r="H1814" s="78">
        <v>0</v>
      </c>
      <c r="I1814" s="84">
        <v>0</v>
      </c>
      <c r="J1814" s="53">
        <v>0</v>
      </c>
      <c r="K1814" s="78">
        <v>0</v>
      </c>
      <c r="L1814" s="84">
        <v>0</v>
      </c>
      <c r="M1814" s="53">
        <v>0</v>
      </c>
      <c r="N1814" s="78">
        <v>0</v>
      </c>
    </row>
    <row r="1815" spans="1:14" ht="19.5" customHeight="1" outlineLevel="1" x14ac:dyDescent="0.2">
      <c r="A1815" s="101">
        <v>25</v>
      </c>
      <c r="B1815" s="81" t="s">
        <v>32</v>
      </c>
      <c r="C1815" s="84">
        <v>8.7200000000000006</v>
      </c>
      <c r="D1815" s="53">
        <v>14.039200000000001</v>
      </c>
      <c r="E1815" s="78">
        <v>1610</v>
      </c>
      <c r="F1815" s="84">
        <v>1.43</v>
      </c>
      <c r="G1815" s="53">
        <v>2.5420999999999996</v>
      </c>
      <c r="H1815" s="78">
        <v>1777.6923076923074</v>
      </c>
      <c r="I1815" s="84">
        <v>0.62</v>
      </c>
      <c r="J1815" s="53">
        <v>0.99809999999999988</v>
      </c>
      <c r="K1815" s="78">
        <v>1609.8387096774193</v>
      </c>
      <c r="L1815" s="84">
        <v>3.59</v>
      </c>
      <c r="M1815" s="53">
        <v>5.8597999999999999</v>
      </c>
      <c r="N1815" s="78">
        <v>1632.2562674094709</v>
      </c>
    </row>
    <row r="1816" spans="1:14" ht="19.5" customHeight="1" outlineLevel="1" x14ac:dyDescent="0.2">
      <c r="A1816" s="101">
        <v>26</v>
      </c>
      <c r="B1816" s="81" t="s">
        <v>33</v>
      </c>
      <c r="C1816" s="84">
        <v>13</v>
      </c>
      <c r="D1816" s="53">
        <v>17.55</v>
      </c>
      <c r="E1816" s="78">
        <v>1350</v>
      </c>
      <c r="F1816" s="84">
        <v>6.54</v>
      </c>
      <c r="G1816" s="53">
        <v>9.81</v>
      </c>
      <c r="H1816" s="78">
        <v>1500</v>
      </c>
      <c r="I1816" s="84">
        <v>3.1</v>
      </c>
      <c r="J1816" s="53">
        <v>4.6500000000000004</v>
      </c>
      <c r="K1816" s="78">
        <v>1500</v>
      </c>
      <c r="L1816" s="84">
        <v>7.5466666666666669</v>
      </c>
      <c r="M1816" s="53">
        <v>10.67</v>
      </c>
      <c r="N1816" s="78">
        <v>1413.86925795053</v>
      </c>
    </row>
    <row r="1817" spans="1:14" ht="19.5" customHeight="1" outlineLevel="1" x14ac:dyDescent="0.2">
      <c r="A1817" s="101">
        <v>27</v>
      </c>
      <c r="B1817" s="81" t="s">
        <v>34</v>
      </c>
      <c r="C1817" s="84">
        <v>3.73</v>
      </c>
      <c r="D1817" s="53">
        <v>8.1686999999999994</v>
      </c>
      <c r="E1817" s="78">
        <v>2190</v>
      </c>
      <c r="F1817" s="84">
        <v>6.54</v>
      </c>
      <c r="G1817" s="53">
        <v>13.593999999999999</v>
      </c>
      <c r="H1817" s="78">
        <v>2078.5932721712538</v>
      </c>
      <c r="I1817" s="84">
        <v>3.56</v>
      </c>
      <c r="J1817" s="53">
        <v>8.0866000000000007</v>
      </c>
      <c r="K1817" s="78">
        <v>2271.5168539325846</v>
      </c>
      <c r="L1817" s="84">
        <v>4.6100000000000003</v>
      </c>
      <c r="M1817" s="53">
        <v>9.9497666666666671</v>
      </c>
      <c r="N1817" s="78">
        <v>2158.3007953723786</v>
      </c>
    </row>
    <row r="1818" spans="1:14" ht="19.5" customHeight="1" outlineLevel="1" x14ac:dyDescent="0.2">
      <c r="A1818" s="101">
        <v>28</v>
      </c>
      <c r="B1818" s="81" t="s">
        <v>35</v>
      </c>
      <c r="C1818" s="84">
        <v>0</v>
      </c>
      <c r="D1818" s="53">
        <v>0</v>
      </c>
      <c r="E1818" s="78">
        <v>0</v>
      </c>
      <c r="F1818" s="84">
        <v>0.06</v>
      </c>
      <c r="G1818" s="53">
        <v>0.13757999999999998</v>
      </c>
      <c r="H1818" s="78">
        <v>2293</v>
      </c>
      <c r="I1818" s="84">
        <v>0</v>
      </c>
      <c r="J1818" s="53">
        <v>0</v>
      </c>
      <c r="K1818" s="78">
        <v>0</v>
      </c>
      <c r="L1818" s="84">
        <v>0.06</v>
      </c>
      <c r="M1818" s="53">
        <v>0.13757999999999998</v>
      </c>
      <c r="N1818" s="78">
        <v>2293</v>
      </c>
    </row>
    <row r="1819" spans="1:14" ht="19.5" customHeight="1" outlineLevel="1" x14ac:dyDescent="0.2">
      <c r="A1819" s="101">
        <v>29</v>
      </c>
      <c r="B1819" s="81" t="s">
        <v>36</v>
      </c>
      <c r="C1819" s="84">
        <v>4.72</v>
      </c>
      <c r="D1819" s="53">
        <v>10.148</v>
      </c>
      <c r="E1819" s="78">
        <v>2150</v>
      </c>
      <c r="F1819" s="84">
        <v>6.05</v>
      </c>
      <c r="G1819" s="53">
        <v>12.598499999999998</v>
      </c>
      <c r="H1819" s="78">
        <v>2082.3966942148759</v>
      </c>
      <c r="I1819" s="84">
        <v>6.36</v>
      </c>
      <c r="J1819" s="53">
        <v>11.641399999999999</v>
      </c>
      <c r="K1819" s="78">
        <v>1830.4088050314465</v>
      </c>
      <c r="L1819" s="84">
        <v>5.71</v>
      </c>
      <c r="M1819" s="53">
        <v>11.462633333333331</v>
      </c>
      <c r="N1819" s="78">
        <v>2007.4664331582017</v>
      </c>
    </row>
    <row r="1820" spans="1:14" ht="19.5" customHeight="1" outlineLevel="1" x14ac:dyDescent="0.2">
      <c r="A1820" s="101">
        <v>30</v>
      </c>
      <c r="B1820" s="81" t="s">
        <v>37</v>
      </c>
      <c r="C1820" s="84">
        <v>0</v>
      </c>
      <c r="D1820" s="53">
        <v>0</v>
      </c>
      <c r="E1820" s="78">
        <v>0</v>
      </c>
      <c r="F1820" s="84">
        <v>0</v>
      </c>
      <c r="G1820" s="53">
        <v>0</v>
      </c>
      <c r="H1820" s="78">
        <v>0</v>
      </c>
      <c r="I1820" s="84">
        <v>0</v>
      </c>
      <c r="J1820" s="53">
        <v>0</v>
      </c>
      <c r="K1820" s="78">
        <v>0</v>
      </c>
      <c r="L1820" s="84">
        <v>0</v>
      </c>
      <c r="M1820" s="53">
        <v>0</v>
      </c>
      <c r="N1820" s="78">
        <v>0</v>
      </c>
    </row>
    <row r="1821" spans="1:14" ht="19.5" customHeight="1" outlineLevel="1" x14ac:dyDescent="0.2">
      <c r="A1821" s="101">
        <v>31</v>
      </c>
      <c r="B1821" s="81" t="s">
        <v>38</v>
      </c>
      <c r="C1821" s="84">
        <v>0.38</v>
      </c>
      <c r="D1821" s="53">
        <v>0.39900000000000002</v>
      </c>
      <c r="E1821" s="78">
        <v>1050</v>
      </c>
      <c r="F1821" s="84">
        <v>0.15</v>
      </c>
      <c r="G1821" s="53">
        <v>0.1515</v>
      </c>
      <c r="H1821" s="78">
        <v>1010</v>
      </c>
      <c r="I1821" s="84">
        <v>0.13</v>
      </c>
      <c r="J1821" s="53">
        <v>0.1305</v>
      </c>
      <c r="K1821" s="78">
        <v>1003.8461538461538</v>
      </c>
      <c r="L1821" s="84">
        <v>0.22</v>
      </c>
      <c r="M1821" s="53">
        <v>0.22700000000000001</v>
      </c>
      <c r="N1821" s="78">
        <v>1031.8181818181818</v>
      </c>
    </row>
    <row r="1822" spans="1:14" ht="19.5" customHeight="1" outlineLevel="1" x14ac:dyDescent="0.2">
      <c r="A1822" s="101">
        <v>32</v>
      </c>
      <c r="B1822" s="81" t="s">
        <v>39</v>
      </c>
      <c r="C1822" s="84">
        <v>0</v>
      </c>
      <c r="D1822" s="53">
        <v>0</v>
      </c>
      <c r="E1822" s="78">
        <v>0</v>
      </c>
      <c r="F1822" s="84">
        <v>0</v>
      </c>
      <c r="G1822" s="53">
        <v>0</v>
      </c>
      <c r="H1822" s="78">
        <v>0</v>
      </c>
      <c r="I1822" s="84">
        <v>0</v>
      </c>
      <c r="J1822" s="53">
        <v>0</v>
      </c>
      <c r="K1822" s="78">
        <v>0</v>
      </c>
      <c r="L1822" s="84">
        <v>0</v>
      </c>
      <c r="M1822" s="53">
        <v>0</v>
      </c>
      <c r="N1822" s="78">
        <v>0</v>
      </c>
    </row>
    <row r="1823" spans="1:14" ht="19.5" customHeight="1" outlineLevel="1" thickBot="1" x14ac:dyDescent="0.25">
      <c r="A1823" s="102">
        <v>33</v>
      </c>
      <c r="B1823" s="91" t="s">
        <v>40</v>
      </c>
      <c r="C1823" s="92">
        <v>11.72</v>
      </c>
      <c r="D1823" s="93">
        <v>47.489440000000002</v>
      </c>
      <c r="E1823" s="94">
        <v>4052</v>
      </c>
      <c r="F1823" s="92">
        <v>14.01</v>
      </c>
      <c r="G1823" s="93">
        <v>38.597000000000008</v>
      </c>
      <c r="H1823" s="94">
        <v>2754.9607423269099</v>
      </c>
      <c r="I1823" s="92">
        <v>14.64</v>
      </c>
      <c r="J1823" s="93">
        <v>37.095500000000001</v>
      </c>
      <c r="K1823" s="94">
        <v>2533.8456284153003</v>
      </c>
      <c r="L1823" s="92">
        <v>13.456666666666669</v>
      </c>
      <c r="M1823" s="93">
        <v>41.060646666666671</v>
      </c>
      <c r="N1823" s="94">
        <v>3051.3237552638093</v>
      </c>
    </row>
    <row r="1824" spans="1:14" ht="19.5" customHeight="1" thickBot="1" x14ac:dyDescent="0.25">
      <c r="A1824" s="151" t="s">
        <v>41</v>
      </c>
      <c r="B1824" s="152"/>
      <c r="C1824" s="96">
        <v>71.83</v>
      </c>
      <c r="D1824" s="97">
        <v>184.05082000000002</v>
      </c>
      <c r="E1824" s="98">
        <v>2562.3112905471253</v>
      </c>
      <c r="F1824" s="96">
        <v>70.75</v>
      </c>
      <c r="G1824" s="97">
        <v>162.45276000000001</v>
      </c>
      <c r="H1824" s="98">
        <v>2296.1520848056539</v>
      </c>
      <c r="I1824" s="96">
        <v>75.240000000000009</v>
      </c>
      <c r="J1824" s="97">
        <v>166.02561680000002</v>
      </c>
      <c r="K1824" s="98">
        <v>2206.613726741095</v>
      </c>
      <c r="L1824" s="96">
        <v>72.606666666666669</v>
      </c>
      <c r="M1824" s="97">
        <v>170.84306560000005</v>
      </c>
      <c r="N1824" s="98">
        <v>2352.9942007161881</v>
      </c>
    </row>
    <row r="1825" spans="1:14" ht="34.5" customHeight="1" x14ac:dyDescent="0.2">
      <c r="A1825" s="153" t="s">
        <v>247</v>
      </c>
      <c r="B1825" s="154"/>
      <c r="C1825" s="154"/>
      <c r="D1825" s="154"/>
      <c r="E1825" s="154"/>
      <c r="F1825" s="154"/>
      <c r="G1825" s="154"/>
      <c r="H1825" s="154"/>
      <c r="I1825" s="154"/>
      <c r="J1825" s="154"/>
      <c r="K1825" s="154"/>
      <c r="L1825" s="154"/>
      <c r="M1825" s="154"/>
      <c r="N1825" s="154"/>
    </row>
    <row r="1826" spans="1:14" ht="19.5" customHeight="1" thickBot="1" x14ac:dyDescent="0.25">
      <c r="A1826" s="50"/>
      <c r="B1826" s="138" t="s">
        <v>90</v>
      </c>
      <c r="C1826" s="52"/>
      <c r="D1826" s="52"/>
      <c r="E1826" s="52"/>
      <c r="F1826" s="52"/>
      <c r="G1826" s="52"/>
      <c r="H1826" s="52"/>
      <c r="I1826" s="52"/>
      <c r="J1826" s="52"/>
      <c r="K1826" s="155" t="s">
        <v>1</v>
      </c>
      <c r="L1826" s="154"/>
      <c r="M1826" s="154"/>
      <c r="N1826" s="154"/>
    </row>
    <row r="1827" spans="1:14" ht="19.5" customHeight="1" x14ac:dyDescent="0.2">
      <c r="A1827" s="156" t="s">
        <v>2</v>
      </c>
      <c r="B1827" s="158" t="s">
        <v>3</v>
      </c>
      <c r="C1827" s="148" t="s">
        <v>243</v>
      </c>
      <c r="D1827" s="149"/>
      <c r="E1827" s="150"/>
      <c r="F1827" s="148" t="s">
        <v>244</v>
      </c>
      <c r="G1827" s="149"/>
      <c r="H1827" s="150"/>
      <c r="I1827" s="148" t="s">
        <v>246</v>
      </c>
      <c r="J1827" s="149"/>
      <c r="K1827" s="150"/>
      <c r="L1827" s="148" t="s">
        <v>4</v>
      </c>
      <c r="M1827" s="149"/>
      <c r="N1827" s="150"/>
    </row>
    <row r="1828" spans="1:14" ht="19.5" customHeight="1" thickBot="1" x14ac:dyDescent="0.25">
      <c r="A1828" s="157"/>
      <c r="B1828" s="159"/>
      <c r="C1828" s="85" t="s">
        <v>5</v>
      </c>
      <c r="D1828" s="79" t="s">
        <v>6</v>
      </c>
      <c r="E1828" s="80" t="s">
        <v>7</v>
      </c>
      <c r="F1828" s="85" t="s">
        <v>5</v>
      </c>
      <c r="G1828" s="79" t="s">
        <v>6</v>
      </c>
      <c r="H1828" s="80" t="s">
        <v>7</v>
      </c>
      <c r="I1828" s="85" t="s">
        <v>5</v>
      </c>
      <c r="J1828" s="79" t="s">
        <v>6</v>
      </c>
      <c r="K1828" s="80" t="s">
        <v>7</v>
      </c>
      <c r="L1828" s="85" t="s">
        <v>5</v>
      </c>
      <c r="M1828" s="79" t="s">
        <v>6</v>
      </c>
      <c r="N1828" s="80" t="s">
        <v>7</v>
      </c>
    </row>
    <row r="1829" spans="1:14" ht="19.5" customHeight="1" outlineLevel="1" x14ac:dyDescent="0.2">
      <c r="A1829" s="100">
        <v>1</v>
      </c>
      <c r="B1829" s="86" t="s">
        <v>8</v>
      </c>
      <c r="C1829" s="87">
        <v>45.94</v>
      </c>
      <c r="D1829" s="88">
        <v>89.718063599999994</v>
      </c>
      <c r="E1829" s="89">
        <v>1952.94</v>
      </c>
      <c r="F1829" s="87">
        <v>59.84</v>
      </c>
      <c r="G1829" s="88">
        <v>113.62513971979695</v>
      </c>
      <c r="H1829" s="89">
        <v>1898.8158375634516</v>
      </c>
      <c r="I1829" s="87">
        <v>57.12</v>
      </c>
      <c r="J1829" s="88">
        <v>132.74303335698926</v>
      </c>
      <c r="K1829" s="89">
        <v>2323.9326568100364</v>
      </c>
      <c r="L1829" s="87">
        <v>54.300000000000004</v>
      </c>
      <c r="M1829" s="88">
        <v>112.02874555892873</v>
      </c>
      <c r="N1829" s="89">
        <v>2063.1444854314682</v>
      </c>
    </row>
    <row r="1830" spans="1:14" ht="19.5" customHeight="1" outlineLevel="1" x14ac:dyDescent="0.2">
      <c r="A1830" s="101">
        <v>2</v>
      </c>
      <c r="B1830" s="81" t="s">
        <v>9</v>
      </c>
      <c r="C1830" s="84">
        <v>1723.84</v>
      </c>
      <c r="D1830" s="53">
        <v>5056.2729399999998</v>
      </c>
      <c r="E1830" s="78">
        <v>2933.1451526823835</v>
      </c>
      <c r="F1830" s="84">
        <v>1693.5</v>
      </c>
      <c r="G1830" s="53">
        <v>5061.4726700000001</v>
      </c>
      <c r="H1830" s="78">
        <v>2988.7644936521997</v>
      </c>
      <c r="I1830" s="84">
        <v>1698.04</v>
      </c>
      <c r="J1830" s="53">
        <v>5143.3120599999993</v>
      </c>
      <c r="K1830" s="78">
        <v>3028.9699064804126</v>
      </c>
      <c r="L1830" s="84">
        <v>1705.1266666666668</v>
      </c>
      <c r="M1830" s="53">
        <v>5087.0192233333328</v>
      </c>
      <c r="N1830" s="78">
        <v>2983.3673490532465</v>
      </c>
    </row>
    <row r="1831" spans="1:14" ht="19.5" customHeight="1" outlineLevel="1" x14ac:dyDescent="0.2">
      <c r="A1831" s="101">
        <v>3</v>
      </c>
      <c r="B1831" s="81" t="s">
        <v>10</v>
      </c>
      <c r="C1831" s="84">
        <v>64.760000000000005</v>
      </c>
      <c r="D1831" s="53">
        <v>189.94079446208113</v>
      </c>
      <c r="E1831" s="78">
        <v>2932.9955908289239</v>
      </c>
      <c r="F1831" s="84">
        <v>64.77</v>
      </c>
      <c r="G1831" s="53">
        <v>192.09279049723756</v>
      </c>
      <c r="H1831" s="78">
        <v>2965.767955801105</v>
      </c>
      <c r="I1831" s="84">
        <v>68.86</v>
      </c>
      <c r="J1831" s="53">
        <v>192.13583002419503</v>
      </c>
      <c r="K1831" s="78">
        <v>2790.2386004094542</v>
      </c>
      <c r="L1831" s="84">
        <v>66.13</v>
      </c>
      <c r="M1831" s="53">
        <v>191.38980499450454</v>
      </c>
      <c r="N1831" s="78">
        <v>2894.1449416982391</v>
      </c>
    </row>
    <row r="1832" spans="1:14" ht="19.5" customHeight="1" outlineLevel="1" x14ac:dyDescent="0.2">
      <c r="A1832" s="101">
        <v>4</v>
      </c>
      <c r="B1832" s="81" t="s">
        <v>11</v>
      </c>
      <c r="C1832" s="84">
        <v>117.36</v>
      </c>
      <c r="D1832" s="53">
        <v>357.23685053958309</v>
      </c>
      <c r="E1832" s="78">
        <v>3043.9404442704763</v>
      </c>
      <c r="F1832" s="84">
        <v>117.78</v>
      </c>
      <c r="G1832" s="53">
        <v>355.88691394358068</v>
      </c>
      <c r="H1832" s="78">
        <v>3021.6243330241186</v>
      </c>
      <c r="I1832" s="84">
        <v>114.72</v>
      </c>
      <c r="J1832" s="53">
        <v>353.23713569632088</v>
      </c>
      <c r="K1832" s="78">
        <v>3079.1242651352932</v>
      </c>
      <c r="L1832" s="84">
        <v>116.62</v>
      </c>
      <c r="M1832" s="53">
        <v>355.45363339316151</v>
      </c>
      <c r="N1832" s="78">
        <v>3047.9646149302134</v>
      </c>
    </row>
    <row r="1833" spans="1:14" ht="19.5" customHeight="1" outlineLevel="1" x14ac:dyDescent="0.2">
      <c r="A1833" s="101">
        <v>5</v>
      </c>
      <c r="B1833" s="81" t="s">
        <v>12</v>
      </c>
      <c r="C1833" s="84">
        <v>33.19</v>
      </c>
      <c r="D1833" s="53">
        <v>102.39577768540623</v>
      </c>
      <c r="E1833" s="78">
        <v>3085.139430111667</v>
      </c>
      <c r="F1833" s="84">
        <v>54.99</v>
      </c>
      <c r="G1833" s="53">
        <v>186.80704953640779</v>
      </c>
      <c r="H1833" s="78">
        <v>3397.1094660194176</v>
      </c>
      <c r="I1833" s="84">
        <v>58.07</v>
      </c>
      <c r="J1833" s="53">
        <v>172.46660668425511</v>
      </c>
      <c r="K1833" s="78">
        <v>2969.9777283322737</v>
      </c>
      <c r="L1833" s="84">
        <v>48.75</v>
      </c>
      <c r="M1833" s="53">
        <v>153.88981130202305</v>
      </c>
      <c r="N1833" s="78">
        <v>3156.7140779902161</v>
      </c>
    </row>
    <row r="1834" spans="1:14" ht="19.5" customHeight="1" outlineLevel="1" x14ac:dyDescent="0.2">
      <c r="A1834" s="101">
        <v>6</v>
      </c>
      <c r="B1834" s="81" t="s">
        <v>13</v>
      </c>
      <c r="C1834" s="84">
        <v>53.07</v>
      </c>
      <c r="D1834" s="53">
        <v>159.06140399999998</v>
      </c>
      <c r="E1834" s="78">
        <v>2997.1999999999994</v>
      </c>
      <c r="F1834" s="84">
        <v>56.59</v>
      </c>
      <c r="G1834" s="53">
        <v>207.47394768139677</v>
      </c>
      <c r="H1834" s="78">
        <v>3666.2652002367336</v>
      </c>
      <c r="I1834" s="84">
        <v>59.98</v>
      </c>
      <c r="J1834" s="53">
        <v>203.92743372110021</v>
      </c>
      <c r="K1834" s="78">
        <v>3399.9238699749953</v>
      </c>
      <c r="L1834" s="84">
        <v>56.54666666666666</v>
      </c>
      <c r="M1834" s="53">
        <v>190.1542618008323</v>
      </c>
      <c r="N1834" s="78">
        <v>3362.7846345348794</v>
      </c>
    </row>
    <row r="1835" spans="1:14" ht="19.5" customHeight="1" outlineLevel="1" x14ac:dyDescent="0.2">
      <c r="A1835" s="101">
        <v>7</v>
      </c>
      <c r="B1835" s="81" t="s">
        <v>14</v>
      </c>
      <c r="C1835" s="84">
        <v>75.53</v>
      </c>
      <c r="D1835" s="53">
        <v>250.92816731048387</v>
      </c>
      <c r="E1835" s="78">
        <v>3322.2317928039702</v>
      </c>
      <c r="F1835" s="84">
        <v>81.56</v>
      </c>
      <c r="G1835" s="53">
        <v>281.98615024380564</v>
      </c>
      <c r="H1835" s="78">
        <v>3457.4074331020802</v>
      </c>
      <c r="I1835" s="84">
        <v>69.47</v>
      </c>
      <c r="J1835" s="53">
        <v>229.29271173341482</v>
      </c>
      <c r="K1835" s="78">
        <v>3300.6004280036682</v>
      </c>
      <c r="L1835" s="84">
        <v>75.52</v>
      </c>
      <c r="M1835" s="53">
        <v>254.06900976256807</v>
      </c>
      <c r="N1835" s="78">
        <v>3364.2612521526494</v>
      </c>
    </row>
    <row r="1836" spans="1:14" ht="19.5" customHeight="1" outlineLevel="1" x14ac:dyDescent="0.2">
      <c r="A1836" s="101">
        <v>8</v>
      </c>
      <c r="B1836" s="81" t="s">
        <v>15</v>
      </c>
      <c r="C1836" s="84">
        <v>12.9</v>
      </c>
      <c r="D1836" s="53">
        <v>41.636040000000001</v>
      </c>
      <c r="E1836" s="78">
        <v>3227.6</v>
      </c>
      <c r="F1836" s="84">
        <v>13.6</v>
      </c>
      <c r="G1836" s="53">
        <v>43.657359999999997</v>
      </c>
      <c r="H1836" s="78">
        <v>3210.1</v>
      </c>
      <c r="I1836" s="84">
        <v>18.23</v>
      </c>
      <c r="J1836" s="53">
        <v>57.346111000000008</v>
      </c>
      <c r="K1836" s="78">
        <v>3145.7000000000003</v>
      </c>
      <c r="L1836" s="84">
        <v>14.910000000000002</v>
      </c>
      <c r="M1836" s="53">
        <v>47.546503666666666</v>
      </c>
      <c r="N1836" s="78">
        <v>3188.9003129890448</v>
      </c>
    </row>
    <row r="1837" spans="1:14" ht="19.5" customHeight="1" outlineLevel="1" x14ac:dyDescent="0.2">
      <c r="A1837" s="101">
        <v>9</v>
      </c>
      <c r="B1837" s="81" t="s">
        <v>16</v>
      </c>
      <c r="C1837" s="84">
        <v>6.72</v>
      </c>
      <c r="D1837" s="53">
        <v>19.9594377570359</v>
      </c>
      <c r="E1837" s="78">
        <v>2970.1544281303422</v>
      </c>
      <c r="F1837" s="84">
        <v>9.64</v>
      </c>
      <c r="G1837" s="53">
        <v>29.166738356274504</v>
      </c>
      <c r="H1837" s="78">
        <v>3025.5952651737039</v>
      </c>
      <c r="I1837" s="84">
        <v>5.41</v>
      </c>
      <c r="J1837" s="53">
        <v>16.417054181946412</v>
      </c>
      <c r="K1837" s="78">
        <v>3034.5756343708708</v>
      </c>
      <c r="L1837" s="84">
        <v>7.2566666666666668</v>
      </c>
      <c r="M1837" s="53">
        <v>21.847743431752274</v>
      </c>
      <c r="N1837" s="78">
        <v>3010.7133805813883</v>
      </c>
    </row>
    <row r="1838" spans="1:14" ht="19.5" customHeight="1" outlineLevel="1" x14ac:dyDescent="0.2">
      <c r="A1838" s="101">
        <v>10</v>
      </c>
      <c r="B1838" s="81" t="s">
        <v>17</v>
      </c>
      <c r="C1838" s="84">
        <v>24.5</v>
      </c>
      <c r="D1838" s="53">
        <v>72.768783489193396</v>
      </c>
      <c r="E1838" s="78">
        <v>2970.1544281303422</v>
      </c>
      <c r="F1838" s="84">
        <v>8.52</v>
      </c>
      <c r="G1838" s="53">
        <v>32.189837999999995</v>
      </c>
      <c r="H1838" s="78">
        <v>3778.1499999999996</v>
      </c>
      <c r="I1838" s="84">
        <v>7.46</v>
      </c>
      <c r="J1838" s="53">
        <v>22.637934232406696</v>
      </c>
      <c r="K1838" s="78">
        <v>3034.5756343708708</v>
      </c>
      <c r="L1838" s="84">
        <v>13.493333333333332</v>
      </c>
      <c r="M1838" s="53">
        <v>42.532185240533359</v>
      </c>
      <c r="N1838" s="78">
        <v>3152.0888271146264</v>
      </c>
    </row>
    <row r="1839" spans="1:14" ht="19.5" customHeight="1" outlineLevel="1" x14ac:dyDescent="0.2">
      <c r="A1839" s="101">
        <v>11</v>
      </c>
      <c r="B1839" s="81" t="s">
        <v>18</v>
      </c>
      <c r="C1839" s="84">
        <v>10.06</v>
      </c>
      <c r="D1839" s="53">
        <v>29.879753546991243</v>
      </c>
      <c r="E1839" s="78">
        <v>2970.1544281303422</v>
      </c>
      <c r="F1839" s="84">
        <v>7.34</v>
      </c>
      <c r="G1839" s="53">
        <v>22.207869246374987</v>
      </c>
      <c r="H1839" s="78">
        <v>3025.5952651737039</v>
      </c>
      <c r="I1839" s="84">
        <v>6.84</v>
      </c>
      <c r="J1839" s="53">
        <v>20.756497339096757</v>
      </c>
      <c r="K1839" s="78">
        <v>3034.5756343708708</v>
      </c>
      <c r="L1839" s="84">
        <v>8.08</v>
      </c>
      <c r="M1839" s="53">
        <v>24.281373377487665</v>
      </c>
      <c r="N1839" s="78">
        <v>3005.1204675108493</v>
      </c>
    </row>
    <row r="1840" spans="1:14" ht="19.5" customHeight="1" outlineLevel="1" x14ac:dyDescent="0.2">
      <c r="A1840" s="101">
        <v>12</v>
      </c>
      <c r="B1840" s="81" t="s">
        <v>19</v>
      </c>
      <c r="C1840" s="84">
        <v>6.15</v>
      </c>
      <c r="D1840" s="53">
        <v>18.266449733001604</v>
      </c>
      <c r="E1840" s="78">
        <v>2970.1544281303422</v>
      </c>
      <c r="F1840" s="84">
        <v>9.7100000000000009</v>
      </c>
      <c r="G1840" s="53">
        <v>29.378530024836667</v>
      </c>
      <c r="H1840" s="78">
        <v>3025.5952651737039</v>
      </c>
      <c r="I1840" s="84">
        <v>10.130000000000001</v>
      </c>
      <c r="J1840" s="53">
        <v>30.740251176176923</v>
      </c>
      <c r="K1840" s="78">
        <v>3034.5756343708708</v>
      </c>
      <c r="L1840" s="84">
        <v>8.663333333333334</v>
      </c>
      <c r="M1840" s="53">
        <v>26.128410311338399</v>
      </c>
      <c r="N1840" s="78">
        <v>3015.9765653718814</v>
      </c>
    </row>
    <row r="1841" spans="1:14" ht="19.5" customHeight="1" outlineLevel="1" x14ac:dyDescent="0.2">
      <c r="A1841" s="101">
        <v>13</v>
      </c>
      <c r="B1841" s="81" t="s">
        <v>20</v>
      </c>
      <c r="C1841" s="84">
        <v>3.24</v>
      </c>
      <c r="D1841" s="53">
        <v>9.6233003471423082</v>
      </c>
      <c r="E1841" s="78">
        <v>2970.1544281303422</v>
      </c>
      <c r="F1841" s="84">
        <v>1.27</v>
      </c>
      <c r="G1841" s="53">
        <v>3.842505986770604</v>
      </c>
      <c r="H1841" s="78">
        <v>3025.5952651737039</v>
      </c>
      <c r="I1841" s="84">
        <v>5.27</v>
      </c>
      <c r="J1841" s="53">
        <v>15.992213593134487</v>
      </c>
      <c r="K1841" s="78">
        <v>3034.5756343708708</v>
      </c>
      <c r="L1841" s="84">
        <v>3.26</v>
      </c>
      <c r="M1841" s="53">
        <v>9.8193399756824657</v>
      </c>
      <c r="N1841" s="78">
        <v>3012.0674772032107</v>
      </c>
    </row>
    <row r="1842" spans="1:14" ht="19.5" customHeight="1" outlineLevel="1" x14ac:dyDescent="0.2">
      <c r="A1842" s="101">
        <v>14</v>
      </c>
      <c r="B1842" s="81" t="s">
        <v>21</v>
      </c>
      <c r="C1842" s="84">
        <v>3.85</v>
      </c>
      <c r="D1842" s="53">
        <v>11.435094548301819</v>
      </c>
      <c r="E1842" s="78">
        <v>2970.1544281303422</v>
      </c>
      <c r="F1842" s="84">
        <v>2.2000000000000002</v>
      </c>
      <c r="G1842" s="53">
        <v>6.6563095833821491</v>
      </c>
      <c r="H1842" s="78">
        <v>3025.5952651737039</v>
      </c>
      <c r="I1842" s="84">
        <v>3.6</v>
      </c>
      <c r="J1842" s="53">
        <v>10.924472283735135</v>
      </c>
      <c r="K1842" s="78">
        <v>3034.5756343708708</v>
      </c>
      <c r="L1842" s="84">
        <v>3.2166666666666668</v>
      </c>
      <c r="M1842" s="53">
        <v>9.6719588051397007</v>
      </c>
      <c r="N1842" s="78">
        <v>3006.8265715460207</v>
      </c>
    </row>
    <row r="1843" spans="1:14" ht="19.5" customHeight="1" outlineLevel="1" x14ac:dyDescent="0.2">
      <c r="A1843" s="101">
        <v>15</v>
      </c>
      <c r="B1843" s="81" t="s">
        <v>22</v>
      </c>
      <c r="C1843" s="84">
        <v>31.82</v>
      </c>
      <c r="D1843" s="53">
        <v>94.510313903107502</v>
      </c>
      <c r="E1843" s="78">
        <v>2970.1544281303422</v>
      </c>
      <c r="F1843" s="84">
        <v>31.75</v>
      </c>
      <c r="G1843" s="53">
        <v>77.787499999999994</v>
      </c>
      <c r="H1843" s="78">
        <v>2450</v>
      </c>
      <c r="I1843" s="84">
        <v>28.87</v>
      </c>
      <c r="J1843" s="53">
        <v>68.479640000000003</v>
      </c>
      <c r="K1843" s="78">
        <v>2372</v>
      </c>
      <c r="L1843" s="84">
        <v>30.813333333333333</v>
      </c>
      <c r="M1843" s="53">
        <v>80.259151301035843</v>
      </c>
      <c r="N1843" s="78">
        <v>2604.689029674465</v>
      </c>
    </row>
    <row r="1844" spans="1:14" ht="19.5" customHeight="1" outlineLevel="1" x14ac:dyDescent="0.2">
      <c r="A1844" s="101">
        <v>16</v>
      </c>
      <c r="B1844" s="81" t="s">
        <v>23</v>
      </c>
      <c r="C1844" s="84">
        <v>71.2</v>
      </c>
      <c r="D1844" s="53">
        <v>259.69724645908764</v>
      </c>
      <c r="E1844" s="78">
        <v>3647.4332367849383</v>
      </c>
      <c r="F1844" s="84">
        <v>78.95</v>
      </c>
      <c r="G1844" s="53">
        <v>287.51212433483869</v>
      </c>
      <c r="H1844" s="78">
        <v>3641.6988516129031</v>
      </c>
      <c r="I1844" s="84">
        <v>80.02</v>
      </c>
      <c r="J1844" s="53">
        <v>274.3720580919304</v>
      </c>
      <c r="K1844" s="78">
        <v>3428.7935277671882</v>
      </c>
      <c r="L1844" s="84">
        <v>76.723333333333343</v>
      </c>
      <c r="M1844" s="53">
        <v>273.86047629528559</v>
      </c>
      <c r="N1844" s="78">
        <v>3569.45487633426</v>
      </c>
    </row>
    <row r="1845" spans="1:14" ht="19.5" customHeight="1" outlineLevel="1" x14ac:dyDescent="0.2">
      <c r="A1845" s="101">
        <v>17</v>
      </c>
      <c r="B1845" s="81" t="s">
        <v>24</v>
      </c>
      <c r="C1845" s="84">
        <v>47.03</v>
      </c>
      <c r="D1845" s="53">
        <v>131.47135670141768</v>
      </c>
      <c r="E1845" s="78">
        <v>2795.478560523446</v>
      </c>
      <c r="F1845" s="84">
        <v>39.619999999999997</v>
      </c>
      <c r="G1845" s="53">
        <v>105.18799012751489</v>
      </c>
      <c r="H1845" s="78">
        <v>2654.9215075092097</v>
      </c>
      <c r="I1845" s="84">
        <v>42.51</v>
      </c>
      <c r="J1845" s="53">
        <v>127.75784832471561</v>
      </c>
      <c r="K1845" s="78">
        <v>3005.3598759048605</v>
      </c>
      <c r="L1845" s="84">
        <v>43.053333333333335</v>
      </c>
      <c r="M1845" s="53">
        <v>121.47239838454941</v>
      </c>
      <c r="N1845" s="78">
        <v>2821.4400368043375</v>
      </c>
    </row>
    <row r="1846" spans="1:14" ht="19.5" customHeight="1" outlineLevel="1" x14ac:dyDescent="0.2">
      <c r="A1846" s="101">
        <v>18</v>
      </c>
      <c r="B1846" s="81" t="s">
        <v>25</v>
      </c>
      <c r="C1846" s="84">
        <v>83.79</v>
      </c>
      <c r="D1846" s="53">
        <v>227.3948951293969</v>
      </c>
      <c r="E1846" s="78">
        <v>2713.8667517531553</v>
      </c>
      <c r="F1846" s="84">
        <v>80.739999999999995</v>
      </c>
      <c r="G1846" s="53">
        <v>261.19526598713645</v>
      </c>
      <c r="H1846" s="78">
        <v>3235.0169183445191</v>
      </c>
      <c r="I1846" s="84">
        <v>93.9</v>
      </c>
      <c r="J1846" s="53">
        <v>314.90319308440706</v>
      </c>
      <c r="K1846" s="78">
        <v>3353.6016302918747</v>
      </c>
      <c r="L1846" s="84">
        <v>86.143333333333331</v>
      </c>
      <c r="M1846" s="53">
        <v>267.83111806698014</v>
      </c>
      <c r="N1846" s="78">
        <v>3109.1334372980709</v>
      </c>
    </row>
    <row r="1847" spans="1:14" ht="19.5" customHeight="1" outlineLevel="1" x14ac:dyDescent="0.2">
      <c r="A1847" s="101">
        <v>19</v>
      </c>
      <c r="B1847" s="81" t="s">
        <v>26</v>
      </c>
      <c r="C1847" s="84">
        <v>5.88</v>
      </c>
      <c r="D1847" s="53">
        <v>17.464508037406414</v>
      </c>
      <c r="E1847" s="78">
        <v>2970.1544281303422</v>
      </c>
      <c r="F1847" s="84">
        <v>7.25</v>
      </c>
      <c r="G1847" s="53">
        <v>21.935565672509355</v>
      </c>
      <c r="H1847" s="78">
        <v>3025.5952651737039</v>
      </c>
      <c r="I1847" s="84">
        <v>11.3</v>
      </c>
      <c r="J1847" s="53">
        <v>34.290704668390838</v>
      </c>
      <c r="K1847" s="78">
        <v>3034.5756343708708</v>
      </c>
      <c r="L1847" s="84">
        <v>8.1433333333333326</v>
      </c>
      <c r="M1847" s="53">
        <v>24.563592792768873</v>
      </c>
      <c r="N1847" s="78">
        <v>3016.4051730784536</v>
      </c>
    </row>
    <row r="1848" spans="1:14" ht="19.5" customHeight="1" outlineLevel="1" x14ac:dyDescent="0.2">
      <c r="A1848" s="101">
        <v>20</v>
      </c>
      <c r="B1848" s="81" t="s">
        <v>27</v>
      </c>
      <c r="C1848" s="84">
        <v>358.61</v>
      </c>
      <c r="D1848" s="53">
        <v>1175.3045620589978</v>
      </c>
      <c r="E1848" s="78">
        <v>3277.3892586904931</v>
      </c>
      <c r="F1848" s="84">
        <v>369.32</v>
      </c>
      <c r="G1848" s="53">
        <v>1244.0327566996339</v>
      </c>
      <c r="H1848" s="78">
        <v>3368.4413427370132</v>
      </c>
      <c r="I1848" s="84">
        <v>372.77</v>
      </c>
      <c r="J1848" s="53">
        <v>1185.4684325842527</v>
      </c>
      <c r="K1848" s="78">
        <v>3180.1605080458535</v>
      </c>
      <c r="L1848" s="84">
        <v>366.90000000000003</v>
      </c>
      <c r="M1848" s="53">
        <v>1201.6019171142948</v>
      </c>
      <c r="N1848" s="78">
        <v>3275.0120390141583</v>
      </c>
    </row>
    <row r="1849" spans="1:14" ht="19.5" customHeight="1" outlineLevel="1" x14ac:dyDescent="0.2">
      <c r="A1849" s="101">
        <v>21</v>
      </c>
      <c r="B1849" s="81" t="s">
        <v>28</v>
      </c>
      <c r="C1849" s="84">
        <v>267.20999999999998</v>
      </c>
      <c r="D1849" s="53">
        <v>803.85459594921394</v>
      </c>
      <c r="E1849" s="78">
        <v>3008.3252720677146</v>
      </c>
      <c r="F1849" s="84">
        <v>226.9</v>
      </c>
      <c r="G1849" s="53">
        <v>647.44740376823097</v>
      </c>
      <c r="H1849" s="78">
        <v>2853.4482316801714</v>
      </c>
      <c r="I1849" s="84">
        <v>257.27999999999997</v>
      </c>
      <c r="J1849" s="53">
        <v>795.94038567392329</v>
      </c>
      <c r="K1849" s="78">
        <v>3093.6737627251377</v>
      </c>
      <c r="L1849" s="84">
        <v>250.46333333333334</v>
      </c>
      <c r="M1849" s="53">
        <v>749.08079513045607</v>
      </c>
      <c r="N1849" s="78">
        <v>2990.7802677589111</v>
      </c>
    </row>
    <row r="1850" spans="1:14" ht="19.5" customHeight="1" outlineLevel="1" x14ac:dyDescent="0.2">
      <c r="A1850" s="101">
        <v>22</v>
      </c>
      <c r="B1850" s="81" t="s">
        <v>29</v>
      </c>
      <c r="C1850" s="84">
        <v>17.260000000000002</v>
      </c>
      <c r="D1850" s="53">
        <v>33.634562000000003</v>
      </c>
      <c r="E1850" s="78">
        <v>1948.7</v>
      </c>
      <c r="F1850" s="84">
        <v>23.01</v>
      </c>
      <c r="G1850" s="53">
        <v>46.592949000000004</v>
      </c>
      <c r="H1850" s="78">
        <v>2024.9</v>
      </c>
      <c r="I1850" s="84">
        <v>30.22</v>
      </c>
      <c r="J1850" s="53">
        <v>69.128434751091703</v>
      </c>
      <c r="K1850" s="78">
        <v>2287.5061135371179</v>
      </c>
      <c r="L1850" s="84">
        <v>23.49666666666667</v>
      </c>
      <c r="M1850" s="53">
        <v>49.785315250363908</v>
      </c>
      <c r="N1850" s="78">
        <v>2118.8245957028189</v>
      </c>
    </row>
    <row r="1851" spans="1:14" ht="19.5" customHeight="1" outlineLevel="1" x14ac:dyDescent="0.2">
      <c r="A1851" s="101">
        <v>23</v>
      </c>
      <c r="B1851" s="81" t="s">
        <v>30</v>
      </c>
      <c r="C1851" s="84">
        <v>36.9</v>
      </c>
      <c r="D1851" s="53">
        <v>91.822179642857137</v>
      </c>
      <c r="E1851" s="78">
        <v>2488.4059523809524</v>
      </c>
      <c r="F1851" s="84">
        <v>39.04</v>
      </c>
      <c r="G1851" s="53">
        <v>103.69313392100744</v>
      </c>
      <c r="H1851" s="78">
        <v>2656.0741270749859</v>
      </c>
      <c r="I1851" s="84">
        <v>38.94</v>
      </c>
      <c r="J1851" s="53">
        <v>94.769033227740223</v>
      </c>
      <c r="K1851" s="78">
        <v>2433.7193946517777</v>
      </c>
      <c r="L1851" s="84">
        <v>38.293333333333329</v>
      </c>
      <c r="M1851" s="53">
        <v>96.761448930534939</v>
      </c>
      <c r="N1851" s="78">
        <v>2526.8484226288724</v>
      </c>
    </row>
    <row r="1852" spans="1:14" ht="19.5" customHeight="1" outlineLevel="1" x14ac:dyDescent="0.2">
      <c r="A1852" s="101">
        <v>24</v>
      </c>
      <c r="B1852" s="81" t="s">
        <v>31</v>
      </c>
      <c r="C1852" s="84">
        <v>0.47</v>
      </c>
      <c r="D1852" s="53">
        <v>1.3959725812212607</v>
      </c>
      <c r="E1852" s="78">
        <v>2970.1544281303422</v>
      </c>
      <c r="F1852" s="84">
        <v>0.26</v>
      </c>
      <c r="G1852" s="53">
        <v>0.78665476894516306</v>
      </c>
      <c r="H1852" s="78">
        <v>3025.5952651737039</v>
      </c>
      <c r="I1852" s="84">
        <v>0.36</v>
      </c>
      <c r="J1852" s="53">
        <v>1.0924472283735136</v>
      </c>
      <c r="K1852" s="78">
        <v>3034.5756343708708</v>
      </c>
      <c r="L1852" s="84">
        <v>0.36333333333333329</v>
      </c>
      <c r="M1852" s="53">
        <v>1.0916915261799793</v>
      </c>
      <c r="N1852" s="78">
        <v>3004.6555766421452</v>
      </c>
    </row>
    <row r="1853" spans="1:14" ht="19.5" customHeight="1" outlineLevel="1" x14ac:dyDescent="0.2">
      <c r="A1853" s="101">
        <v>25</v>
      </c>
      <c r="B1853" s="81" t="s">
        <v>32</v>
      </c>
      <c r="C1853" s="84">
        <v>67.06</v>
      </c>
      <c r="D1853" s="53">
        <v>164.78603134052889</v>
      </c>
      <c r="E1853" s="78">
        <v>2457.2924446842958</v>
      </c>
      <c r="F1853" s="84">
        <v>74.23</v>
      </c>
      <c r="G1853" s="53">
        <v>175.21084492871489</v>
      </c>
      <c r="H1853" s="78">
        <v>2360.37781124498</v>
      </c>
      <c r="I1853" s="84">
        <v>75.430000000000007</v>
      </c>
      <c r="J1853" s="53">
        <v>187.42222671788556</v>
      </c>
      <c r="K1853" s="78">
        <v>2484.7173103259383</v>
      </c>
      <c r="L1853" s="84">
        <v>72.240000000000009</v>
      </c>
      <c r="M1853" s="53">
        <v>175.80636766237646</v>
      </c>
      <c r="N1853" s="78">
        <v>2433.6429632111908</v>
      </c>
    </row>
    <row r="1854" spans="1:14" ht="19.5" customHeight="1" outlineLevel="1" x14ac:dyDescent="0.2">
      <c r="A1854" s="101">
        <v>26</v>
      </c>
      <c r="B1854" s="81" t="s">
        <v>33</v>
      </c>
      <c r="C1854" s="84">
        <v>3.16</v>
      </c>
      <c r="D1854" s="53">
        <v>9.3856879928918833</v>
      </c>
      <c r="E1854" s="78">
        <v>2970.1544281303422</v>
      </c>
      <c r="F1854" s="84">
        <v>1.65</v>
      </c>
      <c r="G1854" s="53">
        <v>4.9922321875366116</v>
      </c>
      <c r="H1854" s="78">
        <v>3025.5952651737039</v>
      </c>
      <c r="I1854" s="84">
        <v>1.18</v>
      </c>
      <c r="J1854" s="53">
        <v>3.5807992485576272</v>
      </c>
      <c r="K1854" s="78">
        <v>3034.5756343708708</v>
      </c>
      <c r="L1854" s="84">
        <v>1.9966666666666668</v>
      </c>
      <c r="M1854" s="53">
        <v>5.9862398096620408</v>
      </c>
      <c r="N1854" s="78">
        <v>2998.1167661078666</v>
      </c>
    </row>
    <row r="1855" spans="1:14" ht="19.5" customHeight="1" outlineLevel="1" x14ac:dyDescent="0.2">
      <c r="A1855" s="101">
        <v>27</v>
      </c>
      <c r="B1855" s="81" t="s">
        <v>34</v>
      </c>
      <c r="C1855" s="84">
        <v>3.59</v>
      </c>
      <c r="D1855" s="53">
        <v>10.662854396987928</v>
      </c>
      <c r="E1855" s="78">
        <v>2970.1544281303422</v>
      </c>
      <c r="F1855" s="84">
        <v>2.46</v>
      </c>
      <c r="G1855" s="53">
        <v>7.4429643523273112</v>
      </c>
      <c r="H1855" s="78">
        <v>3025.5952651737039</v>
      </c>
      <c r="I1855" s="84">
        <v>2.57</v>
      </c>
      <c r="J1855" s="53">
        <v>7.7988593803331376</v>
      </c>
      <c r="K1855" s="78">
        <v>3034.5756343708708</v>
      </c>
      <c r="L1855" s="84">
        <v>2.8733333333333331</v>
      </c>
      <c r="M1855" s="53">
        <v>8.6348927098827932</v>
      </c>
      <c r="N1855" s="78">
        <v>3005.1830776854272</v>
      </c>
    </row>
    <row r="1856" spans="1:14" ht="19.5" customHeight="1" outlineLevel="1" x14ac:dyDescent="0.2">
      <c r="A1856" s="101">
        <v>28</v>
      </c>
      <c r="B1856" s="81" t="s">
        <v>35</v>
      </c>
      <c r="C1856" s="84">
        <v>2.6</v>
      </c>
      <c r="D1856" s="53">
        <v>7.7224015131388892</v>
      </c>
      <c r="E1856" s="78">
        <v>2970.1544281303422</v>
      </c>
      <c r="F1856" s="84">
        <v>2.77</v>
      </c>
      <c r="G1856" s="53">
        <v>8.3808988845311596</v>
      </c>
      <c r="H1856" s="78">
        <v>3025.5952651737039</v>
      </c>
      <c r="I1856" s="84">
        <v>2.7</v>
      </c>
      <c r="J1856" s="53">
        <v>8.1933542128013528</v>
      </c>
      <c r="K1856" s="78">
        <v>3034.5756343708708</v>
      </c>
      <c r="L1856" s="84">
        <v>2.69</v>
      </c>
      <c r="M1856" s="53">
        <v>8.0988848701571339</v>
      </c>
      <c r="N1856" s="78">
        <v>3010.73786994689</v>
      </c>
    </row>
    <row r="1857" spans="1:14" ht="19.5" customHeight="1" outlineLevel="1" x14ac:dyDescent="0.2">
      <c r="A1857" s="101">
        <v>29</v>
      </c>
      <c r="B1857" s="81" t="s">
        <v>36</v>
      </c>
      <c r="C1857" s="84">
        <v>0.28000000000000003</v>
      </c>
      <c r="D1857" s="53">
        <v>0.83164323987649591</v>
      </c>
      <c r="E1857" s="78">
        <v>2970.1544281303422</v>
      </c>
      <c r="F1857" s="84">
        <v>0.44</v>
      </c>
      <c r="G1857" s="53">
        <v>1.3312619166764299</v>
      </c>
      <c r="H1857" s="78">
        <v>3025.5952651737039</v>
      </c>
      <c r="I1857" s="84">
        <v>0</v>
      </c>
      <c r="J1857" s="53">
        <v>0</v>
      </c>
      <c r="K1857" s="78">
        <v>0</v>
      </c>
      <c r="L1857" s="84">
        <v>0.36</v>
      </c>
      <c r="M1857" s="53">
        <v>1.0814525782764628</v>
      </c>
      <c r="N1857" s="78">
        <v>3004.0349396568413</v>
      </c>
    </row>
    <row r="1858" spans="1:14" ht="19.5" customHeight="1" outlineLevel="1" x14ac:dyDescent="0.2">
      <c r="A1858" s="101">
        <v>30</v>
      </c>
      <c r="B1858" s="81" t="s">
        <v>37</v>
      </c>
      <c r="C1858" s="84">
        <v>0</v>
      </c>
      <c r="D1858" s="53">
        <v>0</v>
      </c>
      <c r="E1858" s="78">
        <v>0</v>
      </c>
      <c r="F1858" s="84">
        <v>0</v>
      </c>
      <c r="G1858" s="53">
        <v>0</v>
      </c>
      <c r="H1858" s="78">
        <v>0</v>
      </c>
      <c r="I1858" s="84">
        <v>0</v>
      </c>
      <c r="J1858" s="53">
        <v>0</v>
      </c>
      <c r="K1858" s="78">
        <v>0</v>
      </c>
      <c r="L1858" s="84">
        <v>0</v>
      </c>
      <c r="M1858" s="53">
        <v>0</v>
      </c>
      <c r="N1858" s="78">
        <v>0</v>
      </c>
    </row>
    <row r="1859" spans="1:14" ht="19.5" customHeight="1" outlineLevel="1" x14ac:dyDescent="0.2">
      <c r="A1859" s="101">
        <v>31</v>
      </c>
      <c r="B1859" s="81" t="s">
        <v>38</v>
      </c>
      <c r="C1859" s="84">
        <v>0</v>
      </c>
      <c r="D1859" s="53">
        <v>0</v>
      </c>
      <c r="E1859" s="78">
        <v>0</v>
      </c>
      <c r="F1859" s="84">
        <v>0</v>
      </c>
      <c r="G1859" s="53">
        <v>0</v>
      </c>
      <c r="H1859" s="78">
        <v>0</v>
      </c>
      <c r="I1859" s="84">
        <v>0</v>
      </c>
      <c r="J1859" s="53">
        <v>0</v>
      </c>
      <c r="K1859" s="78">
        <v>0</v>
      </c>
      <c r="L1859" s="84">
        <v>0</v>
      </c>
      <c r="M1859" s="53">
        <v>0</v>
      </c>
      <c r="N1859" s="78">
        <v>0</v>
      </c>
    </row>
    <row r="1860" spans="1:14" ht="19.5" customHeight="1" outlineLevel="1" x14ac:dyDescent="0.2">
      <c r="A1860" s="101">
        <v>32</v>
      </c>
      <c r="B1860" s="81" t="s">
        <v>39</v>
      </c>
      <c r="C1860" s="84">
        <v>0</v>
      </c>
      <c r="D1860" s="53">
        <v>0</v>
      </c>
      <c r="E1860" s="78">
        <v>0</v>
      </c>
      <c r="F1860" s="84">
        <v>0</v>
      </c>
      <c r="G1860" s="53">
        <v>0</v>
      </c>
      <c r="H1860" s="78">
        <v>0</v>
      </c>
      <c r="I1860" s="84">
        <v>0</v>
      </c>
      <c r="J1860" s="53">
        <v>0</v>
      </c>
      <c r="K1860" s="78">
        <v>0</v>
      </c>
      <c r="L1860" s="84">
        <v>0</v>
      </c>
      <c r="M1860" s="53">
        <v>0</v>
      </c>
      <c r="N1860" s="78">
        <v>0</v>
      </c>
    </row>
    <row r="1861" spans="1:14" ht="19.5" customHeight="1" outlineLevel="1" thickBot="1" x14ac:dyDescent="0.25">
      <c r="A1861" s="102">
        <v>33</v>
      </c>
      <c r="B1861" s="91" t="s">
        <v>40</v>
      </c>
      <c r="C1861" s="92">
        <v>0.44</v>
      </c>
      <c r="D1861" s="93">
        <v>1.3068679483773507</v>
      </c>
      <c r="E1861" s="94">
        <v>2970.1544281303422</v>
      </c>
      <c r="F1861" s="92">
        <v>0.37</v>
      </c>
      <c r="G1861" s="93">
        <v>1.1194702481142704</v>
      </c>
      <c r="H1861" s="94">
        <v>3025.5952651737039</v>
      </c>
      <c r="I1861" s="92">
        <v>0.48</v>
      </c>
      <c r="J1861" s="93">
        <v>1.4565963044980179</v>
      </c>
      <c r="K1861" s="94">
        <v>3034.5756343708708</v>
      </c>
      <c r="L1861" s="92">
        <v>0.43</v>
      </c>
      <c r="M1861" s="93">
        <v>1.2943115003298795</v>
      </c>
      <c r="N1861" s="94">
        <v>3010.026744953208</v>
      </c>
    </row>
    <row r="1862" spans="1:14" ht="19.5" customHeight="1" thickBot="1" x14ac:dyDescent="0.25">
      <c r="A1862" s="151" t="s">
        <v>41</v>
      </c>
      <c r="B1862" s="152"/>
      <c r="C1862" s="96">
        <v>3178.4100000000003</v>
      </c>
      <c r="D1862" s="97">
        <v>9440.3685359137289</v>
      </c>
      <c r="E1862" s="98">
        <v>2970.1544281303318</v>
      </c>
      <c r="F1862" s="96">
        <v>3160.0699999999997</v>
      </c>
      <c r="G1862" s="97">
        <v>9561.0928296175807</v>
      </c>
      <c r="H1862" s="98">
        <v>3025.5952651737402</v>
      </c>
      <c r="I1862" s="96">
        <v>3221.7299999999991</v>
      </c>
      <c r="J1862" s="97">
        <v>9776.5833585216678</v>
      </c>
      <c r="K1862" s="98">
        <v>3034.5756343708726</v>
      </c>
      <c r="L1862" s="96">
        <v>3186.7366666666662</v>
      </c>
      <c r="M1862" s="97">
        <v>9592.6815746843258</v>
      </c>
      <c r="N1862" s="98">
        <v>3010.18960086159</v>
      </c>
    </row>
    <row r="1863" spans="1:14" ht="34.5" customHeight="1" x14ac:dyDescent="0.2">
      <c r="A1863" s="153" t="s">
        <v>247</v>
      </c>
      <c r="B1863" s="154"/>
      <c r="C1863" s="154"/>
      <c r="D1863" s="154"/>
      <c r="E1863" s="154"/>
      <c r="F1863" s="154"/>
      <c r="G1863" s="154"/>
      <c r="H1863" s="154"/>
      <c r="I1863" s="154"/>
      <c r="J1863" s="154"/>
      <c r="K1863" s="154"/>
      <c r="L1863" s="154"/>
      <c r="M1863" s="154"/>
      <c r="N1863" s="154"/>
    </row>
    <row r="1864" spans="1:14" ht="19.5" customHeight="1" thickBot="1" x14ac:dyDescent="0.25">
      <c r="A1864" s="50"/>
      <c r="B1864" s="138" t="s">
        <v>91</v>
      </c>
      <c r="C1864" s="52"/>
      <c r="D1864" s="52"/>
      <c r="E1864" s="52"/>
      <c r="F1864" s="52"/>
      <c r="G1864" s="52"/>
      <c r="H1864" s="52"/>
      <c r="I1864" s="52"/>
      <c r="J1864" s="52"/>
      <c r="K1864" s="155" t="s">
        <v>1</v>
      </c>
      <c r="L1864" s="154"/>
      <c r="M1864" s="154"/>
      <c r="N1864" s="154"/>
    </row>
    <row r="1865" spans="1:14" ht="19.5" customHeight="1" x14ac:dyDescent="0.2">
      <c r="A1865" s="156" t="s">
        <v>2</v>
      </c>
      <c r="B1865" s="158" t="s">
        <v>3</v>
      </c>
      <c r="C1865" s="148" t="s">
        <v>243</v>
      </c>
      <c r="D1865" s="149"/>
      <c r="E1865" s="150"/>
      <c r="F1865" s="148" t="s">
        <v>244</v>
      </c>
      <c r="G1865" s="149"/>
      <c r="H1865" s="150"/>
      <c r="I1865" s="148" t="s">
        <v>246</v>
      </c>
      <c r="J1865" s="149"/>
      <c r="K1865" s="150"/>
      <c r="L1865" s="148" t="s">
        <v>4</v>
      </c>
      <c r="M1865" s="149"/>
      <c r="N1865" s="150"/>
    </row>
    <row r="1866" spans="1:14" ht="19.5" customHeight="1" thickBot="1" x14ac:dyDescent="0.25">
      <c r="A1866" s="157"/>
      <c r="B1866" s="159"/>
      <c r="C1866" s="85" t="s">
        <v>5</v>
      </c>
      <c r="D1866" s="79" t="s">
        <v>6</v>
      </c>
      <c r="E1866" s="80" t="s">
        <v>7</v>
      </c>
      <c r="F1866" s="85" t="s">
        <v>5</v>
      </c>
      <c r="G1866" s="79" t="s">
        <v>6</v>
      </c>
      <c r="H1866" s="80" t="s">
        <v>7</v>
      </c>
      <c r="I1866" s="85" t="s">
        <v>5</v>
      </c>
      <c r="J1866" s="79" t="s">
        <v>6</v>
      </c>
      <c r="K1866" s="80" t="s">
        <v>7</v>
      </c>
      <c r="L1866" s="85" t="s">
        <v>5</v>
      </c>
      <c r="M1866" s="79" t="s">
        <v>6</v>
      </c>
      <c r="N1866" s="80" t="s">
        <v>7</v>
      </c>
    </row>
    <row r="1867" spans="1:14" ht="19.5" customHeight="1" outlineLevel="1" x14ac:dyDescent="0.2">
      <c r="A1867" s="100">
        <v>1</v>
      </c>
      <c r="B1867" s="86" t="s">
        <v>8</v>
      </c>
      <c r="C1867" s="87">
        <v>23.84</v>
      </c>
      <c r="D1867" s="88">
        <v>46.684497135163866</v>
      </c>
      <c r="E1867" s="89">
        <v>1958.2423294951286</v>
      </c>
      <c r="F1867" s="87">
        <v>43.27</v>
      </c>
      <c r="G1867" s="88">
        <v>81.957706999999999</v>
      </c>
      <c r="H1867" s="89">
        <v>1894.1</v>
      </c>
      <c r="I1867" s="87">
        <v>46.23</v>
      </c>
      <c r="J1867" s="88">
        <v>103.37967071155461</v>
      </c>
      <c r="K1867" s="89">
        <v>2236.2031302521009</v>
      </c>
      <c r="L1867" s="87">
        <v>37.78</v>
      </c>
      <c r="M1867" s="88">
        <v>77.340624948906154</v>
      </c>
      <c r="N1867" s="89">
        <v>2047.1314173876697</v>
      </c>
    </row>
    <row r="1868" spans="1:14" ht="19.5" customHeight="1" outlineLevel="1" x14ac:dyDescent="0.2">
      <c r="A1868" s="101">
        <v>2</v>
      </c>
      <c r="B1868" s="81" t="s">
        <v>9</v>
      </c>
      <c r="C1868" s="84">
        <v>250.97</v>
      </c>
      <c r="D1868" s="53">
        <v>545.56366389536322</v>
      </c>
      <c r="E1868" s="78">
        <v>2173.8202330771137</v>
      </c>
      <c r="F1868" s="84">
        <v>289.74</v>
      </c>
      <c r="G1868" s="53">
        <v>664.70778558714471</v>
      </c>
      <c r="H1868" s="78">
        <v>2294.1526388732818</v>
      </c>
      <c r="I1868" s="84">
        <v>262.19</v>
      </c>
      <c r="J1868" s="53">
        <v>638.13643222777557</v>
      </c>
      <c r="K1868" s="78">
        <v>2433.8702171241298</v>
      </c>
      <c r="L1868" s="84">
        <v>267.63333333333338</v>
      </c>
      <c r="M1868" s="53">
        <v>616.13596057009454</v>
      </c>
      <c r="N1868" s="78">
        <v>2302.1645058043132</v>
      </c>
    </row>
    <row r="1869" spans="1:14" ht="19.5" customHeight="1" outlineLevel="1" x14ac:dyDescent="0.2">
      <c r="A1869" s="101">
        <v>3</v>
      </c>
      <c r="B1869" s="81" t="s">
        <v>10</v>
      </c>
      <c r="C1869" s="84">
        <v>0.28000000000000003</v>
      </c>
      <c r="D1869" s="53">
        <v>0.64249593505459379</v>
      </c>
      <c r="E1869" s="78">
        <v>2294.6283394806919</v>
      </c>
      <c r="F1869" s="84">
        <v>1.02</v>
      </c>
      <c r="G1869" s="53">
        <v>2.3049960618222478</v>
      </c>
      <c r="H1869" s="78">
        <v>2259.8000606100468</v>
      </c>
      <c r="I1869" s="84">
        <v>1</v>
      </c>
      <c r="J1869" s="53">
        <v>2.3929279955236775</v>
      </c>
      <c r="K1869" s="78">
        <v>2392.9279955236775</v>
      </c>
      <c r="L1869" s="84">
        <v>0.76666666666666661</v>
      </c>
      <c r="M1869" s="53">
        <v>1.7801399974668399</v>
      </c>
      <c r="N1869" s="78">
        <v>2321.9217358263131</v>
      </c>
    </row>
    <row r="1870" spans="1:14" ht="19.5" customHeight="1" outlineLevel="1" x14ac:dyDescent="0.2">
      <c r="A1870" s="101">
        <v>4</v>
      </c>
      <c r="B1870" s="81" t="s">
        <v>11</v>
      </c>
      <c r="C1870" s="84">
        <v>10.09</v>
      </c>
      <c r="D1870" s="53">
        <v>23.092982999999997</v>
      </c>
      <c r="E1870" s="78">
        <v>2288.6999999999998</v>
      </c>
      <c r="F1870" s="84">
        <v>12.89</v>
      </c>
      <c r="G1870" s="53">
        <v>30.160150900000001</v>
      </c>
      <c r="H1870" s="78">
        <v>2339.81</v>
      </c>
      <c r="I1870" s="84">
        <v>17.170000000000002</v>
      </c>
      <c r="J1870" s="53">
        <v>42.078519</v>
      </c>
      <c r="K1870" s="78">
        <v>2450.6999999999998</v>
      </c>
      <c r="L1870" s="84">
        <v>13.383333333333335</v>
      </c>
      <c r="M1870" s="53">
        <v>31.777217633333333</v>
      </c>
      <c r="N1870" s="78">
        <v>2374.3873698630136</v>
      </c>
    </row>
    <row r="1871" spans="1:14" ht="19.5" customHeight="1" outlineLevel="1" x14ac:dyDescent="0.2">
      <c r="A1871" s="101">
        <v>5</v>
      </c>
      <c r="B1871" s="81" t="s">
        <v>12</v>
      </c>
      <c r="C1871" s="84">
        <v>14.53</v>
      </c>
      <c r="D1871" s="53">
        <v>38.668689000000001</v>
      </c>
      <c r="E1871" s="78">
        <v>2661.3</v>
      </c>
      <c r="F1871" s="84">
        <v>25.95</v>
      </c>
      <c r="G1871" s="53">
        <v>56.189535000000006</v>
      </c>
      <c r="H1871" s="78">
        <v>2165.3000000000002</v>
      </c>
      <c r="I1871" s="84">
        <v>22.52</v>
      </c>
      <c r="J1871" s="53">
        <v>49.163411999999994</v>
      </c>
      <c r="K1871" s="78">
        <v>2183.1</v>
      </c>
      <c r="L1871" s="84">
        <v>21</v>
      </c>
      <c r="M1871" s="53">
        <v>48.007212000000003</v>
      </c>
      <c r="N1871" s="78">
        <v>2286.0577142857142</v>
      </c>
    </row>
    <row r="1872" spans="1:14" ht="19.5" customHeight="1" outlineLevel="1" x14ac:dyDescent="0.2">
      <c r="A1872" s="101">
        <v>6</v>
      </c>
      <c r="B1872" s="81" t="s">
        <v>13</v>
      </c>
      <c r="C1872" s="84">
        <v>11.27</v>
      </c>
      <c r="D1872" s="53">
        <v>25.860461385947396</v>
      </c>
      <c r="E1872" s="78">
        <v>2294.6283394806919</v>
      </c>
      <c r="F1872" s="84">
        <v>13.76</v>
      </c>
      <c r="G1872" s="53">
        <v>31.094848833994245</v>
      </c>
      <c r="H1872" s="78">
        <v>2259.8000606100468</v>
      </c>
      <c r="I1872" s="84">
        <v>9.68</v>
      </c>
      <c r="J1872" s="53">
        <v>23.1635429966692</v>
      </c>
      <c r="K1872" s="78">
        <v>2392.9279955236775</v>
      </c>
      <c r="L1872" s="84">
        <v>11.57</v>
      </c>
      <c r="M1872" s="53">
        <v>26.706284405536945</v>
      </c>
      <c r="N1872" s="78">
        <v>2308.2354715243687</v>
      </c>
    </row>
    <row r="1873" spans="1:14" ht="19.5" customHeight="1" outlineLevel="1" x14ac:dyDescent="0.2">
      <c r="A1873" s="101">
        <v>7</v>
      </c>
      <c r="B1873" s="81" t="s">
        <v>14</v>
      </c>
      <c r="C1873" s="84">
        <v>0.01</v>
      </c>
      <c r="D1873" s="53">
        <v>2.2946283394806918E-2</v>
      </c>
      <c r="E1873" s="78">
        <v>2294.6283394806919</v>
      </c>
      <c r="F1873" s="84">
        <v>0.06</v>
      </c>
      <c r="G1873" s="53">
        <v>0.13558800363660278</v>
      </c>
      <c r="H1873" s="78">
        <v>2259.8000606100468</v>
      </c>
      <c r="I1873" s="84">
        <v>0.13</v>
      </c>
      <c r="J1873" s="53">
        <v>0.31108063941807806</v>
      </c>
      <c r="K1873" s="78">
        <v>2392.9279955236775</v>
      </c>
      <c r="L1873" s="84">
        <v>6.6666666666666666E-2</v>
      </c>
      <c r="M1873" s="53">
        <v>0.15653830881649591</v>
      </c>
      <c r="N1873" s="78">
        <v>2348.0746322474388</v>
      </c>
    </row>
    <row r="1874" spans="1:14" ht="19.5" customHeight="1" outlineLevel="1" x14ac:dyDescent="0.2">
      <c r="A1874" s="101">
        <v>8</v>
      </c>
      <c r="B1874" s="81" t="s">
        <v>15</v>
      </c>
      <c r="C1874" s="84">
        <v>0</v>
      </c>
      <c r="D1874" s="53">
        <v>0</v>
      </c>
      <c r="E1874" s="78">
        <v>0</v>
      </c>
      <c r="F1874" s="84">
        <v>0</v>
      </c>
      <c r="G1874" s="53">
        <v>0</v>
      </c>
      <c r="H1874" s="78">
        <v>0</v>
      </c>
      <c r="I1874" s="84">
        <v>0</v>
      </c>
      <c r="J1874" s="53">
        <v>0</v>
      </c>
      <c r="K1874" s="78">
        <v>0</v>
      </c>
      <c r="L1874" s="84">
        <v>0</v>
      </c>
      <c r="M1874" s="53">
        <v>0</v>
      </c>
      <c r="N1874" s="78">
        <v>0</v>
      </c>
    </row>
    <row r="1875" spans="1:14" ht="19.5" customHeight="1" outlineLevel="1" x14ac:dyDescent="0.2">
      <c r="A1875" s="101">
        <v>9</v>
      </c>
      <c r="B1875" s="81" t="s">
        <v>16</v>
      </c>
      <c r="C1875" s="84">
        <v>0.98</v>
      </c>
      <c r="D1875" s="53">
        <v>2.2487357726910782</v>
      </c>
      <c r="E1875" s="78">
        <v>2294.6283394806919</v>
      </c>
      <c r="F1875" s="84">
        <v>5.77</v>
      </c>
      <c r="G1875" s="53">
        <v>13.039046349719969</v>
      </c>
      <c r="H1875" s="78">
        <v>2259.8000606100468</v>
      </c>
      <c r="I1875" s="84">
        <v>10.6</v>
      </c>
      <c r="J1875" s="53">
        <v>25.365036752550978</v>
      </c>
      <c r="K1875" s="78">
        <v>2392.9279955236775</v>
      </c>
      <c r="L1875" s="84">
        <v>5.7833333333333341</v>
      </c>
      <c r="M1875" s="53">
        <v>13.550939624987342</v>
      </c>
      <c r="N1875" s="78">
        <v>2343.1019524473786</v>
      </c>
    </row>
    <row r="1876" spans="1:14" ht="19.5" customHeight="1" outlineLevel="1" x14ac:dyDescent="0.2">
      <c r="A1876" s="101">
        <v>10</v>
      </c>
      <c r="B1876" s="81" t="s">
        <v>17</v>
      </c>
      <c r="C1876" s="84">
        <v>6.15</v>
      </c>
      <c r="D1876" s="53">
        <v>20.132947500000004</v>
      </c>
      <c r="E1876" s="78">
        <v>3273.65</v>
      </c>
      <c r="F1876" s="84">
        <v>4.25</v>
      </c>
      <c r="G1876" s="53">
        <v>13.405222500000001</v>
      </c>
      <c r="H1876" s="78">
        <v>3154.17</v>
      </c>
      <c r="I1876" s="84">
        <v>6.2</v>
      </c>
      <c r="J1876" s="53">
        <v>19.229795999999997</v>
      </c>
      <c r="K1876" s="78">
        <v>3101.58</v>
      </c>
      <c r="L1876" s="84">
        <v>5.5333333333333341</v>
      </c>
      <c r="M1876" s="53">
        <v>17.589321999999999</v>
      </c>
      <c r="N1876" s="78">
        <v>3178.7931325301201</v>
      </c>
    </row>
    <row r="1877" spans="1:14" ht="19.5" customHeight="1" outlineLevel="1" x14ac:dyDescent="0.2">
      <c r="A1877" s="101">
        <v>11</v>
      </c>
      <c r="B1877" s="81" t="s">
        <v>18</v>
      </c>
      <c r="C1877" s="84">
        <v>18.010000000000002</v>
      </c>
      <c r="D1877" s="53">
        <v>47.554329948104261</v>
      </c>
      <c r="E1877" s="78">
        <v>2640.4403080568718</v>
      </c>
      <c r="F1877" s="84">
        <v>13.75</v>
      </c>
      <c r="G1877" s="53">
        <v>35.635599999999997</v>
      </c>
      <c r="H1877" s="78">
        <v>2591.6799999999998</v>
      </c>
      <c r="I1877" s="84">
        <v>19.88</v>
      </c>
      <c r="J1877" s="53">
        <v>47.571408551010705</v>
      </c>
      <c r="K1877" s="78">
        <v>2392.9279955236775</v>
      </c>
      <c r="L1877" s="84">
        <v>17.213333333333335</v>
      </c>
      <c r="M1877" s="53">
        <v>43.587112833038326</v>
      </c>
      <c r="N1877" s="78">
        <v>2532.1715433600884</v>
      </c>
    </row>
    <row r="1878" spans="1:14" ht="19.5" customHeight="1" outlineLevel="1" x14ac:dyDescent="0.2">
      <c r="A1878" s="101">
        <v>12</v>
      </c>
      <c r="B1878" s="81" t="s">
        <v>19</v>
      </c>
      <c r="C1878" s="84">
        <v>7.5</v>
      </c>
      <c r="D1878" s="53">
        <v>11.367149999999997</v>
      </c>
      <c r="E1878" s="78">
        <v>1515.6199999999997</v>
      </c>
      <c r="F1878" s="84">
        <v>8.44</v>
      </c>
      <c r="G1878" s="53">
        <v>13.044526399999997</v>
      </c>
      <c r="H1878" s="78">
        <v>1545.5599999999997</v>
      </c>
      <c r="I1878" s="84">
        <v>6.33</v>
      </c>
      <c r="J1878" s="53">
        <v>10.6045224</v>
      </c>
      <c r="K1878" s="78">
        <v>1675.28</v>
      </c>
      <c r="L1878" s="84">
        <v>7.4233333333333329</v>
      </c>
      <c r="M1878" s="53">
        <v>11.672066266666667</v>
      </c>
      <c r="N1878" s="78">
        <v>1572.3483969465649</v>
      </c>
    </row>
    <row r="1879" spans="1:14" ht="19.5" customHeight="1" outlineLevel="1" x14ac:dyDescent="0.2">
      <c r="A1879" s="101">
        <v>13</v>
      </c>
      <c r="B1879" s="81" t="s">
        <v>20</v>
      </c>
      <c r="C1879" s="84">
        <v>1.36</v>
      </c>
      <c r="D1879" s="53">
        <v>3.1206945416937408</v>
      </c>
      <c r="E1879" s="78">
        <v>2294.6283394806919</v>
      </c>
      <c r="F1879" s="84">
        <v>1.05</v>
      </c>
      <c r="G1879" s="53">
        <v>2.3727900636405495</v>
      </c>
      <c r="H1879" s="78">
        <v>2259.8000606100468</v>
      </c>
      <c r="I1879" s="84">
        <v>1.27</v>
      </c>
      <c r="J1879" s="53">
        <v>3.0390185543150707</v>
      </c>
      <c r="K1879" s="78">
        <v>2392.9279955236775</v>
      </c>
      <c r="L1879" s="84">
        <v>1.2266666666666668</v>
      </c>
      <c r="M1879" s="53">
        <v>2.8441677198831203</v>
      </c>
      <c r="N1879" s="78">
        <v>2318.6149890351521</v>
      </c>
    </row>
    <row r="1880" spans="1:14" ht="19.5" customHeight="1" outlineLevel="1" x14ac:dyDescent="0.2">
      <c r="A1880" s="101">
        <v>14</v>
      </c>
      <c r="B1880" s="81" t="s">
        <v>21</v>
      </c>
      <c r="C1880" s="84">
        <v>1</v>
      </c>
      <c r="D1880" s="53">
        <v>2.2946283394806919</v>
      </c>
      <c r="E1880" s="78">
        <v>2294.6283394806919</v>
      </c>
      <c r="F1880" s="84">
        <v>0</v>
      </c>
      <c r="G1880" s="53">
        <v>0</v>
      </c>
      <c r="H1880" s="78">
        <v>0</v>
      </c>
      <c r="I1880" s="84">
        <v>0</v>
      </c>
      <c r="J1880" s="53">
        <v>0</v>
      </c>
      <c r="K1880" s="78">
        <v>0</v>
      </c>
      <c r="L1880" s="84">
        <v>1</v>
      </c>
      <c r="M1880" s="53">
        <v>2.2946283394806919</v>
      </c>
      <c r="N1880" s="78">
        <v>2294.6283394806919</v>
      </c>
    </row>
    <row r="1881" spans="1:14" ht="19.5" customHeight="1" outlineLevel="1" x14ac:dyDescent="0.2">
      <c r="A1881" s="101">
        <v>15</v>
      </c>
      <c r="B1881" s="81" t="s">
        <v>22</v>
      </c>
      <c r="C1881" s="84">
        <v>11.65</v>
      </c>
      <c r="D1881" s="53">
        <v>29.150107758620688</v>
      </c>
      <c r="E1881" s="78">
        <v>2502.155172413793</v>
      </c>
      <c r="F1881" s="84">
        <v>17.55</v>
      </c>
      <c r="G1881" s="53">
        <v>31.870799999999996</v>
      </c>
      <c r="H1881" s="78">
        <v>1815.9999999999998</v>
      </c>
      <c r="I1881" s="84">
        <v>21.54</v>
      </c>
      <c r="J1881" s="53">
        <v>43.8339</v>
      </c>
      <c r="K1881" s="78">
        <v>2035.0000000000002</v>
      </c>
      <c r="L1881" s="84">
        <v>16.913333333333334</v>
      </c>
      <c r="M1881" s="53">
        <v>34.951602586206896</v>
      </c>
      <c r="N1881" s="78">
        <v>2066.5117808163318</v>
      </c>
    </row>
    <row r="1882" spans="1:14" ht="19.5" customHeight="1" outlineLevel="1" x14ac:dyDescent="0.2">
      <c r="A1882" s="101">
        <v>16</v>
      </c>
      <c r="B1882" s="81" t="s">
        <v>23</v>
      </c>
      <c r="C1882" s="84">
        <v>11.4</v>
      </c>
      <c r="D1882" s="53">
        <v>26.158763070079889</v>
      </c>
      <c r="E1882" s="78">
        <v>2294.6283394806919</v>
      </c>
      <c r="F1882" s="84">
        <v>13.91</v>
      </c>
      <c r="G1882" s="53">
        <v>24.467133599999997</v>
      </c>
      <c r="H1882" s="78">
        <v>1758.9599999999998</v>
      </c>
      <c r="I1882" s="84">
        <v>14.48</v>
      </c>
      <c r="J1882" s="53">
        <v>24.047225600000001</v>
      </c>
      <c r="K1882" s="78">
        <v>1660.72</v>
      </c>
      <c r="L1882" s="84">
        <v>13.263333333333335</v>
      </c>
      <c r="M1882" s="53">
        <v>24.891040756693297</v>
      </c>
      <c r="N1882" s="78">
        <v>1876.6806300598109</v>
      </c>
    </row>
    <row r="1883" spans="1:14" ht="19.5" customHeight="1" outlineLevel="1" x14ac:dyDescent="0.2">
      <c r="A1883" s="101">
        <v>17</v>
      </c>
      <c r="B1883" s="81" t="s">
        <v>24</v>
      </c>
      <c r="C1883" s="84">
        <v>28.56</v>
      </c>
      <c r="D1883" s="53">
        <v>85.171632000000002</v>
      </c>
      <c r="E1883" s="78">
        <v>2982.2000000000003</v>
      </c>
      <c r="F1883" s="84">
        <v>13.45</v>
      </c>
      <c r="G1883" s="53">
        <v>39.674660117302054</v>
      </c>
      <c r="H1883" s="78">
        <v>2949.7888563049855</v>
      </c>
      <c r="I1883" s="84">
        <v>7.55</v>
      </c>
      <c r="J1883" s="53">
        <v>20.286850000000001</v>
      </c>
      <c r="K1883" s="78">
        <v>2687.0000000000005</v>
      </c>
      <c r="L1883" s="84">
        <v>16.52</v>
      </c>
      <c r="M1883" s="53">
        <v>48.377714039100681</v>
      </c>
      <c r="N1883" s="78">
        <v>2928.4330532143272</v>
      </c>
    </row>
    <row r="1884" spans="1:14" ht="19.5" customHeight="1" outlineLevel="1" x14ac:dyDescent="0.2">
      <c r="A1884" s="101">
        <v>18</v>
      </c>
      <c r="B1884" s="81" t="s">
        <v>25</v>
      </c>
      <c r="C1884" s="84">
        <v>82.54</v>
      </c>
      <c r="D1884" s="53">
        <v>201.89835225927106</v>
      </c>
      <c r="E1884" s="78">
        <v>2446.0667828843111</v>
      </c>
      <c r="F1884" s="84">
        <v>76.72</v>
      </c>
      <c r="G1884" s="53">
        <v>185.95039262924013</v>
      </c>
      <c r="H1884" s="78">
        <v>2423.753814249741</v>
      </c>
      <c r="I1884" s="84">
        <v>67.680000000000007</v>
      </c>
      <c r="J1884" s="53">
        <v>182.33709023255818</v>
      </c>
      <c r="K1884" s="78">
        <v>2694.105943152455</v>
      </c>
      <c r="L1884" s="84">
        <v>75.646666666666661</v>
      </c>
      <c r="M1884" s="53">
        <v>190.06194504035648</v>
      </c>
      <c r="N1884" s="78">
        <v>2512.4959686307811</v>
      </c>
    </row>
    <row r="1885" spans="1:14" ht="19.5" customHeight="1" outlineLevel="1" x14ac:dyDescent="0.2">
      <c r="A1885" s="101">
        <v>19</v>
      </c>
      <c r="B1885" s="81" t="s">
        <v>26</v>
      </c>
      <c r="C1885" s="84">
        <v>2.13</v>
      </c>
      <c r="D1885" s="53">
        <v>4.8875583630938735</v>
      </c>
      <c r="E1885" s="78">
        <v>2294.6283394806919</v>
      </c>
      <c r="F1885" s="84">
        <v>1.08</v>
      </c>
      <c r="G1885" s="53">
        <v>2.4405840654588506</v>
      </c>
      <c r="H1885" s="78">
        <v>2259.8000606100468</v>
      </c>
      <c r="I1885" s="84">
        <v>1.27</v>
      </c>
      <c r="J1885" s="53">
        <v>3.0390185543150707</v>
      </c>
      <c r="K1885" s="78">
        <v>2392.9279955236775</v>
      </c>
      <c r="L1885" s="84">
        <v>1.4933333333333334</v>
      </c>
      <c r="M1885" s="53">
        <v>3.4557203276225983</v>
      </c>
      <c r="N1885" s="78">
        <v>2314.098433675847</v>
      </c>
    </row>
    <row r="1886" spans="1:14" ht="19.5" customHeight="1" outlineLevel="1" x14ac:dyDescent="0.2">
      <c r="A1886" s="101">
        <v>20</v>
      </c>
      <c r="B1886" s="81" t="s">
        <v>27</v>
      </c>
      <c r="C1886" s="84">
        <v>0.1</v>
      </c>
      <c r="D1886" s="53">
        <v>0.22946283394806921</v>
      </c>
      <c r="E1886" s="78">
        <v>2294.6283394806919</v>
      </c>
      <c r="F1886" s="84">
        <v>0.08</v>
      </c>
      <c r="G1886" s="53">
        <v>0.18078400484880372</v>
      </c>
      <c r="H1886" s="78">
        <v>2259.8000606100468</v>
      </c>
      <c r="I1886" s="84">
        <v>0.1</v>
      </c>
      <c r="J1886" s="53">
        <v>0.23929279955236776</v>
      </c>
      <c r="K1886" s="78">
        <v>2392.9279955236775</v>
      </c>
      <c r="L1886" s="84">
        <v>9.3333333333333338E-2</v>
      </c>
      <c r="M1886" s="53">
        <v>0.21651321278308022</v>
      </c>
      <c r="N1886" s="78">
        <v>2319.7844226758593</v>
      </c>
    </row>
    <row r="1887" spans="1:14" ht="19.5" customHeight="1" outlineLevel="1" x14ac:dyDescent="0.2">
      <c r="A1887" s="101">
        <v>21</v>
      </c>
      <c r="B1887" s="81" t="s">
        <v>28</v>
      </c>
      <c r="C1887" s="84">
        <v>5.07</v>
      </c>
      <c r="D1887" s="53">
        <v>11.633765681167109</v>
      </c>
      <c r="E1887" s="78">
        <v>2294.6283394806919</v>
      </c>
      <c r="F1887" s="84">
        <v>5.12</v>
      </c>
      <c r="G1887" s="53">
        <v>11.570176310323438</v>
      </c>
      <c r="H1887" s="78">
        <v>2259.8000606100468</v>
      </c>
      <c r="I1887" s="84">
        <v>4.88</v>
      </c>
      <c r="J1887" s="53">
        <v>11.677488618155547</v>
      </c>
      <c r="K1887" s="78">
        <v>2392.9279955236775</v>
      </c>
      <c r="L1887" s="84">
        <v>5.0233333333333334</v>
      </c>
      <c r="M1887" s="53">
        <v>11.627143536548695</v>
      </c>
      <c r="N1887" s="78">
        <v>2314.6271141105567</v>
      </c>
    </row>
    <row r="1888" spans="1:14" ht="19.5" customHeight="1" outlineLevel="1" x14ac:dyDescent="0.2">
      <c r="A1888" s="101">
        <v>22</v>
      </c>
      <c r="B1888" s="81" t="s">
        <v>29</v>
      </c>
      <c r="C1888" s="84">
        <v>3.59</v>
      </c>
      <c r="D1888" s="53">
        <v>8.2377157387356839</v>
      </c>
      <c r="E1888" s="78">
        <v>2294.6283394806919</v>
      </c>
      <c r="F1888" s="84">
        <v>3.14</v>
      </c>
      <c r="G1888" s="53">
        <v>7.0957721903155466</v>
      </c>
      <c r="H1888" s="78">
        <v>2259.8000606100468</v>
      </c>
      <c r="I1888" s="84">
        <v>2.97</v>
      </c>
      <c r="J1888" s="53">
        <v>7.1069961467053222</v>
      </c>
      <c r="K1888" s="78">
        <v>2392.9279955236775</v>
      </c>
      <c r="L1888" s="84">
        <v>3.2333333333333338</v>
      </c>
      <c r="M1888" s="53">
        <v>7.4801613585855167</v>
      </c>
      <c r="N1888" s="78">
        <v>2313.4519665728399</v>
      </c>
    </row>
    <row r="1889" spans="1:14" ht="19.5" customHeight="1" outlineLevel="1" x14ac:dyDescent="0.2">
      <c r="A1889" s="101">
        <v>23</v>
      </c>
      <c r="B1889" s="81" t="s">
        <v>30</v>
      </c>
      <c r="C1889" s="84">
        <v>16.38</v>
      </c>
      <c r="D1889" s="53">
        <v>34.094817120000002</v>
      </c>
      <c r="E1889" s="78">
        <v>2081.4906666666666</v>
      </c>
      <c r="F1889" s="84">
        <v>17.78</v>
      </c>
      <c r="G1889" s="53">
        <v>40.305448025477709</v>
      </c>
      <c r="H1889" s="78">
        <v>2266.8980891719743</v>
      </c>
      <c r="I1889" s="84">
        <v>16.34</v>
      </c>
      <c r="J1889" s="53">
        <v>36.237809394101873</v>
      </c>
      <c r="K1889" s="78">
        <v>2217.7361930294906</v>
      </c>
      <c r="L1889" s="84">
        <v>16.833333333333332</v>
      </c>
      <c r="M1889" s="53">
        <v>36.879358179859857</v>
      </c>
      <c r="N1889" s="78">
        <v>2190.8529611797935</v>
      </c>
    </row>
    <row r="1890" spans="1:14" ht="19.5" customHeight="1" outlineLevel="1" x14ac:dyDescent="0.2">
      <c r="A1890" s="101">
        <v>24</v>
      </c>
      <c r="B1890" s="81" t="s">
        <v>31</v>
      </c>
      <c r="C1890" s="84">
        <v>5.89</v>
      </c>
      <c r="D1890" s="53">
        <v>10.837599999999998</v>
      </c>
      <c r="E1890" s="78">
        <v>1839.9999999999998</v>
      </c>
      <c r="F1890" s="84">
        <v>6.05</v>
      </c>
      <c r="G1890" s="53">
        <v>13.671790366690782</v>
      </c>
      <c r="H1890" s="78">
        <v>2259.8000606100468</v>
      </c>
      <c r="I1890" s="84">
        <v>5.49</v>
      </c>
      <c r="J1890" s="53">
        <v>13.13717469542499</v>
      </c>
      <c r="K1890" s="78">
        <v>2392.9279955236775</v>
      </c>
      <c r="L1890" s="84">
        <v>5.81</v>
      </c>
      <c r="M1890" s="53">
        <v>12.548855020705256</v>
      </c>
      <c r="N1890" s="78">
        <v>2159.8717763692352</v>
      </c>
    </row>
    <row r="1891" spans="1:14" ht="19.5" customHeight="1" outlineLevel="1" x14ac:dyDescent="0.2">
      <c r="A1891" s="101">
        <v>25</v>
      </c>
      <c r="B1891" s="81" t="s">
        <v>32</v>
      </c>
      <c r="C1891" s="84">
        <v>0</v>
      </c>
      <c r="D1891" s="53">
        <v>0</v>
      </c>
      <c r="E1891" s="78">
        <v>0</v>
      </c>
      <c r="F1891" s="84">
        <v>0.06</v>
      </c>
      <c r="G1891" s="53">
        <v>0.13558800363660278</v>
      </c>
      <c r="H1891" s="78">
        <v>2259.8000606100468</v>
      </c>
      <c r="I1891" s="84">
        <v>0.2</v>
      </c>
      <c r="J1891" s="53">
        <v>0.47858559910473553</v>
      </c>
      <c r="K1891" s="78">
        <v>2392.9279955236775</v>
      </c>
      <c r="L1891" s="84">
        <v>0.13</v>
      </c>
      <c r="M1891" s="53">
        <v>0.30708680137066913</v>
      </c>
      <c r="N1891" s="78">
        <v>2362.2061643897628</v>
      </c>
    </row>
    <row r="1892" spans="1:14" ht="19.5" customHeight="1" outlineLevel="1" x14ac:dyDescent="0.2">
      <c r="A1892" s="101">
        <v>26</v>
      </c>
      <c r="B1892" s="81" t="s">
        <v>33</v>
      </c>
      <c r="C1892" s="84">
        <v>4.54</v>
      </c>
      <c r="D1892" s="53">
        <v>10.417612661242341</v>
      </c>
      <c r="E1892" s="78">
        <v>2294.6283394806919</v>
      </c>
      <c r="F1892" s="84">
        <v>3.07</v>
      </c>
      <c r="G1892" s="53">
        <v>6.9375861860728438</v>
      </c>
      <c r="H1892" s="78">
        <v>2259.8000606100468</v>
      </c>
      <c r="I1892" s="84">
        <v>0.8</v>
      </c>
      <c r="J1892" s="53">
        <v>1.9143423964189421</v>
      </c>
      <c r="K1892" s="78">
        <v>2392.9279955236775</v>
      </c>
      <c r="L1892" s="84">
        <v>2.8033333333333332</v>
      </c>
      <c r="M1892" s="53">
        <v>6.4231804145780425</v>
      </c>
      <c r="N1892" s="78">
        <v>2291.2653084107169</v>
      </c>
    </row>
    <row r="1893" spans="1:14" ht="19.5" customHeight="1" outlineLevel="1" x14ac:dyDescent="0.2">
      <c r="A1893" s="101">
        <v>27</v>
      </c>
      <c r="B1893" s="81" t="s">
        <v>34</v>
      </c>
      <c r="C1893" s="84">
        <v>0.33</v>
      </c>
      <c r="D1893" s="53">
        <v>0.75722735202862834</v>
      </c>
      <c r="E1893" s="78">
        <v>2294.6283394806919</v>
      </c>
      <c r="F1893" s="84">
        <v>0.31</v>
      </c>
      <c r="G1893" s="53">
        <v>0.70053801878911448</v>
      </c>
      <c r="H1893" s="78">
        <v>2259.8000606100468</v>
      </c>
      <c r="I1893" s="84">
        <v>0.51</v>
      </c>
      <c r="J1893" s="53">
        <v>1.2203932777170756</v>
      </c>
      <c r="K1893" s="78">
        <v>2392.9279955236775</v>
      </c>
      <c r="L1893" s="84">
        <v>0.3833333333333333</v>
      </c>
      <c r="M1893" s="53">
        <v>0.89271954951160615</v>
      </c>
      <c r="N1893" s="78">
        <v>2328.8336074215813</v>
      </c>
    </row>
    <row r="1894" spans="1:14" ht="19.5" customHeight="1" outlineLevel="1" x14ac:dyDescent="0.2">
      <c r="A1894" s="101">
        <v>28</v>
      </c>
      <c r="B1894" s="81" t="s">
        <v>35</v>
      </c>
      <c r="C1894" s="84">
        <v>1.71</v>
      </c>
      <c r="D1894" s="53">
        <v>3.9238144605119833</v>
      </c>
      <c r="E1894" s="78">
        <v>2294.6283394806919</v>
      </c>
      <c r="F1894" s="84">
        <v>1.22</v>
      </c>
      <c r="G1894" s="53">
        <v>2.7569560739442571</v>
      </c>
      <c r="H1894" s="78">
        <v>2259.8000606100468</v>
      </c>
      <c r="I1894" s="84">
        <v>1.01</v>
      </c>
      <c r="J1894" s="53">
        <v>2.4168572754789142</v>
      </c>
      <c r="K1894" s="78">
        <v>2392.9279955236775</v>
      </c>
      <c r="L1894" s="84">
        <v>1.3133333333333332</v>
      </c>
      <c r="M1894" s="53">
        <v>3.0325426033117182</v>
      </c>
      <c r="N1894" s="78">
        <v>2309.0425913541003</v>
      </c>
    </row>
    <row r="1895" spans="1:14" ht="19.5" customHeight="1" outlineLevel="1" x14ac:dyDescent="0.2">
      <c r="A1895" s="101">
        <v>29</v>
      </c>
      <c r="B1895" s="81" t="s">
        <v>36</v>
      </c>
      <c r="C1895" s="84">
        <v>3.57</v>
      </c>
      <c r="D1895" s="53">
        <v>8.1918231719460692</v>
      </c>
      <c r="E1895" s="78">
        <v>2294.6283394806919</v>
      </c>
      <c r="F1895" s="84">
        <v>4.97</v>
      </c>
      <c r="G1895" s="53">
        <v>11.231206301231932</v>
      </c>
      <c r="H1895" s="78">
        <v>2259.8000606100468</v>
      </c>
      <c r="I1895" s="84">
        <v>1.26</v>
      </c>
      <c r="J1895" s="53">
        <v>3.0150892743598336</v>
      </c>
      <c r="K1895" s="78">
        <v>2392.9279955236775</v>
      </c>
      <c r="L1895" s="84">
        <v>3.2666666666666662</v>
      </c>
      <c r="M1895" s="53">
        <v>7.4793729158459454</v>
      </c>
      <c r="N1895" s="78">
        <v>2289.6039538303917</v>
      </c>
    </row>
    <row r="1896" spans="1:14" ht="19.5" customHeight="1" outlineLevel="1" x14ac:dyDescent="0.2">
      <c r="A1896" s="101">
        <v>30</v>
      </c>
      <c r="B1896" s="81" t="s">
        <v>37</v>
      </c>
      <c r="C1896" s="84">
        <v>1.1200000000000001</v>
      </c>
      <c r="D1896" s="53">
        <v>2.5699837402183752</v>
      </c>
      <c r="E1896" s="78">
        <v>2294.6283394806919</v>
      </c>
      <c r="F1896" s="84">
        <v>3.49</v>
      </c>
      <c r="G1896" s="53">
        <v>7.8867022115290641</v>
      </c>
      <c r="H1896" s="78">
        <v>2259.8000606100468</v>
      </c>
      <c r="I1896" s="84">
        <v>3.45</v>
      </c>
      <c r="J1896" s="53">
        <v>8.2556015845566879</v>
      </c>
      <c r="K1896" s="78">
        <v>2392.9279955236775</v>
      </c>
      <c r="L1896" s="84">
        <v>2.686666666666667</v>
      </c>
      <c r="M1896" s="53">
        <v>6.2374291787680418</v>
      </c>
      <c r="N1896" s="78">
        <v>2321.6237638094449</v>
      </c>
    </row>
    <row r="1897" spans="1:14" ht="19.5" customHeight="1" outlineLevel="1" x14ac:dyDescent="0.2">
      <c r="A1897" s="101">
        <v>31</v>
      </c>
      <c r="B1897" s="81" t="s">
        <v>38</v>
      </c>
      <c r="C1897" s="84">
        <v>0.12</v>
      </c>
      <c r="D1897" s="53">
        <v>0.275355400737683</v>
      </c>
      <c r="E1897" s="78">
        <v>2294.6283394806919</v>
      </c>
      <c r="F1897" s="84">
        <v>0.05</v>
      </c>
      <c r="G1897" s="53">
        <v>0.11299000303050236</v>
      </c>
      <c r="H1897" s="78">
        <v>2259.8000606100468</v>
      </c>
      <c r="I1897" s="84">
        <v>0.05</v>
      </c>
      <c r="J1897" s="53">
        <v>0.11964639977618388</v>
      </c>
      <c r="K1897" s="78">
        <v>2392.9279955236775</v>
      </c>
      <c r="L1897" s="84">
        <v>7.333333333333332E-2</v>
      </c>
      <c r="M1897" s="53">
        <v>0.1693306011814564</v>
      </c>
      <c r="N1897" s="78">
        <v>2309.0536524744061</v>
      </c>
    </row>
    <row r="1898" spans="1:14" ht="19.5" customHeight="1" outlineLevel="1" x14ac:dyDescent="0.2">
      <c r="A1898" s="101">
        <v>32</v>
      </c>
      <c r="B1898" s="81" t="s">
        <v>39</v>
      </c>
      <c r="C1898" s="84">
        <v>0.03</v>
      </c>
      <c r="D1898" s="53">
        <v>6.883885018442075E-2</v>
      </c>
      <c r="E1898" s="78">
        <v>2294.6283394806919</v>
      </c>
      <c r="F1898" s="84">
        <v>0.12</v>
      </c>
      <c r="G1898" s="53">
        <v>0.27117600727320557</v>
      </c>
      <c r="H1898" s="78">
        <v>2259.8000606100468</v>
      </c>
      <c r="I1898" s="84">
        <v>0.03</v>
      </c>
      <c r="J1898" s="53">
        <v>7.1787839865710329E-2</v>
      </c>
      <c r="K1898" s="78">
        <v>2392.9279955236775</v>
      </c>
      <c r="L1898" s="84">
        <v>0.06</v>
      </c>
      <c r="M1898" s="53">
        <v>0.13726756577444554</v>
      </c>
      <c r="N1898" s="78">
        <v>2287.7927629074256</v>
      </c>
    </row>
    <row r="1899" spans="1:14" ht="19.5" customHeight="1" outlineLevel="1" thickBot="1" x14ac:dyDescent="0.25">
      <c r="A1899" s="102">
        <v>33</v>
      </c>
      <c r="B1899" s="91" t="s">
        <v>40</v>
      </c>
      <c r="C1899" s="92">
        <v>14.63</v>
      </c>
      <c r="D1899" s="93">
        <v>31.849141700232387</v>
      </c>
      <c r="E1899" s="94">
        <v>2176.9748257164993</v>
      </c>
      <c r="F1899" s="92">
        <v>12.54</v>
      </c>
      <c r="G1899" s="93">
        <v>26.063423590909089</v>
      </c>
      <c r="H1899" s="94">
        <v>2078.4229338842974</v>
      </c>
      <c r="I1899" s="92">
        <v>9.85</v>
      </c>
      <c r="J1899" s="93">
        <v>22.534348444444444</v>
      </c>
      <c r="K1899" s="94">
        <v>2287.7511111111112</v>
      </c>
      <c r="L1899" s="92">
        <v>12.340000000000002</v>
      </c>
      <c r="M1899" s="93">
        <v>26.815637911861973</v>
      </c>
      <c r="N1899" s="94">
        <v>2173.0662813502408</v>
      </c>
    </row>
    <row r="1900" spans="1:14" ht="19.5" customHeight="1" thickBot="1" x14ac:dyDescent="0.25">
      <c r="A1900" s="151" t="s">
        <v>41</v>
      </c>
      <c r="B1900" s="152"/>
      <c r="C1900" s="96">
        <v>539.34999999999991</v>
      </c>
      <c r="D1900" s="97">
        <v>1237.6077948989118</v>
      </c>
      <c r="E1900" s="98">
        <v>2294.6283394806937</v>
      </c>
      <c r="F1900" s="96">
        <v>600.65999999999985</v>
      </c>
      <c r="G1900" s="97">
        <v>1357.3715044060323</v>
      </c>
      <c r="H1900" s="98">
        <v>2259.80006061005</v>
      </c>
      <c r="I1900" s="96">
        <v>562.66000000000008</v>
      </c>
      <c r="J1900" s="97">
        <v>1346.4048659613538</v>
      </c>
      <c r="K1900" s="98">
        <v>2392.9279955236798</v>
      </c>
      <c r="L1900" s="96">
        <v>567.55666666666662</v>
      </c>
      <c r="M1900" s="97">
        <v>1313.7947217554326</v>
      </c>
      <c r="N1900" s="98">
        <v>2314.8256357757514</v>
      </c>
    </row>
    <row r="1901" spans="1:14" ht="34.5" customHeight="1" x14ac:dyDescent="0.2">
      <c r="A1901" s="153" t="s">
        <v>247</v>
      </c>
      <c r="B1901" s="154"/>
      <c r="C1901" s="154"/>
      <c r="D1901" s="154"/>
      <c r="E1901" s="154"/>
      <c r="F1901" s="154"/>
      <c r="G1901" s="154"/>
      <c r="H1901" s="154"/>
      <c r="I1901" s="154"/>
      <c r="J1901" s="154"/>
      <c r="K1901" s="154"/>
      <c r="L1901" s="154"/>
      <c r="M1901" s="154"/>
      <c r="N1901" s="154"/>
    </row>
    <row r="1902" spans="1:14" ht="19.5" customHeight="1" thickBot="1" x14ac:dyDescent="0.25">
      <c r="A1902" s="50"/>
      <c r="B1902" s="138" t="s">
        <v>92</v>
      </c>
      <c r="C1902" s="52"/>
      <c r="D1902" s="52"/>
      <c r="E1902" s="52"/>
      <c r="F1902" s="52"/>
      <c r="G1902" s="52"/>
      <c r="H1902" s="52"/>
      <c r="I1902" s="52"/>
      <c r="J1902" s="52"/>
      <c r="K1902" s="155" t="s">
        <v>1</v>
      </c>
      <c r="L1902" s="154"/>
      <c r="M1902" s="154"/>
      <c r="N1902" s="154"/>
    </row>
    <row r="1903" spans="1:14" ht="19.5" customHeight="1" x14ac:dyDescent="0.2">
      <c r="A1903" s="156" t="s">
        <v>2</v>
      </c>
      <c r="B1903" s="158" t="s">
        <v>3</v>
      </c>
      <c r="C1903" s="148" t="s">
        <v>243</v>
      </c>
      <c r="D1903" s="149"/>
      <c r="E1903" s="150"/>
      <c r="F1903" s="148" t="s">
        <v>244</v>
      </c>
      <c r="G1903" s="149"/>
      <c r="H1903" s="150"/>
      <c r="I1903" s="148" t="s">
        <v>246</v>
      </c>
      <c r="J1903" s="149"/>
      <c r="K1903" s="150"/>
      <c r="L1903" s="148" t="s">
        <v>4</v>
      </c>
      <c r="M1903" s="149"/>
      <c r="N1903" s="150"/>
    </row>
    <row r="1904" spans="1:14" ht="19.5" customHeight="1" thickBot="1" x14ac:dyDescent="0.25">
      <c r="A1904" s="157"/>
      <c r="B1904" s="159"/>
      <c r="C1904" s="85" t="s">
        <v>5</v>
      </c>
      <c r="D1904" s="79" t="s">
        <v>6</v>
      </c>
      <c r="E1904" s="80" t="s">
        <v>7</v>
      </c>
      <c r="F1904" s="85" t="s">
        <v>5</v>
      </c>
      <c r="G1904" s="79" t="s">
        <v>6</v>
      </c>
      <c r="H1904" s="80" t="s">
        <v>7</v>
      </c>
      <c r="I1904" s="85" t="s">
        <v>5</v>
      </c>
      <c r="J1904" s="79" t="s">
        <v>6</v>
      </c>
      <c r="K1904" s="80" t="s">
        <v>7</v>
      </c>
      <c r="L1904" s="85" t="s">
        <v>5</v>
      </c>
      <c r="M1904" s="79" t="s">
        <v>6</v>
      </c>
      <c r="N1904" s="80" t="s">
        <v>7</v>
      </c>
    </row>
    <row r="1905" spans="1:14" ht="19.5" customHeight="1" outlineLevel="1" x14ac:dyDescent="0.2">
      <c r="A1905" s="100">
        <v>1</v>
      </c>
      <c r="B1905" s="86" t="s">
        <v>8</v>
      </c>
      <c r="C1905" s="87">
        <v>5.14</v>
      </c>
      <c r="D1905" s="88">
        <v>6.0139236553993625</v>
      </c>
      <c r="E1905" s="89">
        <v>1170.0240574706932</v>
      </c>
      <c r="F1905" s="87">
        <v>11.74</v>
      </c>
      <c r="G1905" s="88">
        <v>14.184798467945374</v>
      </c>
      <c r="H1905" s="89">
        <v>1208.2451846631493</v>
      </c>
      <c r="I1905" s="87">
        <v>9.6</v>
      </c>
      <c r="J1905" s="88">
        <v>12.140154631680177</v>
      </c>
      <c r="K1905" s="89">
        <v>1264.5994408000186</v>
      </c>
      <c r="L1905" s="87">
        <v>8.8266666666666662</v>
      </c>
      <c r="M1905" s="88">
        <v>10.779625585008304</v>
      </c>
      <c r="N1905" s="89">
        <v>1221.2566750387052</v>
      </c>
    </row>
    <row r="1906" spans="1:14" ht="19.5" customHeight="1" outlineLevel="1" x14ac:dyDescent="0.2">
      <c r="A1906" s="101">
        <v>2</v>
      </c>
      <c r="B1906" s="81" t="s">
        <v>9</v>
      </c>
      <c r="C1906" s="84">
        <v>2.36</v>
      </c>
      <c r="D1906" s="53">
        <v>2.7612567756308359</v>
      </c>
      <c r="E1906" s="78">
        <v>1170.0240574706932</v>
      </c>
      <c r="F1906" s="84">
        <v>2.92</v>
      </c>
      <c r="G1906" s="53">
        <v>3.5280759392163961</v>
      </c>
      <c r="H1906" s="78">
        <v>1208.2451846631493</v>
      </c>
      <c r="I1906" s="84">
        <v>3.17</v>
      </c>
      <c r="J1906" s="53">
        <v>4.0087802273360591</v>
      </c>
      <c r="K1906" s="78">
        <v>1264.5994408000186</v>
      </c>
      <c r="L1906" s="84">
        <v>2.8166666666666664</v>
      </c>
      <c r="M1906" s="53">
        <v>3.4327043140610969</v>
      </c>
      <c r="N1906" s="78">
        <v>1218.7115907909219</v>
      </c>
    </row>
    <row r="1907" spans="1:14" ht="19.5" customHeight="1" outlineLevel="1" x14ac:dyDescent="0.2">
      <c r="A1907" s="101">
        <v>3</v>
      </c>
      <c r="B1907" s="81" t="s">
        <v>10</v>
      </c>
      <c r="C1907" s="84">
        <v>0</v>
      </c>
      <c r="D1907" s="53">
        <v>0</v>
      </c>
      <c r="E1907" s="78">
        <v>0</v>
      </c>
      <c r="F1907" s="84">
        <v>0.05</v>
      </c>
      <c r="G1907" s="53">
        <v>6.0412259233157468E-2</v>
      </c>
      <c r="H1907" s="78">
        <v>1208.2451846631493</v>
      </c>
      <c r="I1907" s="84">
        <v>7.0000000000000007E-2</v>
      </c>
      <c r="J1907" s="53">
        <v>8.8521960856001308E-2</v>
      </c>
      <c r="K1907" s="78">
        <v>1264.5994408000186</v>
      </c>
      <c r="L1907" s="84">
        <v>6.0000000000000005E-2</v>
      </c>
      <c r="M1907" s="53">
        <v>7.4467110044579385E-2</v>
      </c>
      <c r="N1907" s="78">
        <v>1241.1185007429897</v>
      </c>
    </row>
    <row r="1908" spans="1:14" ht="19.5" customHeight="1" outlineLevel="1" x14ac:dyDescent="0.2">
      <c r="A1908" s="101">
        <v>4</v>
      </c>
      <c r="B1908" s="81" t="s">
        <v>11</v>
      </c>
      <c r="C1908" s="84">
        <v>1.62</v>
      </c>
      <c r="D1908" s="53">
        <v>1.895438973102523</v>
      </c>
      <c r="E1908" s="78">
        <v>1170.0240574706932</v>
      </c>
      <c r="F1908" s="84">
        <v>1.39</v>
      </c>
      <c r="G1908" s="53">
        <v>1.6794608066817776</v>
      </c>
      <c r="H1908" s="78">
        <v>1208.2451846631493</v>
      </c>
      <c r="I1908" s="84">
        <v>0.72</v>
      </c>
      <c r="J1908" s="53">
        <v>0.91051159737601339</v>
      </c>
      <c r="K1908" s="78">
        <v>1264.5994408000186</v>
      </c>
      <c r="L1908" s="84">
        <v>1.2433333333333332</v>
      </c>
      <c r="M1908" s="53">
        <v>1.4951371257201045</v>
      </c>
      <c r="N1908" s="78">
        <v>1202.5231574156337</v>
      </c>
    </row>
    <row r="1909" spans="1:14" ht="19.5" customHeight="1" outlineLevel="1" x14ac:dyDescent="0.2">
      <c r="A1909" s="101">
        <v>5</v>
      </c>
      <c r="B1909" s="81" t="s">
        <v>12</v>
      </c>
      <c r="C1909" s="84">
        <v>28.51</v>
      </c>
      <c r="D1909" s="53">
        <v>28.827546708452047</v>
      </c>
      <c r="E1909" s="78">
        <v>1011.1380816714151</v>
      </c>
      <c r="F1909" s="84">
        <v>20.32</v>
      </c>
      <c r="G1909" s="53">
        <v>16.214102503516173</v>
      </c>
      <c r="H1909" s="78">
        <v>797.9381153305203</v>
      </c>
      <c r="I1909" s="84">
        <v>19.25</v>
      </c>
      <c r="J1909" s="53">
        <v>24.343539235400357</v>
      </c>
      <c r="K1909" s="78">
        <v>1264.5994408000186</v>
      </c>
      <c r="L1909" s="84">
        <v>22.693333333333332</v>
      </c>
      <c r="M1909" s="53">
        <v>23.12839614912286</v>
      </c>
      <c r="N1909" s="78">
        <v>1019.1713931752143</v>
      </c>
    </row>
    <row r="1910" spans="1:14" ht="19.5" customHeight="1" outlineLevel="1" x14ac:dyDescent="0.2">
      <c r="A1910" s="101">
        <v>6</v>
      </c>
      <c r="B1910" s="81" t="s">
        <v>13</v>
      </c>
      <c r="C1910" s="84">
        <v>11.8</v>
      </c>
      <c r="D1910" s="53">
        <v>8.4110399999999998</v>
      </c>
      <c r="E1910" s="78">
        <v>712.79999999999984</v>
      </c>
      <c r="F1910" s="84">
        <v>6.31</v>
      </c>
      <c r="G1910" s="53">
        <v>7.6240271152244716</v>
      </c>
      <c r="H1910" s="78">
        <v>1208.2451846631493</v>
      </c>
      <c r="I1910" s="84">
        <v>6.94</v>
      </c>
      <c r="J1910" s="53">
        <v>8.7763201191521301</v>
      </c>
      <c r="K1910" s="78">
        <v>1264.5994408000186</v>
      </c>
      <c r="L1910" s="84">
        <v>8.35</v>
      </c>
      <c r="M1910" s="53">
        <v>8.2704624114588672</v>
      </c>
      <c r="N1910" s="78">
        <v>990.47454029447522</v>
      </c>
    </row>
    <row r="1911" spans="1:14" ht="19.5" customHeight="1" outlineLevel="1" x14ac:dyDescent="0.2">
      <c r="A1911" s="101">
        <v>7</v>
      </c>
      <c r="B1911" s="81" t="s">
        <v>14</v>
      </c>
      <c r="C1911" s="84">
        <v>0.16</v>
      </c>
      <c r="D1911" s="53">
        <v>0.18720384919531091</v>
      </c>
      <c r="E1911" s="78">
        <v>1170.0240574706932</v>
      </c>
      <c r="F1911" s="84">
        <v>0.49</v>
      </c>
      <c r="G1911" s="53">
        <v>0.59204014048494313</v>
      </c>
      <c r="H1911" s="78">
        <v>1208.2451846631493</v>
      </c>
      <c r="I1911" s="84">
        <v>0.11</v>
      </c>
      <c r="J1911" s="53">
        <v>0.13910593848800204</v>
      </c>
      <c r="K1911" s="78">
        <v>1264.5994408000186</v>
      </c>
      <c r="L1911" s="84">
        <v>0.25333333333333335</v>
      </c>
      <c r="M1911" s="53">
        <v>0.30611664272275202</v>
      </c>
      <c r="N1911" s="78">
        <v>1208.3551686424421</v>
      </c>
    </row>
    <row r="1912" spans="1:14" ht="19.5" customHeight="1" outlineLevel="1" x14ac:dyDescent="0.2">
      <c r="A1912" s="101">
        <v>8</v>
      </c>
      <c r="B1912" s="81" t="s">
        <v>15</v>
      </c>
      <c r="C1912" s="84">
        <v>2.17</v>
      </c>
      <c r="D1912" s="53">
        <v>2.5389522047114044</v>
      </c>
      <c r="E1912" s="78">
        <v>1170.0240574706932</v>
      </c>
      <c r="F1912" s="84">
        <v>1.9</v>
      </c>
      <c r="G1912" s="53">
        <v>2.2956658508599834</v>
      </c>
      <c r="H1912" s="78">
        <v>1208.2451846631493</v>
      </c>
      <c r="I1912" s="84">
        <v>1.41</v>
      </c>
      <c r="J1912" s="53">
        <v>1.783085211528026</v>
      </c>
      <c r="K1912" s="78">
        <v>1264.5994408000186</v>
      </c>
      <c r="L1912" s="84">
        <v>1.8266666666666669</v>
      </c>
      <c r="M1912" s="53">
        <v>2.2059010890331381</v>
      </c>
      <c r="N1912" s="78">
        <v>1207.6100852371194</v>
      </c>
    </row>
    <row r="1913" spans="1:14" ht="19.5" customHeight="1" outlineLevel="1" x14ac:dyDescent="0.2">
      <c r="A1913" s="101">
        <v>9</v>
      </c>
      <c r="B1913" s="81" t="s">
        <v>16</v>
      </c>
      <c r="C1913" s="84">
        <v>0.9</v>
      </c>
      <c r="D1913" s="53">
        <v>1.0530216517236237</v>
      </c>
      <c r="E1913" s="78">
        <v>1170.0240574706932</v>
      </c>
      <c r="F1913" s="84">
        <v>0.35</v>
      </c>
      <c r="G1913" s="53">
        <v>0.42288581463210223</v>
      </c>
      <c r="H1913" s="78">
        <v>1208.2451846631493</v>
      </c>
      <c r="I1913" s="84">
        <v>0.25</v>
      </c>
      <c r="J1913" s="53">
        <v>0.31614986020000463</v>
      </c>
      <c r="K1913" s="78">
        <v>1264.5994408000186</v>
      </c>
      <c r="L1913" s="84">
        <v>0.5</v>
      </c>
      <c r="M1913" s="53">
        <v>0.59735244218524353</v>
      </c>
      <c r="N1913" s="78">
        <v>1194.704884370487</v>
      </c>
    </row>
    <row r="1914" spans="1:14" ht="19.5" customHeight="1" outlineLevel="1" x14ac:dyDescent="0.2">
      <c r="A1914" s="101">
        <v>10</v>
      </c>
      <c r="B1914" s="81" t="s">
        <v>17</v>
      </c>
      <c r="C1914" s="84">
        <v>0</v>
      </c>
      <c r="D1914" s="53">
        <v>0</v>
      </c>
      <c r="E1914" s="78">
        <v>0</v>
      </c>
      <c r="F1914" s="84">
        <v>0.85</v>
      </c>
      <c r="G1914" s="53">
        <v>1.0270084069636769</v>
      </c>
      <c r="H1914" s="78">
        <v>1208.2451846631493</v>
      </c>
      <c r="I1914" s="84">
        <v>0.95</v>
      </c>
      <c r="J1914" s="53">
        <v>1.2013694687600176</v>
      </c>
      <c r="K1914" s="78">
        <v>1264.5994408000186</v>
      </c>
      <c r="L1914" s="84">
        <v>0.89999999999999991</v>
      </c>
      <c r="M1914" s="53">
        <v>1.1141889378618473</v>
      </c>
      <c r="N1914" s="78">
        <v>1237.9877087353859</v>
      </c>
    </row>
    <row r="1915" spans="1:14" ht="19.5" customHeight="1" outlineLevel="1" x14ac:dyDescent="0.2">
      <c r="A1915" s="101">
        <v>11</v>
      </c>
      <c r="B1915" s="81" t="s">
        <v>18</v>
      </c>
      <c r="C1915" s="84">
        <v>17.75</v>
      </c>
      <c r="D1915" s="53">
        <v>20.767927020104803</v>
      </c>
      <c r="E1915" s="78">
        <v>1170.0240574706932</v>
      </c>
      <c r="F1915" s="84">
        <v>17.12</v>
      </c>
      <c r="G1915" s="53">
        <v>20.685157561433115</v>
      </c>
      <c r="H1915" s="78">
        <v>1208.2451846631493</v>
      </c>
      <c r="I1915" s="84">
        <v>21.24</v>
      </c>
      <c r="J1915" s="53">
        <v>26.860092122592391</v>
      </c>
      <c r="K1915" s="78">
        <v>1264.5994408000186</v>
      </c>
      <c r="L1915" s="84">
        <v>18.703333333333333</v>
      </c>
      <c r="M1915" s="53">
        <v>22.771058901376772</v>
      </c>
      <c r="N1915" s="78">
        <v>1217.4866637699217</v>
      </c>
    </row>
    <row r="1916" spans="1:14" ht="19.5" customHeight="1" outlineLevel="1" x14ac:dyDescent="0.2">
      <c r="A1916" s="101">
        <v>12</v>
      </c>
      <c r="B1916" s="81" t="s">
        <v>19</v>
      </c>
      <c r="C1916" s="84">
        <v>9.58</v>
      </c>
      <c r="D1916" s="53">
        <v>7.6563360000000005</v>
      </c>
      <c r="E1916" s="78">
        <v>799.2</v>
      </c>
      <c r="F1916" s="84">
        <v>13.62</v>
      </c>
      <c r="G1916" s="53">
        <v>16.456299415112092</v>
      </c>
      <c r="H1916" s="78">
        <v>1208.2451846631493</v>
      </c>
      <c r="I1916" s="84">
        <v>17.27</v>
      </c>
      <c r="J1916" s="53">
        <v>17.629216</v>
      </c>
      <c r="K1916" s="78">
        <v>1020.8</v>
      </c>
      <c r="L1916" s="84">
        <v>13.49</v>
      </c>
      <c r="M1916" s="53">
        <v>13.913950471704032</v>
      </c>
      <c r="N1916" s="78">
        <v>1031.4270179172745</v>
      </c>
    </row>
    <row r="1917" spans="1:14" ht="19.5" customHeight="1" outlineLevel="1" x14ac:dyDescent="0.2">
      <c r="A1917" s="101">
        <v>13</v>
      </c>
      <c r="B1917" s="81" t="s">
        <v>20</v>
      </c>
      <c r="C1917" s="84">
        <v>18.54</v>
      </c>
      <c r="D1917" s="53">
        <v>16.930727999999998</v>
      </c>
      <c r="E1917" s="78">
        <v>913.2</v>
      </c>
      <c r="F1917" s="84">
        <v>11.56</v>
      </c>
      <c r="G1917" s="53">
        <v>10.953529192411926</v>
      </c>
      <c r="H1917" s="78">
        <v>947.53712737127387</v>
      </c>
      <c r="I1917" s="84">
        <v>40.130000000000003</v>
      </c>
      <c r="J1917" s="53">
        <v>49.823280134539296</v>
      </c>
      <c r="K1917" s="78">
        <v>1241.5469756924817</v>
      </c>
      <c r="L1917" s="84">
        <v>23.41</v>
      </c>
      <c r="M1917" s="53">
        <v>25.902512442317072</v>
      </c>
      <c r="N1917" s="78">
        <v>1106.4721248319979</v>
      </c>
    </row>
    <row r="1918" spans="1:14" ht="19.5" customHeight="1" outlineLevel="1" x14ac:dyDescent="0.2">
      <c r="A1918" s="101">
        <v>14</v>
      </c>
      <c r="B1918" s="81" t="s">
        <v>21</v>
      </c>
      <c r="C1918" s="84">
        <v>69.650000000000006</v>
      </c>
      <c r="D1918" s="53">
        <v>86.646845128205157</v>
      </c>
      <c r="E1918" s="78">
        <v>1244.0322344322346</v>
      </c>
      <c r="F1918" s="84">
        <v>66.45</v>
      </c>
      <c r="G1918" s="53">
        <v>84.145861362604109</v>
      </c>
      <c r="H1918" s="78">
        <v>1266.3034065102197</v>
      </c>
      <c r="I1918" s="84">
        <v>147.02000000000001</v>
      </c>
      <c r="J1918" s="53">
        <v>180.95868031618625</v>
      </c>
      <c r="K1918" s="78">
        <v>1230.8439689578713</v>
      </c>
      <c r="L1918" s="84">
        <v>94.373333333333335</v>
      </c>
      <c r="M1918" s="53">
        <v>117.2504622689985</v>
      </c>
      <c r="N1918" s="78">
        <v>1242.4109452069633</v>
      </c>
    </row>
    <row r="1919" spans="1:14" ht="19.5" customHeight="1" outlineLevel="1" x14ac:dyDescent="0.2">
      <c r="A1919" s="101">
        <v>15</v>
      </c>
      <c r="B1919" s="81" t="s">
        <v>22</v>
      </c>
      <c r="C1919" s="84">
        <v>70.06</v>
      </c>
      <c r="D1919" s="53">
        <v>81.872553083182652</v>
      </c>
      <c r="E1919" s="78">
        <v>1168.6062386980109</v>
      </c>
      <c r="F1919" s="84">
        <v>55.87</v>
      </c>
      <c r="G1919" s="53">
        <v>76.716468933981673</v>
      </c>
      <c r="H1919" s="78">
        <v>1373.1245558256967</v>
      </c>
      <c r="I1919" s="84">
        <v>73.150000000000006</v>
      </c>
      <c r="J1919" s="53">
        <v>98.812500727013543</v>
      </c>
      <c r="K1919" s="78">
        <v>1350.8202423378473</v>
      </c>
      <c r="L1919" s="84">
        <v>66.36</v>
      </c>
      <c r="M1919" s="53">
        <v>85.800507581392637</v>
      </c>
      <c r="N1919" s="78">
        <v>1292.9552076762002</v>
      </c>
    </row>
    <row r="1920" spans="1:14" ht="19.5" customHeight="1" outlineLevel="1" x14ac:dyDescent="0.2">
      <c r="A1920" s="101">
        <v>16</v>
      </c>
      <c r="B1920" s="81" t="s">
        <v>23</v>
      </c>
      <c r="C1920" s="84">
        <v>64.3</v>
      </c>
      <c r="D1920" s="53">
        <v>100.93519999999999</v>
      </c>
      <c r="E1920" s="78">
        <v>1569.7542768273718</v>
      </c>
      <c r="F1920" s="84">
        <v>68.3</v>
      </c>
      <c r="G1920" s="53">
        <v>100.11127999999997</v>
      </c>
      <c r="H1920" s="78">
        <v>1465.7581259150802</v>
      </c>
      <c r="I1920" s="84">
        <v>72.37</v>
      </c>
      <c r="J1920" s="53">
        <v>116.10262400000001</v>
      </c>
      <c r="K1920" s="78">
        <v>1604.2921652618488</v>
      </c>
      <c r="L1920" s="84">
        <v>68.323333333333338</v>
      </c>
      <c r="M1920" s="53">
        <v>105.71636799999999</v>
      </c>
      <c r="N1920" s="78">
        <v>1547.295233448797</v>
      </c>
    </row>
    <row r="1921" spans="1:14" ht="19.5" customHeight="1" outlineLevel="1" x14ac:dyDescent="0.2">
      <c r="A1921" s="101">
        <v>17</v>
      </c>
      <c r="B1921" s="81" t="s">
        <v>24</v>
      </c>
      <c r="C1921" s="84">
        <v>27.86</v>
      </c>
      <c r="D1921" s="53">
        <v>28.417200000000001</v>
      </c>
      <c r="E1921" s="78">
        <v>1020</v>
      </c>
      <c r="F1921" s="84">
        <v>19.95</v>
      </c>
      <c r="G1921" s="53">
        <v>15.819949665551837</v>
      </c>
      <c r="H1921" s="78">
        <v>792.97993311036782</v>
      </c>
      <c r="I1921" s="84">
        <v>14.05</v>
      </c>
      <c r="J1921" s="53">
        <v>12.335473066298341</v>
      </c>
      <c r="K1921" s="78">
        <v>877.96961325966845</v>
      </c>
      <c r="L1921" s="84">
        <v>20.62</v>
      </c>
      <c r="M1921" s="53">
        <v>18.857540910616727</v>
      </c>
      <c r="N1921" s="78">
        <v>914.52671729470069</v>
      </c>
    </row>
    <row r="1922" spans="1:14" ht="19.5" customHeight="1" outlineLevel="1" x14ac:dyDescent="0.2">
      <c r="A1922" s="101">
        <v>18</v>
      </c>
      <c r="B1922" s="81" t="s">
        <v>25</v>
      </c>
      <c r="C1922" s="84">
        <v>11.78</v>
      </c>
      <c r="D1922" s="53">
        <v>7.7512400000000001</v>
      </c>
      <c r="E1922" s="78">
        <v>658</v>
      </c>
      <c r="F1922" s="84">
        <v>13.2</v>
      </c>
      <c r="G1922" s="53">
        <v>12.562944</v>
      </c>
      <c r="H1922" s="78">
        <v>951.73818181818183</v>
      </c>
      <c r="I1922" s="84">
        <v>12.25</v>
      </c>
      <c r="J1922" s="53">
        <v>15.582000000000001</v>
      </c>
      <c r="K1922" s="78">
        <v>1272</v>
      </c>
      <c r="L1922" s="84">
        <v>12.409999999999998</v>
      </c>
      <c r="M1922" s="53">
        <v>11.965394666666668</v>
      </c>
      <c r="N1922" s="78">
        <v>964.1736234219718</v>
      </c>
    </row>
    <row r="1923" spans="1:14" ht="19.5" customHeight="1" outlineLevel="1" x14ac:dyDescent="0.2">
      <c r="A1923" s="101">
        <v>19</v>
      </c>
      <c r="B1923" s="81" t="s">
        <v>26</v>
      </c>
      <c r="C1923" s="84">
        <v>0.52</v>
      </c>
      <c r="D1923" s="53">
        <v>0.60841250988476048</v>
      </c>
      <c r="E1923" s="78">
        <v>1170.0240574706932</v>
      </c>
      <c r="F1923" s="84">
        <v>2.87</v>
      </c>
      <c r="G1923" s="53">
        <v>3.4676636799832385</v>
      </c>
      <c r="H1923" s="78">
        <v>1208.2451846631493</v>
      </c>
      <c r="I1923" s="84">
        <v>2.61</v>
      </c>
      <c r="J1923" s="53">
        <v>3.3006045404880484</v>
      </c>
      <c r="K1923" s="78">
        <v>1264.5994408000186</v>
      </c>
      <c r="L1923" s="84">
        <v>2</v>
      </c>
      <c r="M1923" s="53">
        <v>2.4588935767853495</v>
      </c>
      <c r="N1923" s="78">
        <v>1229.4467883926748</v>
      </c>
    </row>
    <row r="1924" spans="1:14" ht="19.5" customHeight="1" outlineLevel="1" x14ac:dyDescent="0.2">
      <c r="A1924" s="101">
        <v>20</v>
      </c>
      <c r="B1924" s="81" t="s">
        <v>27</v>
      </c>
      <c r="C1924" s="84">
        <v>5.98</v>
      </c>
      <c r="D1924" s="53">
        <v>6.020664</v>
      </c>
      <c r="E1924" s="78">
        <v>1006.8</v>
      </c>
      <c r="F1924" s="84">
        <v>4.01</v>
      </c>
      <c r="G1924" s="53">
        <v>4.07416</v>
      </c>
      <c r="H1924" s="78">
        <v>1016</v>
      </c>
      <c r="I1924" s="84">
        <v>6.9</v>
      </c>
      <c r="J1924" s="53">
        <v>6.0720000000000001</v>
      </c>
      <c r="K1924" s="78">
        <v>880</v>
      </c>
      <c r="L1924" s="84">
        <v>5.63</v>
      </c>
      <c r="M1924" s="53">
        <v>5.3889413333333325</v>
      </c>
      <c r="N1924" s="78">
        <v>957.18318531675527</v>
      </c>
    </row>
    <row r="1925" spans="1:14" ht="19.5" customHeight="1" outlineLevel="1" x14ac:dyDescent="0.2">
      <c r="A1925" s="101">
        <v>21</v>
      </c>
      <c r="B1925" s="81" t="s">
        <v>28</v>
      </c>
      <c r="C1925" s="84">
        <v>4.6900000000000004</v>
      </c>
      <c r="D1925" s="53">
        <v>5.4874128295375515</v>
      </c>
      <c r="E1925" s="78">
        <v>1170.0240574706932</v>
      </c>
      <c r="F1925" s="84">
        <v>3.51</v>
      </c>
      <c r="G1925" s="53">
        <v>4.2409405981676533</v>
      </c>
      <c r="H1925" s="78">
        <v>1208.2451846631493</v>
      </c>
      <c r="I1925" s="84">
        <v>3.23</v>
      </c>
      <c r="J1925" s="53">
        <v>4.0846561937840598</v>
      </c>
      <c r="K1925" s="78">
        <v>1264.5994408000186</v>
      </c>
      <c r="L1925" s="84">
        <v>3.81</v>
      </c>
      <c r="M1925" s="53">
        <v>4.6043365404964218</v>
      </c>
      <c r="N1925" s="78">
        <v>1208.4872809701894</v>
      </c>
    </row>
    <row r="1926" spans="1:14" ht="19.5" customHeight="1" outlineLevel="1" x14ac:dyDescent="0.2">
      <c r="A1926" s="101">
        <v>22</v>
      </c>
      <c r="B1926" s="81" t="s">
        <v>29</v>
      </c>
      <c r="C1926" s="84">
        <v>4.51</v>
      </c>
      <c r="D1926" s="53">
        <v>5.2768084991928266</v>
      </c>
      <c r="E1926" s="78">
        <v>1170.0240574706932</v>
      </c>
      <c r="F1926" s="84">
        <v>14.04</v>
      </c>
      <c r="G1926" s="53">
        <v>16.963762392670613</v>
      </c>
      <c r="H1926" s="78">
        <v>1208.2451846631493</v>
      </c>
      <c r="I1926" s="84">
        <v>15.24</v>
      </c>
      <c r="J1926" s="53">
        <v>19.272495477792283</v>
      </c>
      <c r="K1926" s="78">
        <v>1264.5994408000186</v>
      </c>
      <c r="L1926" s="84">
        <v>11.263333333333334</v>
      </c>
      <c r="M1926" s="53">
        <v>13.837688789885242</v>
      </c>
      <c r="N1926" s="78">
        <v>1228.5607093712852</v>
      </c>
    </row>
    <row r="1927" spans="1:14" ht="19.5" customHeight="1" outlineLevel="1" x14ac:dyDescent="0.2">
      <c r="A1927" s="101">
        <v>23</v>
      </c>
      <c r="B1927" s="81" t="s">
        <v>30</v>
      </c>
      <c r="C1927" s="84">
        <v>14.77</v>
      </c>
      <c r="D1927" s="53">
        <v>23.691079999999996</v>
      </c>
      <c r="E1927" s="78">
        <v>1603.9999999999998</v>
      </c>
      <c r="F1927" s="84">
        <v>15.14</v>
      </c>
      <c r="G1927" s="53">
        <v>21.801600000000001</v>
      </c>
      <c r="H1927" s="78">
        <v>1440</v>
      </c>
      <c r="I1927" s="84">
        <v>17.7</v>
      </c>
      <c r="J1927" s="53">
        <v>21.24</v>
      </c>
      <c r="K1927" s="78">
        <v>1200</v>
      </c>
      <c r="L1927" s="84">
        <v>15.87</v>
      </c>
      <c r="M1927" s="53">
        <v>22.244226666666663</v>
      </c>
      <c r="N1927" s="78">
        <v>1401.6525939928583</v>
      </c>
    </row>
    <row r="1928" spans="1:14" ht="19.5" customHeight="1" outlineLevel="1" x14ac:dyDescent="0.2">
      <c r="A1928" s="101">
        <v>24</v>
      </c>
      <c r="B1928" s="81" t="s">
        <v>31</v>
      </c>
      <c r="C1928" s="84">
        <v>18.57</v>
      </c>
      <c r="D1928" s="53">
        <v>21.727346747230772</v>
      </c>
      <c r="E1928" s="78">
        <v>1170.0240574706932</v>
      </c>
      <c r="F1928" s="84">
        <v>19.670000000000002</v>
      </c>
      <c r="G1928" s="53">
        <v>23.766182782324147</v>
      </c>
      <c r="H1928" s="78">
        <v>1208.2451846631493</v>
      </c>
      <c r="I1928" s="84">
        <v>19.510000000000002</v>
      </c>
      <c r="J1928" s="53">
        <v>24.672335090008364</v>
      </c>
      <c r="K1928" s="78">
        <v>1264.5994408000186</v>
      </c>
      <c r="L1928" s="84">
        <v>19.25</v>
      </c>
      <c r="M1928" s="53">
        <v>23.388621539854427</v>
      </c>
      <c r="N1928" s="78">
        <v>1214.9933267456845</v>
      </c>
    </row>
    <row r="1929" spans="1:14" ht="19.5" customHeight="1" outlineLevel="1" x14ac:dyDescent="0.2">
      <c r="A1929" s="101">
        <v>25</v>
      </c>
      <c r="B1929" s="81" t="s">
        <v>32</v>
      </c>
      <c r="C1929" s="84">
        <v>2.83</v>
      </c>
      <c r="D1929" s="53">
        <v>3.3111680826420615</v>
      </c>
      <c r="E1929" s="78">
        <v>1170.0240574706932</v>
      </c>
      <c r="F1929" s="84">
        <v>11.21</v>
      </c>
      <c r="G1929" s="53">
        <v>13.544428520073906</v>
      </c>
      <c r="H1929" s="78">
        <v>1208.2451846631493</v>
      </c>
      <c r="I1929" s="84">
        <v>12.4</v>
      </c>
      <c r="J1929" s="53">
        <v>15.68103306592023</v>
      </c>
      <c r="K1929" s="78">
        <v>1264.5994408000186</v>
      </c>
      <c r="L1929" s="84">
        <v>8.8133333333333344</v>
      </c>
      <c r="M1929" s="53">
        <v>10.845543222878732</v>
      </c>
      <c r="N1929" s="78">
        <v>1230.5835729438802</v>
      </c>
    </row>
    <row r="1930" spans="1:14" ht="19.5" customHeight="1" outlineLevel="1" x14ac:dyDescent="0.2">
      <c r="A1930" s="101">
        <v>26</v>
      </c>
      <c r="B1930" s="81" t="s">
        <v>33</v>
      </c>
      <c r="C1930" s="84">
        <v>7.7</v>
      </c>
      <c r="D1930" s="53">
        <v>11.023319999999998</v>
      </c>
      <c r="E1930" s="78">
        <v>1431.5999999999997</v>
      </c>
      <c r="F1930" s="84">
        <v>10.01</v>
      </c>
      <c r="G1930" s="53">
        <v>11.023012000000001</v>
      </c>
      <c r="H1930" s="78">
        <v>1101.2</v>
      </c>
      <c r="I1930" s="84">
        <v>9.44</v>
      </c>
      <c r="J1930" s="53">
        <v>11.937818721152174</v>
      </c>
      <c r="K1930" s="78">
        <v>1264.5994408000186</v>
      </c>
      <c r="L1930" s="84">
        <v>9.0499999999999989</v>
      </c>
      <c r="M1930" s="53">
        <v>11.328050240384059</v>
      </c>
      <c r="N1930" s="78">
        <v>1251.7182586059735</v>
      </c>
    </row>
    <row r="1931" spans="1:14" ht="19.5" customHeight="1" outlineLevel="1" x14ac:dyDescent="0.2">
      <c r="A1931" s="101">
        <v>27</v>
      </c>
      <c r="B1931" s="81" t="s">
        <v>34</v>
      </c>
      <c r="C1931" s="84">
        <v>5.83</v>
      </c>
      <c r="D1931" s="53">
        <v>6.8212402550541409</v>
      </c>
      <c r="E1931" s="78">
        <v>1170.0240574706932</v>
      </c>
      <c r="F1931" s="84">
        <v>6.67</v>
      </c>
      <c r="G1931" s="53">
        <v>8.0589953817032054</v>
      </c>
      <c r="H1931" s="78">
        <v>1208.2451846631493</v>
      </c>
      <c r="I1931" s="84">
        <v>5.93</v>
      </c>
      <c r="J1931" s="53">
        <v>7.4990746839441096</v>
      </c>
      <c r="K1931" s="78">
        <v>1264.5994408000186</v>
      </c>
      <c r="L1931" s="84">
        <v>6.1433333333333335</v>
      </c>
      <c r="M1931" s="53">
        <v>7.4597701069004856</v>
      </c>
      <c r="N1931" s="78">
        <v>1214.287049414078</v>
      </c>
    </row>
    <row r="1932" spans="1:14" ht="19.5" customHeight="1" outlineLevel="1" x14ac:dyDescent="0.2">
      <c r="A1932" s="101">
        <v>28</v>
      </c>
      <c r="B1932" s="81" t="s">
        <v>35</v>
      </c>
      <c r="C1932" s="84">
        <v>9.35</v>
      </c>
      <c r="D1932" s="53">
        <v>10.939724937350981</v>
      </c>
      <c r="E1932" s="78">
        <v>1170.0240574706932</v>
      </c>
      <c r="F1932" s="84">
        <v>7.84</v>
      </c>
      <c r="G1932" s="53">
        <v>9.4726422477590901</v>
      </c>
      <c r="H1932" s="78">
        <v>1208.2451846631493</v>
      </c>
      <c r="I1932" s="84">
        <v>14.18</v>
      </c>
      <c r="J1932" s="53">
        <v>17.932020070544262</v>
      </c>
      <c r="K1932" s="78">
        <v>1264.5994408000186</v>
      </c>
      <c r="L1932" s="84">
        <v>10.456666666666665</v>
      </c>
      <c r="M1932" s="53">
        <v>12.781462418551444</v>
      </c>
      <c r="N1932" s="78">
        <v>1222.3266578149294</v>
      </c>
    </row>
    <row r="1933" spans="1:14" ht="19.5" customHeight="1" outlineLevel="1" x14ac:dyDescent="0.2">
      <c r="A1933" s="101">
        <v>29</v>
      </c>
      <c r="B1933" s="81" t="s">
        <v>36</v>
      </c>
      <c r="C1933" s="84">
        <v>23.83</v>
      </c>
      <c r="D1933" s="53">
        <v>27.881673289526614</v>
      </c>
      <c r="E1933" s="78">
        <v>1170.0240574706932</v>
      </c>
      <c r="F1933" s="84">
        <v>24.89</v>
      </c>
      <c r="G1933" s="53">
        <v>26.273884000000006</v>
      </c>
      <c r="H1933" s="78">
        <v>1055.6000000000001</v>
      </c>
      <c r="I1933" s="84">
        <v>23.57</v>
      </c>
      <c r="J1933" s="53">
        <v>20.606721131782948</v>
      </c>
      <c r="K1933" s="78">
        <v>874.27751937984499</v>
      </c>
      <c r="L1933" s="84">
        <v>24.096666666666664</v>
      </c>
      <c r="M1933" s="53">
        <v>24.920759473769852</v>
      </c>
      <c r="N1933" s="78">
        <v>1034.1994525011698</v>
      </c>
    </row>
    <row r="1934" spans="1:14" ht="19.5" customHeight="1" outlineLevel="1" x14ac:dyDescent="0.2">
      <c r="A1934" s="101">
        <v>30</v>
      </c>
      <c r="B1934" s="81" t="s">
        <v>37</v>
      </c>
      <c r="C1934" s="84">
        <v>5.83</v>
      </c>
      <c r="D1934" s="53">
        <v>6.8212402550541409</v>
      </c>
      <c r="E1934" s="78">
        <v>1170.0240574706932</v>
      </c>
      <c r="F1934" s="84">
        <v>4.87</v>
      </c>
      <c r="G1934" s="53">
        <v>5.8841540493095374</v>
      </c>
      <c r="H1934" s="78">
        <v>1208.2451846631493</v>
      </c>
      <c r="I1934" s="84">
        <v>4.41</v>
      </c>
      <c r="J1934" s="53">
        <v>5.5768835339280818</v>
      </c>
      <c r="K1934" s="78">
        <v>1264.5994408000186</v>
      </c>
      <c r="L1934" s="84">
        <v>5.0366666666666662</v>
      </c>
      <c r="M1934" s="53">
        <v>6.0940926127639203</v>
      </c>
      <c r="N1934" s="78">
        <v>1209.9455882390314</v>
      </c>
    </row>
    <row r="1935" spans="1:14" ht="19.5" customHeight="1" outlineLevel="1" x14ac:dyDescent="0.2">
      <c r="A1935" s="101">
        <v>31</v>
      </c>
      <c r="B1935" s="81" t="s">
        <v>38</v>
      </c>
      <c r="C1935" s="84">
        <v>3.39</v>
      </c>
      <c r="D1935" s="53">
        <v>3.9663815548256496</v>
      </c>
      <c r="E1935" s="78">
        <v>1170.0240574706932</v>
      </c>
      <c r="F1935" s="84">
        <v>2.85</v>
      </c>
      <c r="G1935" s="53">
        <v>3.4434987762899754</v>
      </c>
      <c r="H1935" s="78">
        <v>1208.2451846631493</v>
      </c>
      <c r="I1935" s="84">
        <v>3.56</v>
      </c>
      <c r="J1935" s="53">
        <v>4.501974009248066</v>
      </c>
      <c r="K1935" s="78">
        <v>1264.5994408000186</v>
      </c>
      <c r="L1935" s="84">
        <v>3.2666666666666671</v>
      </c>
      <c r="M1935" s="53">
        <v>3.9706181134545635</v>
      </c>
      <c r="N1935" s="78">
        <v>1215.4953408534377</v>
      </c>
    </row>
    <row r="1936" spans="1:14" ht="19.5" customHeight="1" outlineLevel="1" x14ac:dyDescent="0.2">
      <c r="A1936" s="101">
        <v>32</v>
      </c>
      <c r="B1936" s="81" t="s">
        <v>39</v>
      </c>
      <c r="C1936" s="84">
        <v>0.82</v>
      </c>
      <c r="D1936" s="53">
        <v>0.95941972712596824</v>
      </c>
      <c r="E1936" s="78">
        <v>1170.0240574706932</v>
      </c>
      <c r="F1936" s="84">
        <v>0.31</v>
      </c>
      <c r="G1936" s="53">
        <v>0.37455600724557625</v>
      </c>
      <c r="H1936" s="78">
        <v>1208.2451846631493</v>
      </c>
      <c r="I1936" s="84">
        <v>0.24</v>
      </c>
      <c r="J1936" s="53">
        <v>0.30350386579200445</v>
      </c>
      <c r="K1936" s="78">
        <v>1264.5994408000186</v>
      </c>
      <c r="L1936" s="84">
        <v>0.45666666666666661</v>
      </c>
      <c r="M1936" s="53">
        <v>0.5458265333878497</v>
      </c>
      <c r="N1936" s="78">
        <v>1195.2405840609849</v>
      </c>
    </row>
    <row r="1937" spans="1:14" ht="19.5" customHeight="1" outlineLevel="1" thickBot="1" x14ac:dyDescent="0.25">
      <c r="A1937" s="102">
        <v>33</v>
      </c>
      <c r="B1937" s="91" t="s">
        <v>40</v>
      </c>
      <c r="C1937" s="92">
        <v>23.7</v>
      </c>
      <c r="D1937" s="93">
        <v>17.974109532710276</v>
      </c>
      <c r="E1937" s="94">
        <v>758.40124610591897</v>
      </c>
      <c r="F1937" s="92">
        <v>18.23</v>
      </c>
      <c r="G1937" s="93">
        <v>16.523051748520711</v>
      </c>
      <c r="H1937" s="94">
        <v>906.36597633136091</v>
      </c>
      <c r="I1937" s="92">
        <v>13.9</v>
      </c>
      <c r="J1937" s="93">
        <v>15.124085521235521</v>
      </c>
      <c r="K1937" s="94">
        <v>1088.0637065637065</v>
      </c>
      <c r="L1937" s="92">
        <v>18.61</v>
      </c>
      <c r="M1937" s="93">
        <v>16.540415600822168</v>
      </c>
      <c r="N1937" s="94">
        <v>888.79181089855831</v>
      </c>
    </row>
    <row r="1938" spans="1:14" ht="19.5" customHeight="1" thickBot="1" x14ac:dyDescent="0.25">
      <c r="A1938" s="151" t="s">
        <v>41</v>
      </c>
      <c r="B1938" s="152"/>
      <c r="C1938" s="96">
        <v>474.49999999999989</v>
      </c>
      <c r="D1938" s="97">
        <v>555.17641526984346</v>
      </c>
      <c r="E1938" s="98">
        <v>1170.0240574706925</v>
      </c>
      <c r="F1938" s="96">
        <v>458.51</v>
      </c>
      <c r="G1938" s="97">
        <v>553.99249961990051</v>
      </c>
      <c r="H1938" s="98">
        <v>1208.2451846631491</v>
      </c>
      <c r="I1938" s="96">
        <v>592.76999999999987</v>
      </c>
      <c r="J1938" s="97">
        <v>749.61661052302679</v>
      </c>
      <c r="K1938" s="98">
        <v>1264.5994408000186</v>
      </c>
      <c r="L1938" s="96">
        <v>508.59333333333325</v>
      </c>
      <c r="M1938" s="97">
        <v>619.59517513759022</v>
      </c>
      <c r="N1938" s="98">
        <v>1218.2526480965612</v>
      </c>
    </row>
    <row r="1939" spans="1:14" ht="34.5" customHeight="1" x14ac:dyDescent="0.2">
      <c r="A1939" s="153" t="s">
        <v>247</v>
      </c>
      <c r="B1939" s="154"/>
      <c r="C1939" s="154"/>
      <c r="D1939" s="154"/>
      <c r="E1939" s="154"/>
      <c r="F1939" s="154"/>
      <c r="G1939" s="154"/>
      <c r="H1939" s="154"/>
      <c r="I1939" s="154"/>
      <c r="J1939" s="154"/>
      <c r="K1939" s="154"/>
      <c r="L1939" s="154"/>
      <c r="M1939" s="154"/>
      <c r="N1939" s="154"/>
    </row>
    <row r="1940" spans="1:14" ht="19.5" customHeight="1" thickBot="1" x14ac:dyDescent="0.25">
      <c r="A1940" s="50"/>
      <c r="B1940" s="139" t="s">
        <v>93</v>
      </c>
      <c r="C1940" s="52"/>
      <c r="D1940" s="52"/>
      <c r="E1940" s="52"/>
      <c r="F1940" s="52"/>
      <c r="G1940" s="52"/>
      <c r="H1940" s="52"/>
      <c r="I1940" s="52"/>
      <c r="J1940" s="52"/>
      <c r="K1940" s="155" t="s">
        <v>1</v>
      </c>
      <c r="L1940" s="154"/>
      <c r="M1940" s="154"/>
      <c r="N1940" s="154"/>
    </row>
    <row r="1941" spans="1:14" ht="19.5" customHeight="1" x14ac:dyDescent="0.2">
      <c r="A1941" s="156" t="s">
        <v>2</v>
      </c>
      <c r="B1941" s="158" t="s">
        <v>3</v>
      </c>
      <c r="C1941" s="148" t="s">
        <v>243</v>
      </c>
      <c r="D1941" s="149"/>
      <c r="E1941" s="150"/>
      <c r="F1941" s="148" t="s">
        <v>244</v>
      </c>
      <c r="G1941" s="149"/>
      <c r="H1941" s="150"/>
      <c r="I1941" s="148" t="s">
        <v>246</v>
      </c>
      <c r="J1941" s="149"/>
      <c r="K1941" s="150"/>
      <c r="L1941" s="148" t="s">
        <v>4</v>
      </c>
      <c r="M1941" s="149"/>
      <c r="N1941" s="150"/>
    </row>
    <row r="1942" spans="1:14" ht="19.5" customHeight="1" thickBot="1" x14ac:dyDescent="0.25">
      <c r="A1942" s="157"/>
      <c r="B1942" s="159"/>
      <c r="C1942" s="85" t="s">
        <v>5</v>
      </c>
      <c r="D1942" s="79" t="s">
        <v>6</v>
      </c>
      <c r="E1942" s="80" t="s">
        <v>7</v>
      </c>
      <c r="F1942" s="85" t="s">
        <v>5</v>
      </c>
      <c r="G1942" s="79" t="s">
        <v>6</v>
      </c>
      <c r="H1942" s="80" t="s">
        <v>7</v>
      </c>
      <c r="I1942" s="85" t="s">
        <v>5</v>
      </c>
      <c r="J1942" s="79" t="s">
        <v>6</v>
      </c>
      <c r="K1942" s="80" t="s">
        <v>7</v>
      </c>
      <c r="L1942" s="85" t="s">
        <v>5</v>
      </c>
      <c r="M1942" s="79" t="s">
        <v>6</v>
      </c>
      <c r="N1942" s="80" t="s">
        <v>7</v>
      </c>
    </row>
    <row r="1943" spans="1:14" ht="19.5" customHeight="1" outlineLevel="1" x14ac:dyDescent="0.2">
      <c r="A1943" s="100">
        <v>1</v>
      </c>
      <c r="B1943" s="86" t="s">
        <v>8</v>
      </c>
      <c r="C1943" s="87">
        <v>0</v>
      </c>
      <c r="D1943" s="88">
        <v>0</v>
      </c>
      <c r="E1943" s="89">
        <v>0</v>
      </c>
      <c r="F1943" s="87">
        <v>0.05</v>
      </c>
      <c r="G1943" s="88">
        <v>0.03</v>
      </c>
      <c r="H1943" s="89">
        <v>600</v>
      </c>
      <c r="I1943" s="87">
        <v>0</v>
      </c>
      <c r="J1943" s="88">
        <v>0</v>
      </c>
      <c r="K1943" s="89">
        <v>0</v>
      </c>
      <c r="L1943" s="87">
        <v>0.05</v>
      </c>
      <c r="M1943" s="88">
        <v>0.03</v>
      </c>
      <c r="N1943" s="89">
        <v>600</v>
      </c>
    </row>
    <row r="1944" spans="1:14" ht="19.5" customHeight="1" outlineLevel="1" x14ac:dyDescent="0.2">
      <c r="A1944" s="101">
        <v>2</v>
      </c>
      <c r="B1944" s="81" t="s">
        <v>9</v>
      </c>
      <c r="C1944" s="84">
        <v>0</v>
      </c>
      <c r="D1944" s="53">
        <v>0</v>
      </c>
      <c r="E1944" s="78">
        <v>0</v>
      </c>
      <c r="F1944" s="84">
        <v>0.22</v>
      </c>
      <c r="G1944" s="53">
        <v>0.31104699999999996</v>
      </c>
      <c r="H1944" s="78">
        <v>1413.85</v>
      </c>
      <c r="I1944" s="84">
        <v>0</v>
      </c>
      <c r="J1944" s="53">
        <v>0</v>
      </c>
      <c r="K1944" s="78">
        <v>0</v>
      </c>
      <c r="L1944" s="84">
        <v>0.22</v>
      </c>
      <c r="M1944" s="53">
        <v>0.31104699999999996</v>
      </c>
      <c r="N1944" s="78">
        <v>1413.85</v>
      </c>
    </row>
    <row r="1945" spans="1:14" ht="19.5" customHeight="1" outlineLevel="1" x14ac:dyDescent="0.2">
      <c r="A1945" s="101">
        <v>3</v>
      </c>
      <c r="B1945" s="81" t="s">
        <v>10</v>
      </c>
      <c r="C1945" s="84">
        <v>0</v>
      </c>
      <c r="D1945" s="53">
        <v>0</v>
      </c>
      <c r="E1945" s="78">
        <v>0</v>
      </c>
      <c r="F1945" s="84">
        <v>0</v>
      </c>
      <c r="G1945" s="53">
        <v>0</v>
      </c>
      <c r="H1945" s="78">
        <v>0</v>
      </c>
      <c r="I1945" s="84">
        <v>0</v>
      </c>
      <c r="J1945" s="53">
        <v>0</v>
      </c>
      <c r="K1945" s="78">
        <v>0</v>
      </c>
      <c r="L1945" s="84">
        <v>0</v>
      </c>
      <c r="M1945" s="53">
        <v>0</v>
      </c>
      <c r="N1945" s="78">
        <v>0</v>
      </c>
    </row>
    <row r="1946" spans="1:14" ht="19.5" customHeight="1" outlineLevel="1" x14ac:dyDescent="0.2">
      <c r="A1946" s="101">
        <v>4</v>
      </c>
      <c r="B1946" s="81" t="s">
        <v>11</v>
      </c>
      <c r="C1946" s="84">
        <v>0</v>
      </c>
      <c r="D1946" s="53">
        <v>0</v>
      </c>
      <c r="E1946" s="78">
        <v>0</v>
      </c>
      <c r="F1946" s="84">
        <v>0</v>
      </c>
      <c r="G1946" s="53">
        <v>0</v>
      </c>
      <c r="H1946" s="78">
        <v>0</v>
      </c>
      <c r="I1946" s="84">
        <v>0.05</v>
      </c>
      <c r="J1946" s="53">
        <v>2.1000000000000001E-2</v>
      </c>
      <c r="K1946" s="78">
        <v>420</v>
      </c>
      <c r="L1946" s="84">
        <v>0.05</v>
      </c>
      <c r="M1946" s="53">
        <v>2.1000000000000001E-2</v>
      </c>
      <c r="N1946" s="78">
        <v>420</v>
      </c>
    </row>
    <row r="1947" spans="1:14" ht="19.5" customHeight="1" outlineLevel="1" x14ac:dyDescent="0.2">
      <c r="A1947" s="101">
        <v>5</v>
      </c>
      <c r="B1947" s="81" t="s">
        <v>12</v>
      </c>
      <c r="C1947" s="84">
        <v>0.12</v>
      </c>
      <c r="D1947" s="53">
        <v>8.4000000000000005E-2</v>
      </c>
      <c r="E1947" s="78">
        <v>700</v>
      </c>
      <c r="F1947" s="84">
        <v>0</v>
      </c>
      <c r="G1947" s="53">
        <v>0</v>
      </c>
      <c r="H1947" s="78">
        <v>0</v>
      </c>
      <c r="I1947" s="84">
        <v>0</v>
      </c>
      <c r="J1947" s="53">
        <v>0</v>
      </c>
      <c r="K1947" s="78">
        <v>0</v>
      </c>
      <c r="L1947" s="84">
        <v>0.12</v>
      </c>
      <c r="M1947" s="53">
        <v>8.4000000000000005E-2</v>
      </c>
      <c r="N1947" s="78">
        <v>700</v>
      </c>
    </row>
    <row r="1948" spans="1:14" ht="19.5" customHeight="1" outlineLevel="1" x14ac:dyDescent="0.2">
      <c r="A1948" s="101">
        <v>6</v>
      </c>
      <c r="B1948" s="81" t="s">
        <v>13</v>
      </c>
      <c r="C1948" s="84">
        <v>0.41</v>
      </c>
      <c r="D1948" s="53">
        <v>0.28699999999999998</v>
      </c>
      <c r="E1948" s="78">
        <v>700</v>
      </c>
      <c r="F1948" s="84">
        <v>0.11</v>
      </c>
      <c r="G1948" s="53">
        <v>8.5800000000000001E-2</v>
      </c>
      <c r="H1948" s="78">
        <v>780</v>
      </c>
      <c r="I1948" s="84">
        <v>0.08</v>
      </c>
      <c r="J1948" s="53">
        <v>6.4215200000000014E-2</v>
      </c>
      <c r="K1948" s="78">
        <v>802.69</v>
      </c>
      <c r="L1948" s="84">
        <v>0.19999999999999998</v>
      </c>
      <c r="M1948" s="53">
        <v>0.14567173333333333</v>
      </c>
      <c r="N1948" s="78">
        <v>728.35866666666664</v>
      </c>
    </row>
    <row r="1949" spans="1:14" ht="19.5" customHeight="1" outlineLevel="1" x14ac:dyDescent="0.2">
      <c r="A1949" s="101">
        <v>7</v>
      </c>
      <c r="B1949" s="81" t="s">
        <v>14</v>
      </c>
      <c r="C1949" s="84">
        <v>0</v>
      </c>
      <c r="D1949" s="53">
        <v>0</v>
      </c>
      <c r="E1949" s="78">
        <v>0</v>
      </c>
      <c r="F1949" s="84">
        <v>0</v>
      </c>
      <c r="G1949" s="53">
        <v>0</v>
      </c>
      <c r="H1949" s="78">
        <v>0</v>
      </c>
      <c r="I1949" s="84">
        <v>0</v>
      </c>
      <c r="J1949" s="53">
        <v>0</v>
      </c>
      <c r="K1949" s="78">
        <v>0</v>
      </c>
      <c r="L1949" s="84">
        <v>0</v>
      </c>
      <c r="M1949" s="53">
        <v>0</v>
      </c>
      <c r="N1949" s="78">
        <v>0</v>
      </c>
    </row>
    <row r="1950" spans="1:14" ht="19.5" customHeight="1" outlineLevel="1" x14ac:dyDescent="0.2">
      <c r="A1950" s="101">
        <v>8</v>
      </c>
      <c r="B1950" s="81" t="s">
        <v>15</v>
      </c>
      <c r="C1950" s="84">
        <v>0</v>
      </c>
      <c r="D1950" s="53">
        <v>0</v>
      </c>
      <c r="E1950" s="78">
        <v>0</v>
      </c>
      <c r="F1950" s="84">
        <v>0</v>
      </c>
      <c r="G1950" s="53">
        <v>0</v>
      </c>
      <c r="H1950" s="78">
        <v>0</v>
      </c>
      <c r="I1950" s="84">
        <v>0</v>
      </c>
      <c r="J1950" s="53">
        <v>0</v>
      </c>
      <c r="K1950" s="78">
        <v>0</v>
      </c>
      <c r="L1950" s="84">
        <v>0</v>
      </c>
      <c r="M1950" s="53">
        <v>0</v>
      </c>
      <c r="N1950" s="78">
        <v>0</v>
      </c>
    </row>
    <row r="1951" spans="1:14" ht="19.5" customHeight="1" outlineLevel="1" x14ac:dyDescent="0.2">
      <c r="A1951" s="101">
        <v>9</v>
      </c>
      <c r="B1951" s="81" t="s">
        <v>16</v>
      </c>
      <c r="C1951" s="84">
        <v>0</v>
      </c>
      <c r="D1951" s="53">
        <v>0</v>
      </c>
      <c r="E1951" s="78">
        <v>0</v>
      </c>
      <c r="F1951" s="84">
        <v>0</v>
      </c>
      <c r="G1951" s="53">
        <v>0</v>
      </c>
      <c r="H1951" s="78">
        <v>0</v>
      </c>
      <c r="I1951" s="84">
        <v>0</v>
      </c>
      <c r="J1951" s="53">
        <v>0</v>
      </c>
      <c r="K1951" s="78">
        <v>0</v>
      </c>
      <c r="L1951" s="84">
        <v>0</v>
      </c>
      <c r="M1951" s="53">
        <v>0</v>
      </c>
      <c r="N1951" s="78">
        <v>0</v>
      </c>
    </row>
    <row r="1952" spans="1:14" ht="19.5" customHeight="1" outlineLevel="1" x14ac:dyDescent="0.2">
      <c r="A1952" s="101">
        <v>10</v>
      </c>
      <c r="B1952" s="81" t="s">
        <v>17</v>
      </c>
      <c r="C1952" s="84">
        <v>0</v>
      </c>
      <c r="D1952" s="53">
        <v>0</v>
      </c>
      <c r="E1952" s="78">
        <v>0</v>
      </c>
      <c r="F1952" s="84">
        <v>0.6</v>
      </c>
      <c r="G1952" s="53">
        <v>0.54</v>
      </c>
      <c r="H1952" s="78">
        <v>900</v>
      </c>
      <c r="I1952" s="84">
        <v>0.5</v>
      </c>
      <c r="J1952" s="53">
        <v>0.4</v>
      </c>
      <c r="K1952" s="78">
        <v>800</v>
      </c>
      <c r="L1952" s="84">
        <v>0.55000000000000004</v>
      </c>
      <c r="M1952" s="53">
        <v>0.47000000000000003</v>
      </c>
      <c r="N1952" s="78">
        <v>854.54545454545462</v>
      </c>
    </row>
    <row r="1953" spans="1:14" ht="19.5" customHeight="1" outlineLevel="1" x14ac:dyDescent="0.2">
      <c r="A1953" s="101">
        <v>11</v>
      </c>
      <c r="B1953" s="81" t="s">
        <v>18</v>
      </c>
      <c r="C1953" s="84">
        <v>4.43</v>
      </c>
      <c r="D1953" s="53">
        <v>6.1444099999999997</v>
      </c>
      <c r="E1953" s="78">
        <v>1387</v>
      </c>
      <c r="F1953" s="84">
        <v>6.99</v>
      </c>
      <c r="G1953" s="53">
        <v>9.5609999999999999</v>
      </c>
      <c r="H1953" s="78">
        <v>1367.8111587982833</v>
      </c>
      <c r="I1953" s="84">
        <v>5.18</v>
      </c>
      <c r="J1953" s="53">
        <v>6.9624999999999995</v>
      </c>
      <c r="K1953" s="78">
        <v>1344.1119691119691</v>
      </c>
      <c r="L1953" s="84">
        <v>5.5333333333333341</v>
      </c>
      <c r="M1953" s="53">
        <v>7.5559699999999994</v>
      </c>
      <c r="N1953" s="78">
        <v>1365.5367469879516</v>
      </c>
    </row>
    <row r="1954" spans="1:14" ht="19.5" customHeight="1" outlineLevel="1" x14ac:dyDescent="0.2">
      <c r="A1954" s="101">
        <v>12</v>
      </c>
      <c r="B1954" s="81" t="s">
        <v>19</v>
      </c>
      <c r="C1954" s="84">
        <v>0.88</v>
      </c>
      <c r="D1954" s="53">
        <v>0.8448</v>
      </c>
      <c r="E1954" s="78">
        <v>960</v>
      </c>
      <c r="F1954" s="84">
        <v>1.68</v>
      </c>
      <c r="G1954" s="53">
        <v>2.145</v>
      </c>
      <c r="H1954" s="78">
        <v>1276.7857142857142</v>
      </c>
      <c r="I1954" s="84">
        <v>2.75</v>
      </c>
      <c r="J1954" s="53">
        <v>2.9369999999999998</v>
      </c>
      <c r="K1954" s="78">
        <v>1068</v>
      </c>
      <c r="L1954" s="84">
        <v>1.7700000000000002</v>
      </c>
      <c r="M1954" s="53">
        <v>1.9756</v>
      </c>
      <c r="N1954" s="78">
        <v>1116.1581920903952</v>
      </c>
    </row>
    <row r="1955" spans="1:14" ht="19.5" customHeight="1" outlineLevel="1" x14ac:dyDescent="0.2">
      <c r="A1955" s="101">
        <v>13</v>
      </c>
      <c r="B1955" s="81" t="s">
        <v>20</v>
      </c>
      <c r="C1955" s="84">
        <v>1.51</v>
      </c>
      <c r="D1955" s="53">
        <v>2.1894999999999998</v>
      </c>
      <c r="E1955" s="78">
        <v>1450</v>
      </c>
      <c r="F1955" s="84">
        <v>0</v>
      </c>
      <c r="G1955" s="53">
        <v>0</v>
      </c>
      <c r="H1955" s="78">
        <v>0</v>
      </c>
      <c r="I1955" s="84">
        <v>2.08</v>
      </c>
      <c r="J1955" s="53">
        <v>3.24</v>
      </c>
      <c r="K1955" s="78">
        <v>1557.6923076923076</v>
      </c>
      <c r="L1955" s="84">
        <v>1.7949999999999999</v>
      </c>
      <c r="M1955" s="53">
        <v>2.71475</v>
      </c>
      <c r="N1955" s="78">
        <v>1512.3955431754875</v>
      </c>
    </row>
    <row r="1956" spans="1:14" ht="19.5" customHeight="1" outlineLevel="1" x14ac:dyDescent="0.2">
      <c r="A1956" s="101">
        <v>14</v>
      </c>
      <c r="B1956" s="81" t="s">
        <v>21</v>
      </c>
      <c r="C1956" s="84">
        <v>1</v>
      </c>
      <c r="D1956" s="53">
        <v>0.9</v>
      </c>
      <c r="E1956" s="78">
        <v>900</v>
      </c>
      <c r="F1956" s="84">
        <v>1.2</v>
      </c>
      <c r="G1956" s="53">
        <v>1.55</v>
      </c>
      <c r="H1956" s="78">
        <v>1291.6666666666667</v>
      </c>
      <c r="I1956" s="84">
        <v>1</v>
      </c>
      <c r="J1956" s="53">
        <v>1.2410000000000001</v>
      </c>
      <c r="K1956" s="78">
        <v>1241</v>
      </c>
      <c r="L1956" s="84">
        <v>1.0666666666666667</v>
      </c>
      <c r="M1956" s="53">
        <v>1.2303333333333335</v>
      </c>
      <c r="N1956" s="78">
        <v>1153.4375000000002</v>
      </c>
    </row>
    <row r="1957" spans="1:14" ht="19.5" customHeight="1" outlineLevel="1" x14ac:dyDescent="0.2">
      <c r="A1957" s="101">
        <v>15</v>
      </c>
      <c r="B1957" s="81" t="s">
        <v>22</v>
      </c>
      <c r="C1957" s="84">
        <v>54.59</v>
      </c>
      <c r="D1957" s="53">
        <v>81.066150000000007</v>
      </c>
      <c r="E1957" s="78">
        <v>1485</v>
      </c>
      <c r="F1957" s="84">
        <v>52.17</v>
      </c>
      <c r="G1957" s="53">
        <v>76.702500000000001</v>
      </c>
      <c r="H1957" s="78">
        <v>1470.2415181138585</v>
      </c>
      <c r="I1957" s="84">
        <v>127.47</v>
      </c>
      <c r="J1957" s="53">
        <v>182.679</v>
      </c>
      <c r="K1957" s="78">
        <v>1433.1136738056014</v>
      </c>
      <c r="L1957" s="84">
        <v>78.076666666666668</v>
      </c>
      <c r="M1957" s="53">
        <v>113.48255</v>
      </c>
      <c r="N1957" s="78">
        <v>1453.4758570635699</v>
      </c>
    </row>
    <row r="1958" spans="1:14" ht="19.5" customHeight="1" outlineLevel="1" x14ac:dyDescent="0.2">
      <c r="A1958" s="101">
        <v>16</v>
      </c>
      <c r="B1958" s="81" t="s">
        <v>23</v>
      </c>
      <c r="C1958" s="84">
        <v>126</v>
      </c>
      <c r="D1958" s="53">
        <v>154.35</v>
      </c>
      <c r="E1958" s="78">
        <v>1225</v>
      </c>
      <c r="F1958" s="84">
        <v>140.1</v>
      </c>
      <c r="G1958" s="53">
        <v>202.44450000000001</v>
      </c>
      <c r="H1958" s="78">
        <v>1445</v>
      </c>
      <c r="I1958" s="84">
        <v>152.19</v>
      </c>
      <c r="J1958" s="53">
        <v>213.066</v>
      </c>
      <c r="K1958" s="78">
        <v>1400</v>
      </c>
      <c r="L1958" s="84">
        <v>139.43</v>
      </c>
      <c r="M1958" s="53">
        <v>189.95349999999999</v>
      </c>
      <c r="N1958" s="78">
        <v>1362.3574553539411</v>
      </c>
    </row>
    <row r="1959" spans="1:14" ht="19.5" customHeight="1" outlineLevel="1" x14ac:dyDescent="0.2">
      <c r="A1959" s="101">
        <v>17</v>
      </c>
      <c r="B1959" s="81" t="s">
        <v>24</v>
      </c>
      <c r="C1959" s="84">
        <v>3.6</v>
      </c>
      <c r="D1959" s="53">
        <v>3.24</v>
      </c>
      <c r="E1959" s="78">
        <v>900</v>
      </c>
      <c r="F1959" s="84">
        <v>1.61</v>
      </c>
      <c r="G1959" s="53">
        <v>2.2709999999999999</v>
      </c>
      <c r="H1959" s="78">
        <v>1410.5590062111801</v>
      </c>
      <c r="I1959" s="84">
        <v>1.18</v>
      </c>
      <c r="J1959" s="53">
        <v>0.94399999999999995</v>
      </c>
      <c r="K1959" s="78">
        <v>800</v>
      </c>
      <c r="L1959" s="84">
        <v>2.13</v>
      </c>
      <c r="M1959" s="53">
        <v>2.1516666666666668</v>
      </c>
      <c r="N1959" s="78">
        <v>1010.172143974961</v>
      </c>
    </row>
    <row r="1960" spans="1:14" ht="19.5" customHeight="1" outlineLevel="1" x14ac:dyDescent="0.2">
      <c r="A1960" s="101">
        <v>18</v>
      </c>
      <c r="B1960" s="81" t="s">
        <v>25</v>
      </c>
      <c r="C1960" s="84">
        <v>2.91</v>
      </c>
      <c r="D1960" s="53">
        <v>3.3008130000000002</v>
      </c>
      <c r="E1960" s="78">
        <v>1134.3</v>
      </c>
      <c r="F1960" s="84">
        <v>1.47</v>
      </c>
      <c r="G1960" s="53">
        <v>1.8374999999999999</v>
      </c>
      <c r="H1960" s="78">
        <v>1250</v>
      </c>
      <c r="I1960" s="84">
        <v>1.53</v>
      </c>
      <c r="J1960" s="53">
        <v>1.8360000000000001</v>
      </c>
      <c r="K1960" s="78">
        <v>1200</v>
      </c>
      <c r="L1960" s="84">
        <v>1.97</v>
      </c>
      <c r="M1960" s="53">
        <v>2.3247710000000001</v>
      </c>
      <c r="N1960" s="78">
        <v>1180.086802030457</v>
      </c>
    </row>
    <row r="1961" spans="1:14" ht="19.5" customHeight="1" outlineLevel="1" x14ac:dyDescent="0.2">
      <c r="A1961" s="101">
        <v>19</v>
      </c>
      <c r="B1961" s="81" t="s">
        <v>26</v>
      </c>
      <c r="C1961" s="84">
        <v>0</v>
      </c>
      <c r="D1961" s="53">
        <v>0</v>
      </c>
      <c r="E1961" s="78">
        <v>0</v>
      </c>
      <c r="F1961" s="84">
        <v>0</v>
      </c>
      <c r="G1961" s="53">
        <v>0</v>
      </c>
      <c r="H1961" s="78">
        <v>0</v>
      </c>
      <c r="I1961" s="84">
        <v>0</v>
      </c>
      <c r="J1961" s="53">
        <v>0</v>
      </c>
      <c r="K1961" s="78">
        <v>0</v>
      </c>
      <c r="L1961" s="84">
        <v>0</v>
      </c>
      <c r="M1961" s="53">
        <v>0</v>
      </c>
      <c r="N1961" s="78">
        <v>0</v>
      </c>
    </row>
    <row r="1962" spans="1:14" ht="19.5" customHeight="1" outlineLevel="1" x14ac:dyDescent="0.2">
      <c r="A1962" s="101">
        <v>20</v>
      </c>
      <c r="B1962" s="81" t="s">
        <v>27</v>
      </c>
      <c r="C1962" s="84">
        <v>0</v>
      </c>
      <c r="D1962" s="53">
        <v>0</v>
      </c>
      <c r="E1962" s="78">
        <v>0</v>
      </c>
      <c r="F1962" s="84">
        <v>0</v>
      </c>
      <c r="G1962" s="53">
        <v>0</v>
      </c>
      <c r="H1962" s="78">
        <v>0</v>
      </c>
      <c r="I1962" s="84">
        <v>0</v>
      </c>
      <c r="J1962" s="53">
        <v>0</v>
      </c>
      <c r="K1962" s="78">
        <v>0</v>
      </c>
      <c r="L1962" s="84">
        <v>0</v>
      </c>
      <c r="M1962" s="53">
        <v>0</v>
      </c>
      <c r="N1962" s="78">
        <v>0</v>
      </c>
    </row>
    <row r="1963" spans="1:14" ht="19.5" customHeight="1" outlineLevel="1" x14ac:dyDescent="0.2">
      <c r="A1963" s="101">
        <v>21</v>
      </c>
      <c r="B1963" s="81" t="s">
        <v>28</v>
      </c>
      <c r="C1963" s="84">
        <v>0.06</v>
      </c>
      <c r="D1963" s="53">
        <v>8.4599999999999995E-2</v>
      </c>
      <c r="E1963" s="78">
        <v>1410</v>
      </c>
      <c r="F1963" s="84">
        <v>0</v>
      </c>
      <c r="G1963" s="53">
        <v>0</v>
      </c>
      <c r="H1963" s="78">
        <v>0</v>
      </c>
      <c r="I1963" s="84">
        <v>0</v>
      </c>
      <c r="J1963" s="53">
        <v>0</v>
      </c>
      <c r="K1963" s="78">
        <v>0</v>
      </c>
      <c r="L1963" s="84">
        <v>0.06</v>
      </c>
      <c r="M1963" s="53">
        <v>8.4599999999999995E-2</v>
      </c>
      <c r="N1963" s="78">
        <v>1410</v>
      </c>
    </row>
    <row r="1964" spans="1:14" ht="19.5" customHeight="1" outlineLevel="1" x14ac:dyDescent="0.2">
      <c r="A1964" s="101">
        <v>22</v>
      </c>
      <c r="B1964" s="81" t="s">
        <v>29</v>
      </c>
      <c r="C1964" s="84">
        <v>0.46</v>
      </c>
      <c r="D1964" s="53">
        <v>0.48760000000000003</v>
      </c>
      <c r="E1964" s="78">
        <v>1060</v>
      </c>
      <c r="F1964" s="84">
        <v>0.94</v>
      </c>
      <c r="G1964" s="53">
        <v>0.92149999999999987</v>
      </c>
      <c r="H1964" s="78">
        <v>980.31914893617011</v>
      </c>
      <c r="I1964" s="84">
        <v>0.6</v>
      </c>
      <c r="J1964" s="53">
        <v>0.58799999999999997</v>
      </c>
      <c r="K1964" s="78">
        <v>980</v>
      </c>
      <c r="L1964" s="84">
        <v>0.66666666666666663</v>
      </c>
      <c r="M1964" s="53">
        <v>0.66570000000000007</v>
      </c>
      <c r="N1964" s="78">
        <v>998.55000000000007</v>
      </c>
    </row>
    <row r="1965" spans="1:14" ht="19.5" customHeight="1" outlineLevel="1" x14ac:dyDescent="0.2">
      <c r="A1965" s="101">
        <v>23</v>
      </c>
      <c r="B1965" s="81" t="s">
        <v>30</v>
      </c>
      <c r="C1965" s="84">
        <v>0</v>
      </c>
      <c r="D1965" s="53">
        <v>0</v>
      </c>
      <c r="E1965" s="78">
        <v>0</v>
      </c>
      <c r="F1965" s="84">
        <v>0</v>
      </c>
      <c r="G1965" s="53">
        <v>0</v>
      </c>
      <c r="H1965" s="78">
        <v>0</v>
      </c>
      <c r="I1965" s="84">
        <v>0</v>
      </c>
      <c r="J1965" s="53">
        <v>0</v>
      </c>
      <c r="K1965" s="78">
        <v>0</v>
      </c>
      <c r="L1965" s="84">
        <v>0</v>
      </c>
      <c r="M1965" s="53">
        <v>0</v>
      </c>
      <c r="N1965" s="78">
        <v>0</v>
      </c>
    </row>
    <row r="1966" spans="1:14" ht="19.5" customHeight="1" outlineLevel="1" x14ac:dyDescent="0.2">
      <c r="A1966" s="101">
        <v>24</v>
      </c>
      <c r="B1966" s="81" t="s">
        <v>31</v>
      </c>
      <c r="C1966" s="84">
        <v>0.05</v>
      </c>
      <c r="D1966" s="53">
        <v>3.2750000000000001E-2</v>
      </c>
      <c r="E1966" s="78">
        <v>655</v>
      </c>
      <c r="F1966" s="84">
        <v>0</v>
      </c>
      <c r="G1966" s="53">
        <v>0</v>
      </c>
      <c r="H1966" s="78">
        <v>0</v>
      </c>
      <c r="I1966" s="84">
        <v>0</v>
      </c>
      <c r="J1966" s="53">
        <v>0</v>
      </c>
      <c r="K1966" s="78">
        <v>0</v>
      </c>
      <c r="L1966" s="84">
        <v>0.05</v>
      </c>
      <c r="M1966" s="53">
        <v>3.2750000000000001E-2</v>
      </c>
      <c r="N1966" s="78">
        <v>655</v>
      </c>
    </row>
    <row r="1967" spans="1:14" ht="19.5" customHeight="1" outlineLevel="1" x14ac:dyDescent="0.2">
      <c r="A1967" s="101">
        <v>25</v>
      </c>
      <c r="B1967" s="81" t="s">
        <v>32</v>
      </c>
      <c r="C1967" s="84">
        <v>0</v>
      </c>
      <c r="D1967" s="53">
        <v>0</v>
      </c>
      <c r="E1967" s="78">
        <v>0</v>
      </c>
      <c r="F1967" s="84">
        <v>0.03</v>
      </c>
      <c r="G1967" s="53">
        <v>2.4899999999999999E-2</v>
      </c>
      <c r="H1967" s="78">
        <v>830</v>
      </c>
      <c r="I1967" s="84">
        <v>0</v>
      </c>
      <c r="J1967" s="53">
        <v>0</v>
      </c>
      <c r="K1967" s="78">
        <v>0</v>
      </c>
      <c r="L1967" s="84">
        <v>0.03</v>
      </c>
      <c r="M1967" s="53">
        <v>2.4899999999999999E-2</v>
      </c>
      <c r="N1967" s="78">
        <v>830</v>
      </c>
    </row>
    <row r="1968" spans="1:14" ht="19.5" customHeight="1" outlineLevel="1" x14ac:dyDescent="0.2">
      <c r="A1968" s="101">
        <v>26</v>
      </c>
      <c r="B1968" s="81" t="s">
        <v>33</v>
      </c>
      <c r="C1968" s="84">
        <v>1.21</v>
      </c>
      <c r="D1968" s="53">
        <v>0.72599999999999998</v>
      </c>
      <c r="E1968" s="78">
        <v>600</v>
      </c>
      <c r="F1968" s="84">
        <v>1.48</v>
      </c>
      <c r="G1968" s="53">
        <v>0.88800000000000001</v>
      </c>
      <c r="H1968" s="78">
        <v>600</v>
      </c>
      <c r="I1968" s="84">
        <v>2.2999999999999998</v>
      </c>
      <c r="J1968" s="53">
        <v>1.38</v>
      </c>
      <c r="K1968" s="78">
        <v>600</v>
      </c>
      <c r="L1968" s="84">
        <v>1.6633333333333333</v>
      </c>
      <c r="M1968" s="53">
        <v>0.99799999999999989</v>
      </c>
      <c r="N1968" s="78">
        <v>599.99999999999989</v>
      </c>
    </row>
    <row r="1969" spans="1:14" ht="19.5" customHeight="1" outlineLevel="1" x14ac:dyDescent="0.2">
      <c r="A1969" s="101">
        <v>27</v>
      </c>
      <c r="B1969" s="81" t="s">
        <v>34</v>
      </c>
      <c r="C1969" s="84">
        <v>0</v>
      </c>
      <c r="D1969" s="53">
        <v>0</v>
      </c>
      <c r="E1969" s="78">
        <v>0</v>
      </c>
      <c r="F1969" s="84">
        <v>0.04</v>
      </c>
      <c r="G1969" s="53">
        <v>3.5999999999999997E-2</v>
      </c>
      <c r="H1969" s="78">
        <v>900</v>
      </c>
      <c r="I1969" s="84">
        <v>0</v>
      </c>
      <c r="J1969" s="53">
        <v>0</v>
      </c>
      <c r="K1969" s="78">
        <v>0</v>
      </c>
      <c r="L1969" s="84">
        <v>0.04</v>
      </c>
      <c r="M1969" s="53">
        <v>3.5999999999999997E-2</v>
      </c>
      <c r="N1969" s="78">
        <v>900</v>
      </c>
    </row>
    <row r="1970" spans="1:14" ht="19.5" customHeight="1" outlineLevel="1" x14ac:dyDescent="0.2">
      <c r="A1970" s="101">
        <v>28</v>
      </c>
      <c r="B1970" s="81" t="s">
        <v>35</v>
      </c>
      <c r="C1970" s="84">
        <v>0</v>
      </c>
      <c r="D1970" s="53">
        <v>0</v>
      </c>
      <c r="E1970" s="78">
        <v>0</v>
      </c>
      <c r="F1970" s="84">
        <v>0</v>
      </c>
      <c r="G1970" s="53">
        <v>0</v>
      </c>
      <c r="H1970" s="78">
        <v>0</v>
      </c>
      <c r="I1970" s="84">
        <v>0</v>
      </c>
      <c r="J1970" s="53">
        <v>0</v>
      </c>
      <c r="K1970" s="78">
        <v>0</v>
      </c>
      <c r="L1970" s="84">
        <v>0</v>
      </c>
      <c r="M1970" s="53">
        <v>0</v>
      </c>
      <c r="N1970" s="78">
        <v>0</v>
      </c>
    </row>
    <row r="1971" spans="1:14" ht="19.5" customHeight="1" outlineLevel="1" x14ac:dyDescent="0.2">
      <c r="A1971" s="101">
        <v>29</v>
      </c>
      <c r="B1971" s="81" t="s">
        <v>36</v>
      </c>
      <c r="C1971" s="84">
        <v>1.1200000000000001</v>
      </c>
      <c r="D1971" s="53">
        <v>1.1345600000000002</v>
      </c>
      <c r="E1971" s="78">
        <v>1013</v>
      </c>
      <c r="F1971" s="84">
        <v>0.24</v>
      </c>
      <c r="G1971" s="53">
        <v>0.24229999999999996</v>
      </c>
      <c r="H1971" s="78">
        <v>1009.5833333333331</v>
      </c>
      <c r="I1971" s="84">
        <v>0.47</v>
      </c>
      <c r="J1971" s="53">
        <v>0.46263999999999994</v>
      </c>
      <c r="K1971" s="78">
        <v>984.34042553191478</v>
      </c>
      <c r="L1971" s="84">
        <v>0.61</v>
      </c>
      <c r="M1971" s="53">
        <v>0.61316666666666675</v>
      </c>
      <c r="N1971" s="78">
        <v>1005.1912568306012</v>
      </c>
    </row>
    <row r="1972" spans="1:14" ht="19.5" customHeight="1" outlineLevel="1" x14ac:dyDescent="0.2">
      <c r="A1972" s="101">
        <v>30</v>
      </c>
      <c r="B1972" s="81" t="s">
        <v>37</v>
      </c>
      <c r="C1972" s="84">
        <v>2.4300000000000002</v>
      </c>
      <c r="D1972" s="53">
        <v>2.1869999999999998</v>
      </c>
      <c r="E1972" s="78">
        <v>900</v>
      </c>
      <c r="F1972" s="84">
        <v>3.61</v>
      </c>
      <c r="G1972" s="53">
        <v>3.3767499999999999</v>
      </c>
      <c r="H1972" s="78">
        <v>935.38781163434908</v>
      </c>
      <c r="I1972" s="84">
        <v>3.17</v>
      </c>
      <c r="J1972" s="53">
        <v>2.7351499999999995</v>
      </c>
      <c r="K1972" s="78">
        <v>862.82334384858041</v>
      </c>
      <c r="L1972" s="84">
        <v>3.0700000000000003</v>
      </c>
      <c r="M1972" s="53">
        <v>2.7662999999999998</v>
      </c>
      <c r="N1972" s="78">
        <v>901.07491856677507</v>
      </c>
    </row>
    <row r="1973" spans="1:14" ht="19.5" customHeight="1" outlineLevel="1" x14ac:dyDescent="0.2">
      <c r="A1973" s="101">
        <v>31</v>
      </c>
      <c r="B1973" s="81" t="s">
        <v>38</v>
      </c>
      <c r="C1973" s="84">
        <v>0.69</v>
      </c>
      <c r="D1973" s="53">
        <v>0.48299999999999993</v>
      </c>
      <c r="E1973" s="78">
        <v>700</v>
      </c>
      <c r="F1973" s="84">
        <v>0.97</v>
      </c>
      <c r="G1973" s="53">
        <v>0.67900000000000005</v>
      </c>
      <c r="H1973" s="78">
        <v>700</v>
      </c>
      <c r="I1973" s="84">
        <v>0.93</v>
      </c>
      <c r="J1973" s="53">
        <v>0.65099999999999991</v>
      </c>
      <c r="K1973" s="78">
        <v>699.99999999999989</v>
      </c>
      <c r="L1973" s="84">
        <v>0.86333333333333329</v>
      </c>
      <c r="M1973" s="53">
        <v>0.60433333333333328</v>
      </c>
      <c r="N1973" s="78">
        <v>700</v>
      </c>
    </row>
    <row r="1974" spans="1:14" ht="19.5" customHeight="1" outlineLevel="1" x14ac:dyDescent="0.2">
      <c r="A1974" s="101">
        <v>32</v>
      </c>
      <c r="B1974" s="81" t="s">
        <v>39</v>
      </c>
      <c r="C1974" s="84">
        <v>0</v>
      </c>
      <c r="D1974" s="53">
        <v>0</v>
      </c>
      <c r="E1974" s="78">
        <v>0</v>
      </c>
      <c r="F1974" s="84">
        <v>0</v>
      </c>
      <c r="G1974" s="53">
        <v>0</v>
      </c>
      <c r="H1974" s="78">
        <v>0</v>
      </c>
      <c r="I1974" s="84">
        <v>0</v>
      </c>
      <c r="J1974" s="53">
        <v>0</v>
      </c>
      <c r="K1974" s="78">
        <v>0</v>
      </c>
      <c r="L1974" s="84">
        <v>0</v>
      </c>
      <c r="M1974" s="53">
        <v>0</v>
      </c>
      <c r="N1974" s="78">
        <v>0</v>
      </c>
    </row>
    <row r="1975" spans="1:14" ht="19.5" customHeight="1" outlineLevel="1" thickBot="1" x14ac:dyDescent="0.25">
      <c r="A1975" s="102">
        <v>33</v>
      </c>
      <c r="B1975" s="91" t="s">
        <v>40</v>
      </c>
      <c r="C1975" s="92">
        <v>0.21</v>
      </c>
      <c r="D1975" s="93">
        <v>0.26459999999999995</v>
      </c>
      <c r="E1975" s="94">
        <v>1260</v>
      </c>
      <c r="F1975" s="92">
        <v>0.03</v>
      </c>
      <c r="G1975" s="93">
        <v>2.8500000000000001E-2</v>
      </c>
      <c r="H1975" s="94">
        <v>950</v>
      </c>
      <c r="I1975" s="92">
        <v>0.17</v>
      </c>
      <c r="J1975" s="93">
        <v>0.17010000000000003</v>
      </c>
      <c r="K1975" s="94">
        <v>1000.5882352941177</v>
      </c>
      <c r="L1975" s="92">
        <v>0.13666666666666669</v>
      </c>
      <c r="M1975" s="93">
        <v>0.15440000000000001</v>
      </c>
      <c r="N1975" s="94">
        <v>1129.7560975609754</v>
      </c>
    </row>
    <row r="1976" spans="1:14" ht="19.5" customHeight="1" thickBot="1" x14ac:dyDescent="0.25">
      <c r="A1976" s="151" t="s">
        <v>41</v>
      </c>
      <c r="B1976" s="152"/>
      <c r="C1976" s="96">
        <v>201.68000000000004</v>
      </c>
      <c r="D1976" s="97">
        <v>257.80678299999994</v>
      </c>
      <c r="E1976" s="98">
        <v>1278.2962266957552</v>
      </c>
      <c r="F1976" s="96">
        <v>213.54000000000002</v>
      </c>
      <c r="G1976" s="97">
        <v>303.67529699999994</v>
      </c>
      <c r="H1976" s="98">
        <v>1422.1002950266925</v>
      </c>
      <c r="I1976" s="96">
        <v>301.65000000000003</v>
      </c>
      <c r="J1976" s="97">
        <v>419.37760520000006</v>
      </c>
      <c r="K1976" s="98">
        <v>1390.2788171722195</v>
      </c>
      <c r="L1976" s="96">
        <v>238.95666666666671</v>
      </c>
      <c r="M1976" s="97">
        <v>326.9532284</v>
      </c>
      <c r="N1976" s="98">
        <v>1368.2532191331761</v>
      </c>
    </row>
    <row r="1977" spans="1:14" ht="34.5" customHeight="1" x14ac:dyDescent="0.2">
      <c r="A1977" s="153" t="s">
        <v>247</v>
      </c>
      <c r="B1977" s="154"/>
      <c r="C1977" s="154"/>
      <c r="D1977" s="154"/>
      <c r="E1977" s="154"/>
      <c r="F1977" s="154"/>
      <c r="G1977" s="154"/>
      <c r="H1977" s="154"/>
      <c r="I1977" s="154"/>
      <c r="J1977" s="154"/>
      <c r="K1977" s="154"/>
      <c r="L1977" s="154"/>
      <c r="M1977" s="154"/>
      <c r="N1977" s="154"/>
    </row>
    <row r="1978" spans="1:14" ht="19.5" customHeight="1" thickBot="1" x14ac:dyDescent="0.25">
      <c r="A1978" s="50"/>
      <c r="B1978" s="139" t="s">
        <v>94</v>
      </c>
      <c r="C1978" s="52"/>
      <c r="D1978" s="52"/>
      <c r="E1978" s="52"/>
      <c r="F1978" s="52"/>
      <c r="G1978" s="52"/>
      <c r="H1978" s="52"/>
      <c r="I1978" s="52"/>
      <c r="J1978" s="52"/>
      <c r="K1978" s="155" t="s">
        <v>1</v>
      </c>
      <c r="L1978" s="154"/>
      <c r="M1978" s="154"/>
      <c r="N1978" s="154"/>
    </row>
    <row r="1979" spans="1:14" ht="19.5" customHeight="1" x14ac:dyDescent="0.2">
      <c r="A1979" s="156" t="s">
        <v>2</v>
      </c>
      <c r="B1979" s="158" t="s">
        <v>3</v>
      </c>
      <c r="C1979" s="148" t="s">
        <v>243</v>
      </c>
      <c r="D1979" s="149"/>
      <c r="E1979" s="150"/>
      <c r="F1979" s="148" t="s">
        <v>244</v>
      </c>
      <c r="G1979" s="149"/>
      <c r="H1979" s="150"/>
      <c r="I1979" s="148" t="s">
        <v>246</v>
      </c>
      <c r="J1979" s="149"/>
      <c r="K1979" s="150"/>
      <c r="L1979" s="148" t="s">
        <v>4</v>
      </c>
      <c r="M1979" s="149"/>
      <c r="N1979" s="150"/>
    </row>
    <row r="1980" spans="1:14" ht="19.5" customHeight="1" thickBot="1" x14ac:dyDescent="0.25">
      <c r="A1980" s="157"/>
      <c r="B1980" s="159"/>
      <c r="C1980" s="85" t="s">
        <v>5</v>
      </c>
      <c r="D1980" s="79" t="s">
        <v>6</v>
      </c>
      <c r="E1980" s="80" t="s">
        <v>7</v>
      </c>
      <c r="F1980" s="85" t="s">
        <v>5</v>
      </c>
      <c r="G1980" s="79" t="s">
        <v>6</v>
      </c>
      <c r="H1980" s="80" t="s">
        <v>7</v>
      </c>
      <c r="I1980" s="85" t="s">
        <v>5</v>
      </c>
      <c r="J1980" s="79" t="s">
        <v>6</v>
      </c>
      <c r="K1980" s="80" t="s">
        <v>7</v>
      </c>
      <c r="L1980" s="85" t="s">
        <v>5</v>
      </c>
      <c r="M1980" s="79" t="s">
        <v>6</v>
      </c>
      <c r="N1980" s="80" t="s">
        <v>7</v>
      </c>
    </row>
    <row r="1981" spans="1:14" ht="19.5" customHeight="1" outlineLevel="1" x14ac:dyDescent="0.2">
      <c r="A1981" s="100">
        <v>1</v>
      </c>
      <c r="B1981" s="86" t="s">
        <v>8</v>
      </c>
      <c r="C1981" s="87">
        <v>18.63</v>
      </c>
      <c r="D1981" s="88">
        <v>9.8925299999999989</v>
      </c>
      <c r="E1981" s="89">
        <v>531</v>
      </c>
      <c r="F1981" s="87">
        <v>29.85</v>
      </c>
      <c r="G1981" s="88">
        <v>25.408320000000003</v>
      </c>
      <c r="H1981" s="89">
        <v>851.2</v>
      </c>
      <c r="I1981" s="87">
        <v>26.11</v>
      </c>
      <c r="J1981" s="88">
        <v>19.551168000000001</v>
      </c>
      <c r="K1981" s="89">
        <v>748.80000000000007</v>
      </c>
      <c r="L1981" s="87">
        <v>24.863333333333333</v>
      </c>
      <c r="M1981" s="88">
        <v>18.284006000000002</v>
      </c>
      <c r="N1981" s="89">
        <v>735.38031907762445</v>
      </c>
    </row>
    <row r="1982" spans="1:14" ht="19.5" customHeight="1" outlineLevel="1" x14ac:dyDescent="0.2">
      <c r="A1982" s="101">
        <v>2</v>
      </c>
      <c r="B1982" s="81" t="s">
        <v>9</v>
      </c>
      <c r="C1982" s="84">
        <v>0</v>
      </c>
      <c r="D1982" s="53">
        <v>0</v>
      </c>
      <c r="E1982" s="78">
        <v>0</v>
      </c>
      <c r="F1982" s="84">
        <v>0</v>
      </c>
      <c r="G1982" s="53">
        <v>0</v>
      </c>
      <c r="H1982" s="78">
        <v>0</v>
      </c>
      <c r="I1982" s="84">
        <v>0.28000000000000003</v>
      </c>
      <c r="J1982" s="53">
        <v>0.27354417787590241</v>
      </c>
      <c r="K1982" s="78">
        <v>976.94349241393695</v>
      </c>
      <c r="L1982" s="84">
        <v>0.28000000000000003</v>
      </c>
      <c r="M1982" s="53">
        <v>0.27354417787590241</v>
      </c>
      <c r="N1982" s="78">
        <v>976.94349241393707</v>
      </c>
    </row>
    <row r="1983" spans="1:14" ht="19.5" customHeight="1" outlineLevel="1" x14ac:dyDescent="0.2">
      <c r="A1983" s="101">
        <v>3</v>
      </c>
      <c r="B1983" s="81" t="s">
        <v>10</v>
      </c>
      <c r="C1983" s="84">
        <v>0</v>
      </c>
      <c r="D1983" s="53">
        <v>0</v>
      </c>
      <c r="E1983" s="78">
        <v>0</v>
      </c>
      <c r="F1983" s="84">
        <v>0.16</v>
      </c>
      <c r="G1983" s="53">
        <v>0.15763669956846071</v>
      </c>
      <c r="H1983" s="78">
        <v>985.22937230287948</v>
      </c>
      <c r="I1983" s="84">
        <v>0.77</v>
      </c>
      <c r="J1983" s="53">
        <v>0.75224648915873149</v>
      </c>
      <c r="K1983" s="78">
        <v>976.94349241393695</v>
      </c>
      <c r="L1983" s="84">
        <v>0.46500000000000002</v>
      </c>
      <c r="M1983" s="53">
        <v>0.4549415943635961</v>
      </c>
      <c r="N1983" s="78">
        <v>978.3690201367657</v>
      </c>
    </row>
    <row r="1984" spans="1:14" ht="19.5" customHeight="1" outlineLevel="1" x14ac:dyDescent="0.2">
      <c r="A1984" s="101">
        <v>4</v>
      </c>
      <c r="B1984" s="81" t="s">
        <v>11</v>
      </c>
      <c r="C1984" s="84">
        <v>4.2</v>
      </c>
      <c r="D1984" s="53">
        <v>3.57</v>
      </c>
      <c r="E1984" s="78">
        <v>850</v>
      </c>
      <c r="F1984" s="84">
        <v>3.79</v>
      </c>
      <c r="G1984" s="53">
        <v>3.7340193210279131</v>
      </c>
      <c r="H1984" s="78">
        <v>985.22937230287948</v>
      </c>
      <c r="I1984" s="84">
        <v>3.26</v>
      </c>
      <c r="J1984" s="53">
        <v>3.1848357852694344</v>
      </c>
      <c r="K1984" s="78">
        <v>976.94349241393695</v>
      </c>
      <c r="L1984" s="84">
        <v>3.75</v>
      </c>
      <c r="M1984" s="53">
        <v>3.4962850354324488</v>
      </c>
      <c r="N1984" s="78">
        <v>932.3426761153197</v>
      </c>
    </row>
    <row r="1985" spans="1:14" ht="19.5" customHeight="1" outlineLevel="1" x14ac:dyDescent="0.2">
      <c r="A1985" s="101">
        <v>5</v>
      </c>
      <c r="B1985" s="81" t="s">
        <v>12</v>
      </c>
      <c r="C1985" s="84">
        <v>2.2799999999999998</v>
      </c>
      <c r="D1985" s="53">
        <v>1.5959999999999999</v>
      </c>
      <c r="E1985" s="78">
        <v>700</v>
      </c>
      <c r="F1985" s="84">
        <v>11.56</v>
      </c>
      <c r="G1985" s="53">
        <v>11.389251543821286</v>
      </c>
      <c r="H1985" s="78">
        <v>985.22937230287948</v>
      </c>
      <c r="I1985" s="84">
        <v>15.6</v>
      </c>
      <c r="J1985" s="53">
        <v>15.240318481657416</v>
      </c>
      <c r="K1985" s="78">
        <v>976.94349241393695</v>
      </c>
      <c r="L1985" s="84">
        <v>9.8133333333333326</v>
      </c>
      <c r="M1985" s="53">
        <v>9.4085233418262337</v>
      </c>
      <c r="N1985" s="78">
        <v>958.74898184370602</v>
      </c>
    </row>
    <row r="1986" spans="1:14" ht="19.5" customHeight="1" outlineLevel="1" x14ac:dyDescent="0.2">
      <c r="A1986" s="101">
        <v>6</v>
      </c>
      <c r="B1986" s="81" t="s">
        <v>13</v>
      </c>
      <c r="C1986" s="84">
        <v>3.41</v>
      </c>
      <c r="D1986" s="53">
        <v>1.7391000000000001</v>
      </c>
      <c r="E1986" s="78">
        <v>510</v>
      </c>
      <c r="F1986" s="84">
        <v>4.12</v>
      </c>
      <c r="G1986" s="53">
        <v>3.0141919999999995</v>
      </c>
      <c r="H1986" s="78">
        <v>731.59999999999991</v>
      </c>
      <c r="I1986" s="84">
        <v>3.33</v>
      </c>
      <c r="J1986" s="53">
        <v>3.2532218297384103</v>
      </c>
      <c r="K1986" s="78">
        <v>976.94349241393695</v>
      </c>
      <c r="L1986" s="84">
        <v>3.6199999999999997</v>
      </c>
      <c r="M1986" s="53">
        <v>2.6688379432461367</v>
      </c>
      <c r="N1986" s="78">
        <v>737.24805062047983</v>
      </c>
    </row>
    <row r="1987" spans="1:14" ht="19.5" customHeight="1" outlineLevel="1" x14ac:dyDescent="0.2">
      <c r="A1987" s="101">
        <v>7</v>
      </c>
      <c r="B1987" s="81" t="s">
        <v>14</v>
      </c>
      <c r="C1987" s="84">
        <v>0.06</v>
      </c>
      <c r="D1987" s="53">
        <v>3.4199999999999994E-2</v>
      </c>
      <c r="E1987" s="78">
        <v>570</v>
      </c>
      <c r="F1987" s="84">
        <v>0.71</v>
      </c>
      <c r="G1987" s="53">
        <v>0.6995128543350444</v>
      </c>
      <c r="H1987" s="78">
        <v>985.22937230287948</v>
      </c>
      <c r="I1987" s="84">
        <v>0.57999999999999996</v>
      </c>
      <c r="J1987" s="53">
        <v>0.56662722560008338</v>
      </c>
      <c r="K1987" s="78">
        <v>976.94349241393695</v>
      </c>
      <c r="L1987" s="84">
        <v>0.45</v>
      </c>
      <c r="M1987" s="53">
        <v>0.43344669331170921</v>
      </c>
      <c r="N1987" s="78">
        <v>963.21487402602042</v>
      </c>
    </row>
    <row r="1988" spans="1:14" ht="19.5" customHeight="1" outlineLevel="1" x14ac:dyDescent="0.2">
      <c r="A1988" s="101">
        <v>8</v>
      </c>
      <c r="B1988" s="81" t="s">
        <v>15</v>
      </c>
      <c r="C1988" s="84">
        <v>7.61</v>
      </c>
      <c r="D1988" s="53">
        <v>3.8811000000000004</v>
      </c>
      <c r="E1988" s="78">
        <v>510</v>
      </c>
      <c r="F1988" s="84">
        <v>8.34</v>
      </c>
      <c r="G1988" s="53">
        <v>8.2168129650060138</v>
      </c>
      <c r="H1988" s="78">
        <v>985.22937230287948</v>
      </c>
      <c r="I1988" s="84">
        <v>4.57</v>
      </c>
      <c r="J1988" s="53">
        <v>6.1676719999999996</v>
      </c>
      <c r="K1988" s="78">
        <v>1349.6</v>
      </c>
      <c r="L1988" s="84">
        <v>6.84</v>
      </c>
      <c r="M1988" s="53">
        <v>6.0885283216686714</v>
      </c>
      <c r="N1988" s="78">
        <v>890.13571954220345</v>
      </c>
    </row>
    <row r="1989" spans="1:14" ht="19.5" customHeight="1" outlineLevel="1" x14ac:dyDescent="0.2">
      <c r="A1989" s="101">
        <v>9</v>
      </c>
      <c r="B1989" s="81" t="s">
        <v>16</v>
      </c>
      <c r="C1989" s="84">
        <v>265.73</v>
      </c>
      <c r="D1989" s="53">
        <v>148.80880000000002</v>
      </c>
      <c r="E1989" s="78">
        <v>560</v>
      </c>
      <c r="F1989" s="84">
        <v>208.06</v>
      </c>
      <c r="G1989" s="53">
        <v>186.69544702667963</v>
      </c>
      <c r="H1989" s="78">
        <v>897.31542356377793</v>
      </c>
      <c r="I1989" s="84">
        <v>201.3</v>
      </c>
      <c r="J1989" s="53">
        <v>178.65203814290822</v>
      </c>
      <c r="K1989" s="78">
        <v>887.49149599060217</v>
      </c>
      <c r="L1989" s="84">
        <v>225.03</v>
      </c>
      <c r="M1989" s="53">
        <v>171.3854283898626</v>
      </c>
      <c r="N1989" s="78">
        <v>761.61146687047324</v>
      </c>
    </row>
    <row r="1990" spans="1:14" ht="19.5" customHeight="1" outlineLevel="1" x14ac:dyDescent="0.2">
      <c r="A1990" s="101">
        <v>10</v>
      </c>
      <c r="B1990" s="81" t="s">
        <v>17</v>
      </c>
      <c r="C1990" s="84">
        <v>132.33000000000001</v>
      </c>
      <c r="D1990" s="53">
        <v>114.99477</v>
      </c>
      <c r="E1990" s="78">
        <v>869</v>
      </c>
      <c r="F1990" s="84">
        <v>152.4</v>
      </c>
      <c r="G1990" s="53">
        <v>128.10077693023254</v>
      </c>
      <c r="H1990" s="78">
        <v>840.55627906976736</v>
      </c>
      <c r="I1990" s="84">
        <v>166.59</v>
      </c>
      <c r="J1990" s="53">
        <v>180.62528457742138</v>
      </c>
      <c r="K1990" s="78">
        <v>1084.2504626773598</v>
      </c>
      <c r="L1990" s="84">
        <v>150.44000000000003</v>
      </c>
      <c r="M1990" s="53">
        <v>141.24027716921799</v>
      </c>
      <c r="N1990" s="78">
        <v>938.8478939724672</v>
      </c>
    </row>
    <row r="1991" spans="1:14" ht="19.5" customHeight="1" outlineLevel="1" x14ac:dyDescent="0.2">
      <c r="A1991" s="101">
        <v>11</v>
      </c>
      <c r="B1991" s="81" t="s">
        <v>18</v>
      </c>
      <c r="C1991" s="84">
        <v>49.95</v>
      </c>
      <c r="D1991" s="53">
        <v>68.381550000000004</v>
      </c>
      <c r="E1991" s="78">
        <v>1369</v>
      </c>
      <c r="F1991" s="84">
        <v>42.82</v>
      </c>
      <c r="G1991" s="53">
        <v>38.094595004258615</v>
      </c>
      <c r="H1991" s="78">
        <v>889.64490902051875</v>
      </c>
      <c r="I1991" s="84">
        <v>60.89</v>
      </c>
      <c r="J1991" s="53">
        <v>61.408717684039971</v>
      </c>
      <c r="K1991" s="78">
        <v>1008.5189305968134</v>
      </c>
      <c r="L1991" s="84">
        <v>51.220000000000006</v>
      </c>
      <c r="M1991" s="53">
        <v>55.961620896099532</v>
      </c>
      <c r="N1991" s="78">
        <v>1092.5736215560237</v>
      </c>
    </row>
    <row r="1992" spans="1:14" ht="19.5" customHeight="1" outlineLevel="1" x14ac:dyDescent="0.2">
      <c r="A1992" s="101">
        <v>12</v>
      </c>
      <c r="B1992" s="81" t="s">
        <v>19</v>
      </c>
      <c r="C1992" s="84">
        <v>51.22</v>
      </c>
      <c r="D1992" s="53">
        <v>49.939500000000002</v>
      </c>
      <c r="E1992" s="78">
        <v>975</v>
      </c>
      <c r="F1992" s="84">
        <v>53.75</v>
      </c>
      <c r="G1992" s="53">
        <v>48.006256446700505</v>
      </c>
      <c r="H1992" s="78">
        <v>893.13965482233505</v>
      </c>
      <c r="I1992" s="84">
        <v>51.55</v>
      </c>
      <c r="J1992" s="53">
        <v>44.410772540192916</v>
      </c>
      <c r="K1992" s="78">
        <v>861.50868167202555</v>
      </c>
      <c r="L1992" s="84">
        <v>52.173333333333325</v>
      </c>
      <c r="M1992" s="53">
        <v>47.45217632896447</v>
      </c>
      <c r="N1992" s="78">
        <v>909.51015197350785</v>
      </c>
    </row>
    <row r="1993" spans="1:14" ht="19.5" customHeight="1" outlineLevel="1" x14ac:dyDescent="0.2">
      <c r="A1993" s="101">
        <v>13</v>
      </c>
      <c r="B1993" s="81" t="s">
        <v>20</v>
      </c>
      <c r="C1993" s="84">
        <v>14.76</v>
      </c>
      <c r="D1993" s="53">
        <v>8.1180000000000003</v>
      </c>
      <c r="E1993" s="78">
        <v>550</v>
      </c>
      <c r="F1993" s="84">
        <v>10.130000000000001</v>
      </c>
      <c r="G1993" s="53">
        <v>2.3987840000000005</v>
      </c>
      <c r="H1993" s="78">
        <v>236.80000000000004</v>
      </c>
      <c r="I1993" s="84">
        <v>42.35</v>
      </c>
      <c r="J1993" s="53">
        <v>9.8760200000000005</v>
      </c>
      <c r="K1993" s="78">
        <v>233.20000000000002</v>
      </c>
      <c r="L1993" s="84">
        <v>22.413333333333338</v>
      </c>
      <c r="M1993" s="53">
        <v>6.7976013333333336</v>
      </c>
      <c r="N1993" s="78">
        <v>303.28381915526467</v>
      </c>
    </row>
    <row r="1994" spans="1:14" ht="19.5" customHeight="1" outlineLevel="1" x14ac:dyDescent="0.2">
      <c r="A1994" s="101">
        <v>14</v>
      </c>
      <c r="B1994" s="81" t="s">
        <v>21</v>
      </c>
      <c r="C1994" s="84">
        <v>36.1</v>
      </c>
      <c r="D1994" s="53">
        <v>34.295000000000002</v>
      </c>
      <c r="E1994" s="78">
        <v>950</v>
      </c>
      <c r="F1994" s="84">
        <v>21.55</v>
      </c>
      <c r="G1994" s="53">
        <v>13.629191558753</v>
      </c>
      <c r="H1994" s="78">
        <v>632.44508393285378</v>
      </c>
      <c r="I1994" s="84">
        <v>17.7</v>
      </c>
      <c r="J1994" s="53">
        <v>15.14524513375796</v>
      </c>
      <c r="K1994" s="78">
        <v>855.66356687898087</v>
      </c>
      <c r="L1994" s="84">
        <v>25.116666666666671</v>
      </c>
      <c r="M1994" s="53">
        <v>21.023145564170321</v>
      </c>
      <c r="N1994" s="78">
        <v>837.01973049118715</v>
      </c>
    </row>
    <row r="1995" spans="1:14" ht="19.5" customHeight="1" outlineLevel="1" x14ac:dyDescent="0.2">
      <c r="A1995" s="101">
        <v>15</v>
      </c>
      <c r="B1995" s="81" t="s">
        <v>22</v>
      </c>
      <c r="C1995" s="84">
        <v>293.61</v>
      </c>
      <c r="D1995" s="53">
        <v>328.84320000000002</v>
      </c>
      <c r="E1995" s="78">
        <v>1120</v>
      </c>
      <c r="F1995" s="84">
        <v>278.38</v>
      </c>
      <c r="G1995" s="53">
        <v>351.66365661642629</v>
      </c>
      <c r="H1995" s="78">
        <v>1263.2504368719963</v>
      </c>
      <c r="I1995" s="84">
        <v>269.45999999999998</v>
      </c>
      <c r="J1995" s="53">
        <v>293.59983492862818</v>
      </c>
      <c r="K1995" s="78">
        <v>1089.585967967892</v>
      </c>
      <c r="L1995" s="84">
        <v>280.48333333333335</v>
      </c>
      <c r="M1995" s="53">
        <v>324.70223051501819</v>
      </c>
      <c r="N1995" s="78">
        <v>1157.6524945570793</v>
      </c>
    </row>
    <row r="1996" spans="1:14" ht="19.5" customHeight="1" outlineLevel="1" x14ac:dyDescent="0.2">
      <c r="A1996" s="101">
        <v>16</v>
      </c>
      <c r="B1996" s="81" t="s">
        <v>23</v>
      </c>
      <c r="C1996" s="84">
        <v>87.05</v>
      </c>
      <c r="D1996" s="53">
        <v>97.931250000000006</v>
      </c>
      <c r="E1996" s="78">
        <v>1125</v>
      </c>
      <c r="F1996" s="84">
        <v>72.77</v>
      </c>
      <c r="G1996" s="53">
        <v>94.902963999999997</v>
      </c>
      <c r="H1996" s="78">
        <v>1304.1495671293114</v>
      </c>
      <c r="I1996" s="84">
        <v>75.569999999999993</v>
      </c>
      <c r="J1996" s="53">
        <v>104.389516</v>
      </c>
      <c r="K1996" s="78">
        <v>1381.361863173217</v>
      </c>
      <c r="L1996" s="84">
        <v>78.463333333333324</v>
      </c>
      <c r="M1996" s="53">
        <v>99.074576666666658</v>
      </c>
      <c r="N1996" s="78">
        <v>1262.6863078295596</v>
      </c>
    </row>
    <row r="1997" spans="1:14" ht="19.5" customHeight="1" outlineLevel="1" x14ac:dyDescent="0.2">
      <c r="A1997" s="101">
        <v>17</v>
      </c>
      <c r="B1997" s="81" t="s">
        <v>24</v>
      </c>
      <c r="C1997" s="84">
        <v>144.76</v>
      </c>
      <c r="D1997" s="53">
        <v>115.80800000000001</v>
      </c>
      <c r="E1997" s="78">
        <v>800</v>
      </c>
      <c r="F1997" s="84">
        <v>107.05</v>
      </c>
      <c r="G1997" s="53">
        <v>93.551950208981339</v>
      </c>
      <c r="H1997" s="78">
        <v>873.90892301710733</v>
      </c>
      <c r="I1997" s="84">
        <v>115.45</v>
      </c>
      <c r="J1997" s="53">
        <v>91.687479638299834</v>
      </c>
      <c r="K1997" s="78">
        <v>794.17479115028004</v>
      </c>
      <c r="L1997" s="84">
        <v>122.42</v>
      </c>
      <c r="M1997" s="53">
        <v>100.34914328242705</v>
      </c>
      <c r="N1997" s="78">
        <v>819.71200198028953</v>
      </c>
    </row>
    <row r="1998" spans="1:14" ht="19.5" customHeight="1" outlineLevel="1" x14ac:dyDescent="0.2">
      <c r="A1998" s="101">
        <v>18</v>
      </c>
      <c r="B1998" s="81" t="s">
        <v>25</v>
      </c>
      <c r="C1998" s="84">
        <v>66.430000000000007</v>
      </c>
      <c r="D1998" s="53">
        <v>41.876143400000004</v>
      </c>
      <c r="E1998" s="78">
        <v>630.38</v>
      </c>
      <c r="F1998" s="84">
        <v>64.599999999999994</v>
      </c>
      <c r="G1998" s="53">
        <v>54.773329817359539</v>
      </c>
      <c r="H1998" s="78">
        <v>847.8843624978258</v>
      </c>
      <c r="I1998" s="84">
        <v>54.34</v>
      </c>
      <c r="J1998" s="53">
        <v>62.002762554399247</v>
      </c>
      <c r="K1998" s="78">
        <v>1141.0151371807001</v>
      </c>
      <c r="L1998" s="84">
        <v>61.79</v>
      </c>
      <c r="M1998" s="53">
        <v>52.884078590586263</v>
      </c>
      <c r="N1998" s="78">
        <v>855.86791698634511</v>
      </c>
    </row>
    <row r="1999" spans="1:14" ht="19.5" customHeight="1" outlineLevel="1" x14ac:dyDescent="0.2">
      <c r="A1999" s="101">
        <v>19</v>
      </c>
      <c r="B1999" s="81" t="s">
        <v>26</v>
      </c>
      <c r="C1999" s="84">
        <v>23.05</v>
      </c>
      <c r="D1999" s="53">
        <v>17.518000000000001</v>
      </c>
      <c r="E1999" s="78">
        <v>760</v>
      </c>
      <c r="F1999" s="84">
        <v>21.23</v>
      </c>
      <c r="G1999" s="53">
        <v>20.710301075675677</v>
      </c>
      <c r="H1999" s="78">
        <v>975.52054054054054</v>
      </c>
      <c r="I1999" s="84">
        <v>34.53</v>
      </c>
      <c r="J1999" s="53">
        <v>35.543278183783777</v>
      </c>
      <c r="K1999" s="78">
        <v>1029.3448648648646</v>
      </c>
      <c r="L1999" s="84">
        <v>26.27</v>
      </c>
      <c r="M1999" s="53">
        <v>24.59052641981982</v>
      </c>
      <c r="N1999" s="78">
        <v>936.06876360182036</v>
      </c>
    </row>
    <row r="2000" spans="1:14" ht="19.5" customHeight="1" outlineLevel="1" x14ac:dyDescent="0.2">
      <c r="A2000" s="101">
        <v>20</v>
      </c>
      <c r="B2000" s="81" t="s">
        <v>27</v>
      </c>
      <c r="C2000" s="84">
        <v>0</v>
      </c>
      <c r="D2000" s="53">
        <v>0</v>
      </c>
      <c r="E2000" s="78">
        <v>0</v>
      </c>
      <c r="F2000" s="84">
        <v>0.09</v>
      </c>
      <c r="G2000" s="53">
        <v>8.8670643507259145E-2</v>
      </c>
      <c r="H2000" s="78">
        <v>985.22937230287948</v>
      </c>
      <c r="I2000" s="84">
        <v>0.19</v>
      </c>
      <c r="J2000" s="53">
        <v>0.18561926355864802</v>
      </c>
      <c r="K2000" s="78">
        <v>976.94349241393695</v>
      </c>
      <c r="L2000" s="84">
        <v>0.14000000000000001</v>
      </c>
      <c r="M2000" s="53">
        <v>0.13714495353295358</v>
      </c>
      <c r="N2000" s="78">
        <v>979.60681094966844</v>
      </c>
    </row>
    <row r="2001" spans="1:14" ht="19.5" customHeight="1" outlineLevel="1" x14ac:dyDescent="0.2">
      <c r="A2001" s="101">
        <v>21</v>
      </c>
      <c r="B2001" s="81" t="s">
        <v>28</v>
      </c>
      <c r="C2001" s="84">
        <v>2.41</v>
      </c>
      <c r="D2001" s="53">
        <v>1.3978000000000002</v>
      </c>
      <c r="E2001" s="78">
        <v>580</v>
      </c>
      <c r="F2001" s="84">
        <v>1.23</v>
      </c>
      <c r="G2001" s="53">
        <v>1.2118321279325417</v>
      </c>
      <c r="H2001" s="78">
        <v>985.22937230287948</v>
      </c>
      <c r="I2001" s="84">
        <v>1.04</v>
      </c>
      <c r="J2001" s="53">
        <v>1.0160212321104944</v>
      </c>
      <c r="K2001" s="78">
        <v>976.94349241393695</v>
      </c>
      <c r="L2001" s="84">
        <v>1.5599999999999998</v>
      </c>
      <c r="M2001" s="53">
        <v>1.2085511200143453</v>
      </c>
      <c r="N2001" s="78">
        <v>774.71225641945216</v>
      </c>
    </row>
    <row r="2002" spans="1:14" ht="19.5" customHeight="1" outlineLevel="1" x14ac:dyDescent="0.2">
      <c r="A2002" s="101">
        <v>22</v>
      </c>
      <c r="B2002" s="81" t="s">
        <v>29</v>
      </c>
      <c r="C2002" s="84">
        <v>1.68</v>
      </c>
      <c r="D2002" s="53">
        <v>1.0920000000000001</v>
      </c>
      <c r="E2002" s="78">
        <v>650</v>
      </c>
      <c r="F2002" s="84">
        <v>1.3</v>
      </c>
      <c r="G2002" s="53">
        <v>1.2807981839937435</v>
      </c>
      <c r="H2002" s="78">
        <v>985.22937230287948</v>
      </c>
      <c r="I2002" s="84">
        <v>2.5099999999999998</v>
      </c>
      <c r="J2002" s="53">
        <v>2.4521281659589818</v>
      </c>
      <c r="K2002" s="78">
        <v>976.94349241393695</v>
      </c>
      <c r="L2002" s="84">
        <v>1.83</v>
      </c>
      <c r="M2002" s="53">
        <v>1.6083087833175751</v>
      </c>
      <c r="N2002" s="78">
        <v>878.85725864348365</v>
      </c>
    </row>
    <row r="2003" spans="1:14" ht="19.5" customHeight="1" outlineLevel="1" x14ac:dyDescent="0.2">
      <c r="A2003" s="101">
        <v>23</v>
      </c>
      <c r="B2003" s="81" t="s">
        <v>30</v>
      </c>
      <c r="C2003" s="84">
        <v>0.02</v>
      </c>
      <c r="D2003" s="53">
        <v>8.0000000000000002E-3</v>
      </c>
      <c r="E2003" s="78">
        <v>400</v>
      </c>
      <c r="F2003" s="84">
        <v>0.04</v>
      </c>
      <c r="G2003" s="53">
        <v>3.9409174892115179E-2</v>
      </c>
      <c r="H2003" s="78">
        <v>985.22937230287948</v>
      </c>
      <c r="I2003" s="84">
        <v>7.0000000000000007E-2</v>
      </c>
      <c r="J2003" s="53">
        <v>6.8386044468975601E-2</v>
      </c>
      <c r="K2003" s="78">
        <v>976.94349241393695</v>
      </c>
      <c r="L2003" s="84">
        <v>4.3333333333333335E-2</v>
      </c>
      <c r="M2003" s="53">
        <v>3.8598406453696922E-2</v>
      </c>
      <c r="N2003" s="78">
        <v>890.73245662377519</v>
      </c>
    </row>
    <row r="2004" spans="1:14" ht="19.5" customHeight="1" outlineLevel="1" x14ac:dyDescent="0.2">
      <c r="A2004" s="101">
        <v>24</v>
      </c>
      <c r="B2004" s="81" t="s">
        <v>31</v>
      </c>
      <c r="C2004" s="84">
        <v>0</v>
      </c>
      <c r="D2004" s="53">
        <v>0</v>
      </c>
      <c r="E2004" s="78">
        <v>0</v>
      </c>
      <c r="F2004" s="84">
        <v>0</v>
      </c>
      <c r="G2004" s="53">
        <v>0</v>
      </c>
      <c r="H2004" s="78">
        <v>0</v>
      </c>
      <c r="I2004" s="84">
        <v>0</v>
      </c>
      <c r="J2004" s="53">
        <v>0</v>
      </c>
      <c r="K2004" s="78">
        <v>0</v>
      </c>
      <c r="L2004" s="84">
        <v>0</v>
      </c>
      <c r="M2004" s="53">
        <v>0</v>
      </c>
      <c r="N2004" s="78">
        <v>0</v>
      </c>
    </row>
    <row r="2005" spans="1:14" ht="19.5" customHeight="1" outlineLevel="1" x14ac:dyDescent="0.2">
      <c r="A2005" s="101">
        <v>25</v>
      </c>
      <c r="B2005" s="81" t="s">
        <v>32</v>
      </c>
      <c r="C2005" s="84">
        <v>1.76</v>
      </c>
      <c r="D2005" s="53">
        <v>0.82720000000000005</v>
      </c>
      <c r="E2005" s="78">
        <v>470</v>
      </c>
      <c r="F2005" s="84">
        <v>3.67</v>
      </c>
      <c r="G2005" s="53">
        <v>3.6157917963515676</v>
      </c>
      <c r="H2005" s="78">
        <v>985.22937230287948</v>
      </c>
      <c r="I2005" s="84">
        <v>6.15</v>
      </c>
      <c r="J2005" s="53">
        <v>6.0082024783457131</v>
      </c>
      <c r="K2005" s="78">
        <v>976.94349241393695</v>
      </c>
      <c r="L2005" s="84">
        <v>3.86</v>
      </c>
      <c r="M2005" s="53">
        <v>3.4837314248990938</v>
      </c>
      <c r="N2005" s="78">
        <v>902.52109453344406</v>
      </c>
    </row>
    <row r="2006" spans="1:14" ht="19.5" customHeight="1" outlineLevel="1" x14ac:dyDescent="0.2">
      <c r="A2006" s="101">
        <v>26</v>
      </c>
      <c r="B2006" s="81" t="s">
        <v>33</v>
      </c>
      <c r="C2006" s="84">
        <v>7.07</v>
      </c>
      <c r="D2006" s="53">
        <v>2.8987000000000003</v>
      </c>
      <c r="E2006" s="78">
        <v>410</v>
      </c>
      <c r="F2006" s="84">
        <v>13.18</v>
      </c>
      <c r="G2006" s="53">
        <v>12.98532312695195</v>
      </c>
      <c r="H2006" s="78">
        <v>985.22937230287948</v>
      </c>
      <c r="I2006" s="84">
        <v>24.16</v>
      </c>
      <c r="J2006" s="53">
        <v>23.602954776720718</v>
      </c>
      <c r="K2006" s="78">
        <v>976.94349241393695</v>
      </c>
      <c r="L2006" s="84">
        <v>14.803333333333333</v>
      </c>
      <c r="M2006" s="53">
        <v>13.162325967890888</v>
      </c>
      <c r="N2006" s="78">
        <v>889.1460910532013</v>
      </c>
    </row>
    <row r="2007" spans="1:14" ht="19.5" customHeight="1" outlineLevel="1" x14ac:dyDescent="0.2">
      <c r="A2007" s="101">
        <v>27</v>
      </c>
      <c r="B2007" s="81" t="s">
        <v>34</v>
      </c>
      <c r="C2007" s="84">
        <v>2.23</v>
      </c>
      <c r="D2007" s="53">
        <v>0.85854999999999992</v>
      </c>
      <c r="E2007" s="78">
        <v>385</v>
      </c>
      <c r="F2007" s="84">
        <v>3.53</v>
      </c>
      <c r="G2007" s="53">
        <v>3.4778596842291645</v>
      </c>
      <c r="H2007" s="78">
        <v>985.22937230287948</v>
      </c>
      <c r="I2007" s="84">
        <v>4.8099999999999996</v>
      </c>
      <c r="J2007" s="53">
        <v>4.6990981985110363</v>
      </c>
      <c r="K2007" s="78">
        <v>976.94349241393695</v>
      </c>
      <c r="L2007" s="84">
        <v>3.5233333333333334</v>
      </c>
      <c r="M2007" s="53">
        <v>3.0118359609134004</v>
      </c>
      <c r="N2007" s="78">
        <v>854.82572211354784</v>
      </c>
    </row>
    <row r="2008" spans="1:14" ht="19.5" customHeight="1" outlineLevel="1" x14ac:dyDescent="0.2">
      <c r="A2008" s="101">
        <v>28</v>
      </c>
      <c r="B2008" s="81" t="s">
        <v>35</v>
      </c>
      <c r="C2008" s="84">
        <v>1.87</v>
      </c>
      <c r="D2008" s="53">
        <v>0.96022630000000009</v>
      </c>
      <c r="E2008" s="78">
        <v>513.49</v>
      </c>
      <c r="F2008" s="84">
        <v>4.91</v>
      </c>
      <c r="G2008" s="53">
        <v>4.8374762180071382</v>
      </c>
      <c r="H2008" s="78">
        <v>985.22937230287948</v>
      </c>
      <c r="I2008" s="84">
        <v>4.37</v>
      </c>
      <c r="J2008" s="53">
        <v>4.2692430618489041</v>
      </c>
      <c r="K2008" s="78">
        <v>976.94349241393695</v>
      </c>
      <c r="L2008" s="84">
        <v>3.7166666666666668</v>
      </c>
      <c r="M2008" s="53">
        <v>3.3556485266186811</v>
      </c>
      <c r="N2008" s="78">
        <v>902.8650744265509</v>
      </c>
    </row>
    <row r="2009" spans="1:14" ht="19.5" customHeight="1" outlineLevel="1" x14ac:dyDescent="0.2">
      <c r="A2009" s="101">
        <v>29</v>
      </c>
      <c r="B2009" s="81" t="s">
        <v>36</v>
      </c>
      <c r="C2009" s="84">
        <v>20.309999999999999</v>
      </c>
      <c r="D2009" s="53">
        <v>13.810799999999999</v>
      </c>
      <c r="E2009" s="78">
        <v>680</v>
      </c>
      <c r="F2009" s="84">
        <v>27.95</v>
      </c>
      <c r="G2009" s="53">
        <v>17.541420000000002</v>
      </c>
      <c r="H2009" s="78">
        <v>627.6</v>
      </c>
      <c r="I2009" s="84">
        <v>32.03</v>
      </c>
      <c r="J2009" s="53">
        <v>22.808969014084507</v>
      </c>
      <c r="K2009" s="78">
        <v>712.11267605633805</v>
      </c>
      <c r="L2009" s="84">
        <v>26.763333333333332</v>
      </c>
      <c r="M2009" s="53">
        <v>18.053729671361506</v>
      </c>
      <c r="N2009" s="78">
        <v>674.56954806432339</v>
      </c>
    </row>
    <row r="2010" spans="1:14" ht="19.5" customHeight="1" outlineLevel="1" x14ac:dyDescent="0.2">
      <c r="A2010" s="101">
        <v>30</v>
      </c>
      <c r="B2010" s="81" t="s">
        <v>37</v>
      </c>
      <c r="C2010" s="84">
        <v>0</v>
      </c>
      <c r="D2010" s="53">
        <v>0</v>
      </c>
      <c r="E2010" s="78">
        <v>0</v>
      </c>
      <c r="F2010" s="84">
        <v>0</v>
      </c>
      <c r="G2010" s="53">
        <v>0</v>
      </c>
      <c r="H2010" s="78">
        <v>0</v>
      </c>
      <c r="I2010" s="84">
        <v>0</v>
      </c>
      <c r="J2010" s="53">
        <v>0</v>
      </c>
      <c r="K2010" s="78">
        <v>0</v>
      </c>
      <c r="L2010" s="84">
        <v>0</v>
      </c>
      <c r="M2010" s="53">
        <v>0</v>
      </c>
      <c r="N2010" s="78">
        <v>0</v>
      </c>
    </row>
    <row r="2011" spans="1:14" ht="19.5" customHeight="1" outlineLevel="1" x14ac:dyDescent="0.2">
      <c r="A2011" s="101">
        <v>31</v>
      </c>
      <c r="B2011" s="81" t="s">
        <v>38</v>
      </c>
      <c r="C2011" s="84">
        <v>0</v>
      </c>
      <c r="D2011" s="53">
        <v>0</v>
      </c>
      <c r="E2011" s="78">
        <v>0</v>
      </c>
      <c r="F2011" s="84">
        <v>0.03</v>
      </c>
      <c r="G2011" s="53">
        <v>2.9556881169086384E-2</v>
      </c>
      <c r="H2011" s="78">
        <v>985.22937230287948</v>
      </c>
      <c r="I2011" s="84">
        <v>0.04</v>
      </c>
      <c r="J2011" s="53">
        <v>3.9077739696557479E-2</v>
      </c>
      <c r="K2011" s="78">
        <v>976.94349241393695</v>
      </c>
      <c r="L2011" s="84">
        <v>3.5000000000000003E-2</v>
      </c>
      <c r="M2011" s="53">
        <v>3.4317310432821935E-2</v>
      </c>
      <c r="N2011" s="78">
        <v>980.49458379491227</v>
      </c>
    </row>
    <row r="2012" spans="1:14" ht="19.5" customHeight="1" outlineLevel="1" x14ac:dyDescent="0.2">
      <c r="A2012" s="101">
        <v>32</v>
      </c>
      <c r="B2012" s="81" t="s">
        <v>39</v>
      </c>
      <c r="C2012" s="84">
        <v>0</v>
      </c>
      <c r="D2012" s="53">
        <v>0</v>
      </c>
      <c r="E2012" s="78">
        <v>0</v>
      </c>
      <c r="F2012" s="84">
        <v>0</v>
      </c>
      <c r="G2012" s="53">
        <v>0</v>
      </c>
      <c r="H2012" s="78">
        <v>0</v>
      </c>
      <c r="I2012" s="84">
        <v>0</v>
      </c>
      <c r="J2012" s="53">
        <v>0</v>
      </c>
      <c r="K2012" s="78">
        <v>0</v>
      </c>
      <c r="L2012" s="84">
        <v>0</v>
      </c>
      <c r="M2012" s="53">
        <v>0</v>
      </c>
      <c r="N2012" s="78">
        <v>0</v>
      </c>
    </row>
    <row r="2013" spans="1:14" ht="19.5" customHeight="1" outlineLevel="1" thickBot="1" x14ac:dyDescent="0.25">
      <c r="A2013" s="102">
        <v>33</v>
      </c>
      <c r="B2013" s="91" t="s">
        <v>40</v>
      </c>
      <c r="C2013" s="92">
        <v>1.23</v>
      </c>
      <c r="D2013" s="93">
        <v>0.74414999999999998</v>
      </c>
      <c r="E2013" s="94">
        <v>605</v>
      </c>
      <c r="F2013" s="92">
        <v>3.46</v>
      </c>
      <c r="G2013" s="93">
        <v>3.4088936281679629</v>
      </c>
      <c r="H2013" s="94">
        <v>985.22937230287948</v>
      </c>
      <c r="I2013" s="92">
        <v>5.51</v>
      </c>
      <c r="J2013" s="93">
        <v>5.3829586432007925</v>
      </c>
      <c r="K2013" s="94">
        <v>976.94349241393695</v>
      </c>
      <c r="L2013" s="92">
        <v>3.4</v>
      </c>
      <c r="M2013" s="93">
        <v>3.1786674237895851</v>
      </c>
      <c r="N2013" s="94">
        <v>934.90218346752499</v>
      </c>
    </row>
    <row r="2014" spans="1:14" ht="19.5" customHeight="1" thickBot="1" x14ac:dyDescent="0.25">
      <c r="A2014" s="151" t="s">
        <v>41</v>
      </c>
      <c r="B2014" s="152"/>
      <c r="C2014" s="96">
        <v>1239.7599999999998</v>
      </c>
      <c r="D2014" s="97">
        <v>1069.8245696999998</v>
      </c>
      <c r="E2014" s="98">
        <v>862.92876822933454</v>
      </c>
      <c r="F2014" s="96">
        <v>1150.6599999999999</v>
      </c>
      <c r="G2014" s="97">
        <v>1133.6640295340283</v>
      </c>
      <c r="H2014" s="98">
        <v>985.22937230287687</v>
      </c>
      <c r="I2014" s="96">
        <v>1225.1099999999997</v>
      </c>
      <c r="J2014" s="97">
        <v>1196.8632419912369</v>
      </c>
      <c r="K2014" s="98">
        <v>976.94349241393604</v>
      </c>
      <c r="L2014" s="96">
        <v>1205.1766666666665</v>
      </c>
      <c r="M2014" s="97">
        <v>1133.450613741755</v>
      </c>
      <c r="N2014" s="98">
        <v>940.48503019619955</v>
      </c>
    </row>
    <row r="2015" spans="1:14" ht="34.5" customHeight="1" x14ac:dyDescent="0.2">
      <c r="A2015" s="153" t="s">
        <v>247</v>
      </c>
      <c r="B2015" s="154"/>
      <c r="C2015" s="154"/>
      <c r="D2015" s="154"/>
      <c r="E2015" s="154"/>
      <c r="F2015" s="154"/>
      <c r="G2015" s="154"/>
      <c r="H2015" s="154"/>
      <c r="I2015" s="154"/>
      <c r="J2015" s="154"/>
      <c r="K2015" s="154"/>
      <c r="L2015" s="154"/>
      <c r="M2015" s="154"/>
      <c r="N2015" s="154"/>
    </row>
    <row r="2016" spans="1:14" ht="19.5" customHeight="1" thickBot="1" x14ac:dyDescent="0.25">
      <c r="A2016" s="50"/>
      <c r="B2016" s="139" t="s">
        <v>95</v>
      </c>
      <c r="C2016" s="52"/>
      <c r="D2016" s="52"/>
      <c r="E2016" s="52"/>
      <c r="F2016" s="52"/>
      <c r="G2016" s="52"/>
      <c r="H2016" s="52"/>
      <c r="I2016" s="52"/>
      <c r="J2016" s="52"/>
      <c r="K2016" s="155" t="s">
        <v>1</v>
      </c>
      <c r="L2016" s="154"/>
      <c r="M2016" s="154"/>
      <c r="N2016" s="154"/>
    </row>
    <row r="2017" spans="1:14" ht="19.5" customHeight="1" x14ac:dyDescent="0.2">
      <c r="A2017" s="156" t="s">
        <v>2</v>
      </c>
      <c r="B2017" s="158" t="s">
        <v>3</v>
      </c>
      <c r="C2017" s="148" t="s">
        <v>243</v>
      </c>
      <c r="D2017" s="149"/>
      <c r="E2017" s="150"/>
      <c r="F2017" s="148" t="s">
        <v>244</v>
      </c>
      <c r="G2017" s="149"/>
      <c r="H2017" s="150"/>
      <c r="I2017" s="148" t="s">
        <v>246</v>
      </c>
      <c r="J2017" s="149"/>
      <c r="K2017" s="150"/>
      <c r="L2017" s="148" t="s">
        <v>4</v>
      </c>
      <c r="M2017" s="149"/>
      <c r="N2017" s="150"/>
    </row>
    <row r="2018" spans="1:14" ht="19.5" customHeight="1" thickBot="1" x14ac:dyDescent="0.25">
      <c r="A2018" s="157"/>
      <c r="B2018" s="159"/>
      <c r="C2018" s="85" t="s">
        <v>5</v>
      </c>
      <c r="D2018" s="79" t="s">
        <v>6</v>
      </c>
      <c r="E2018" s="80" t="s">
        <v>7</v>
      </c>
      <c r="F2018" s="85" t="s">
        <v>5</v>
      </c>
      <c r="G2018" s="79" t="s">
        <v>6</v>
      </c>
      <c r="H2018" s="80" t="s">
        <v>7</v>
      </c>
      <c r="I2018" s="85" t="s">
        <v>5</v>
      </c>
      <c r="J2018" s="79" t="s">
        <v>6</v>
      </c>
      <c r="K2018" s="80" t="s">
        <v>7</v>
      </c>
      <c r="L2018" s="85" t="s">
        <v>5</v>
      </c>
      <c r="M2018" s="79" t="s">
        <v>6</v>
      </c>
      <c r="N2018" s="80" t="s">
        <v>7</v>
      </c>
    </row>
    <row r="2019" spans="1:14" ht="19.5" customHeight="1" outlineLevel="1" x14ac:dyDescent="0.2">
      <c r="A2019" s="100">
        <v>1</v>
      </c>
      <c r="B2019" s="86" t="s">
        <v>8</v>
      </c>
      <c r="C2019" s="87">
        <v>0.5</v>
      </c>
      <c r="D2019" s="88">
        <v>14.244</v>
      </c>
      <c r="E2019" s="89">
        <v>28488</v>
      </c>
      <c r="F2019" s="87">
        <v>0.05</v>
      </c>
      <c r="G2019" s="88">
        <v>1.375</v>
      </c>
      <c r="H2019" s="89">
        <v>27500</v>
      </c>
      <c r="I2019" s="87">
        <v>0</v>
      </c>
      <c r="J2019" s="88">
        <v>0</v>
      </c>
      <c r="K2019" s="89">
        <v>0</v>
      </c>
      <c r="L2019" s="87">
        <v>0.27500000000000002</v>
      </c>
      <c r="M2019" s="88">
        <v>7.8094999999999999</v>
      </c>
      <c r="N2019" s="89">
        <v>28398.181818181816</v>
      </c>
    </row>
    <row r="2020" spans="1:14" ht="19.5" customHeight="1" outlineLevel="1" x14ac:dyDescent="0.2">
      <c r="A2020" s="101">
        <v>2</v>
      </c>
      <c r="B2020" s="81" t="s">
        <v>9</v>
      </c>
      <c r="C2020" s="84">
        <v>0</v>
      </c>
      <c r="D2020" s="53">
        <v>0</v>
      </c>
      <c r="E2020" s="78">
        <v>0</v>
      </c>
      <c r="F2020" s="84">
        <v>0</v>
      </c>
      <c r="G2020" s="53">
        <v>0</v>
      </c>
      <c r="H2020" s="78">
        <v>0</v>
      </c>
      <c r="I2020" s="84">
        <v>0</v>
      </c>
      <c r="J2020" s="53">
        <v>0</v>
      </c>
      <c r="K2020" s="78">
        <v>0</v>
      </c>
      <c r="L2020" s="84">
        <v>0</v>
      </c>
      <c r="M2020" s="53">
        <v>0</v>
      </c>
      <c r="N2020" s="78">
        <v>0</v>
      </c>
    </row>
    <row r="2021" spans="1:14" ht="19.5" customHeight="1" outlineLevel="1" x14ac:dyDescent="0.2">
      <c r="A2021" s="101">
        <v>3</v>
      </c>
      <c r="B2021" s="81" t="s">
        <v>10</v>
      </c>
      <c r="C2021" s="84">
        <v>0</v>
      </c>
      <c r="D2021" s="53">
        <v>0</v>
      </c>
      <c r="E2021" s="78">
        <v>0</v>
      </c>
      <c r="F2021" s="84">
        <v>0</v>
      </c>
      <c r="G2021" s="53">
        <v>0</v>
      </c>
      <c r="H2021" s="78">
        <v>0</v>
      </c>
      <c r="I2021" s="84">
        <v>0</v>
      </c>
      <c r="J2021" s="53">
        <v>0</v>
      </c>
      <c r="K2021" s="78">
        <v>0</v>
      </c>
      <c r="L2021" s="84">
        <v>0</v>
      </c>
      <c r="M2021" s="53">
        <v>0</v>
      </c>
      <c r="N2021" s="78">
        <v>0</v>
      </c>
    </row>
    <row r="2022" spans="1:14" ht="19.5" customHeight="1" outlineLevel="1" x14ac:dyDescent="0.2">
      <c r="A2022" s="101">
        <v>4</v>
      </c>
      <c r="B2022" s="81" t="s">
        <v>11</v>
      </c>
      <c r="C2022" s="84">
        <v>0.11</v>
      </c>
      <c r="D2022" s="53">
        <v>2.97</v>
      </c>
      <c r="E2022" s="78">
        <v>27000</v>
      </c>
      <c r="F2022" s="84">
        <v>0.06</v>
      </c>
      <c r="G2022" s="53">
        <v>1.7084777999999998</v>
      </c>
      <c r="H2022" s="78">
        <v>28474.63</v>
      </c>
      <c r="I2022" s="84">
        <v>0.08</v>
      </c>
      <c r="J2022" s="53">
        <v>2.2400000000000002</v>
      </c>
      <c r="K2022" s="78">
        <v>28000</v>
      </c>
      <c r="L2022" s="84">
        <v>8.3333333333333329E-2</v>
      </c>
      <c r="M2022" s="53">
        <v>2.3061592666666666</v>
      </c>
      <c r="N2022" s="78">
        <v>27673.911199999999</v>
      </c>
    </row>
    <row r="2023" spans="1:14" ht="19.5" customHeight="1" outlineLevel="1" x14ac:dyDescent="0.2">
      <c r="A2023" s="101">
        <v>5</v>
      </c>
      <c r="B2023" s="81" t="s">
        <v>12</v>
      </c>
      <c r="C2023" s="84">
        <v>0</v>
      </c>
      <c r="D2023" s="53">
        <v>0</v>
      </c>
      <c r="E2023" s="78">
        <v>0</v>
      </c>
      <c r="F2023" s="84">
        <v>0.03</v>
      </c>
      <c r="G2023" s="53">
        <v>0.84</v>
      </c>
      <c r="H2023" s="78">
        <v>28000</v>
      </c>
      <c r="I2023" s="84">
        <v>0</v>
      </c>
      <c r="J2023" s="53">
        <v>0</v>
      </c>
      <c r="K2023" s="78">
        <v>0</v>
      </c>
      <c r="L2023" s="84">
        <v>0.03</v>
      </c>
      <c r="M2023" s="53">
        <v>0.84</v>
      </c>
      <c r="N2023" s="78">
        <v>28000</v>
      </c>
    </row>
    <row r="2024" spans="1:14" ht="19.5" customHeight="1" outlineLevel="1" x14ac:dyDescent="0.2">
      <c r="A2024" s="101">
        <v>6</v>
      </c>
      <c r="B2024" s="81" t="s">
        <v>13</v>
      </c>
      <c r="C2024" s="84">
        <v>0</v>
      </c>
      <c r="D2024" s="53">
        <v>0</v>
      </c>
      <c r="E2024" s="78">
        <v>0</v>
      </c>
      <c r="F2024" s="84">
        <v>0</v>
      </c>
      <c r="G2024" s="53">
        <v>0</v>
      </c>
      <c r="H2024" s="78">
        <v>0</v>
      </c>
      <c r="I2024" s="84">
        <v>0</v>
      </c>
      <c r="J2024" s="53">
        <v>0</v>
      </c>
      <c r="K2024" s="78">
        <v>0</v>
      </c>
      <c r="L2024" s="84">
        <v>0</v>
      </c>
      <c r="M2024" s="53">
        <v>0</v>
      </c>
      <c r="N2024" s="78">
        <v>0</v>
      </c>
    </row>
    <row r="2025" spans="1:14" ht="19.5" customHeight="1" outlineLevel="1" x14ac:dyDescent="0.2">
      <c r="A2025" s="101">
        <v>7</v>
      </c>
      <c r="B2025" s="81" t="s">
        <v>14</v>
      </c>
      <c r="C2025" s="84">
        <v>0</v>
      </c>
      <c r="D2025" s="53">
        <v>0</v>
      </c>
      <c r="E2025" s="78">
        <v>0</v>
      </c>
      <c r="F2025" s="84">
        <v>0</v>
      </c>
      <c r="G2025" s="53">
        <v>0</v>
      </c>
      <c r="H2025" s="78">
        <v>0</v>
      </c>
      <c r="I2025" s="84">
        <v>0.01</v>
      </c>
      <c r="J2025" s="53">
        <v>0.26</v>
      </c>
      <c r="K2025" s="78">
        <v>26000</v>
      </c>
      <c r="L2025" s="84">
        <v>0.01</v>
      </c>
      <c r="M2025" s="53">
        <v>0.26</v>
      </c>
      <c r="N2025" s="78">
        <v>26000</v>
      </c>
    </row>
    <row r="2026" spans="1:14" ht="19.5" customHeight="1" outlineLevel="1" x14ac:dyDescent="0.2">
      <c r="A2026" s="101">
        <v>8</v>
      </c>
      <c r="B2026" s="81" t="s">
        <v>15</v>
      </c>
      <c r="C2026" s="84">
        <v>0.15</v>
      </c>
      <c r="D2026" s="53">
        <v>3.2250000000000001</v>
      </c>
      <c r="E2026" s="78">
        <v>21500</v>
      </c>
      <c r="F2026" s="84">
        <v>0</v>
      </c>
      <c r="G2026" s="53">
        <v>0</v>
      </c>
      <c r="H2026" s="78">
        <v>0</v>
      </c>
      <c r="I2026" s="84">
        <v>0.3</v>
      </c>
      <c r="J2026" s="53">
        <v>7.95</v>
      </c>
      <c r="K2026" s="78">
        <v>26500</v>
      </c>
      <c r="L2026" s="84">
        <v>0.22499999999999998</v>
      </c>
      <c r="M2026" s="53">
        <v>5.5875000000000004</v>
      </c>
      <c r="N2026" s="78">
        <v>24833.333333333336</v>
      </c>
    </row>
    <row r="2027" spans="1:14" ht="19.5" customHeight="1" outlineLevel="1" x14ac:dyDescent="0.2">
      <c r="A2027" s="101">
        <v>9</v>
      </c>
      <c r="B2027" s="81" t="s">
        <v>16</v>
      </c>
      <c r="C2027" s="84">
        <v>4.28</v>
      </c>
      <c r="D2027" s="53">
        <v>115.56</v>
      </c>
      <c r="E2027" s="78">
        <v>27000</v>
      </c>
      <c r="F2027" s="84">
        <v>0</v>
      </c>
      <c r="G2027" s="53">
        <v>0</v>
      </c>
      <c r="H2027" s="78">
        <v>0</v>
      </c>
      <c r="I2027" s="84">
        <v>0</v>
      </c>
      <c r="J2027" s="53">
        <v>0</v>
      </c>
      <c r="K2027" s="78">
        <v>0</v>
      </c>
      <c r="L2027" s="84">
        <v>4.28</v>
      </c>
      <c r="M2027" s="53">
        <v>115.56</v>
      </c>
      <c r="N2027" s="78">
        <v>27000</v>
      </c>
    </row>
    <row r="2028" spans="1:14" ht="19.5" customHeight="1" outlineLevel="1" x14ac:dyDescent="0.2">
      <c r="A2028" s="101">
        <v>10</v>
      </c>
      <c r="B2028" s="81" t="s">
        <v>17</v>
      </c>
      <c r="C2028" s="84">
        <v>0</v>
      </c>
      <c r="D2028" s="53">
        <v>0</v>
      </c>
      <c r="E2028" s="78">
        <v>0</v>
      </c>
      <c r="F2028" s="84">
        <v>0</v>
      </c>
      <c r="G2028" s="53">
        <v>0</v>
      </c>
      <c r="H2028" s="78">
        <v>0</v>
      </c>
      <c r="I2028" s="84">
        <v>0</v>
      </c>
      <c r="J2028" s="53">
        <v>0</v>
      </c>
      <c r="K2028" s="78">
        <v>0</v>
      </c>
      <c r="L2028" s="84">
        <v>0</v>
      </c>
      <c r="M2028" s="53">
        <v>0</v>
      </c>
      <c r="N2028" s="78">
        <v>0</v>
      </c>
    </row>
    <row r="2029" spans="1:14" ht="19.5" customHeight="1" outlineLevel="1" x14ac:dyDescent="0.2">
      <c r="A2029" s="101">
        <v>11</v>
      </c>
      <c r="B2029" s="81" t="s">
        <v>18</v>
      </c>
      <c r="C2029" s="84">
        <v>4.34</v>
      </c>
      <c r="D2029" s="53">
        <v>121.303</v>
      </c>
      <c r="E2029" s="78">
        <v>27950</v>
      </c>
      <c r="F2029" s="84">
        <v>5.24</v>
      </c>
      <c r="G2029" s="53">
        <v>151.47</v>
      </c>
      <c r="H2029" s="78">
        <v>28906.48854961832</v>
      </c>
      <c r="I2029" s="84">
        <v>8.7200000000000006</v>
      </c>
      <c r="J2029" s="53">
        <v>252.82</v>
      </c>
      <c r="K2029" s="78">
        <v>28993.119266055044</v>
      </c>
      <c r="L2029" s="84">
        <v>6.1000000000000005</v>
      </c>
      <c r="M2029" s="53">
        <v>175.19766666666669</v>
      </c>
      <c r="N2029" s="78">
        <v>28720.928961748636</v>
      </c>
    </row>
    <row r="2030" spans="1:14" ht="19.5" customHeight="1" outlineLevel="1" x14ac:dyDescent="0.2">
      <c r="A2030" s="101">
        <v>12</v>
      </c>
      <c r="B2030" s="81" t="s">
        <v>19</v>
      </c>
      <c r="C2030" s="84">
        <v>0.03</v>
      </c>
      <c r="D2030" s="53">
        <v>0.62499000000000005</v>
      </c>
      <c r="E2030" s="78">
        <v>20833</v>
      </c>
      <c r="F2030" s="84">
        <v>0.08</v>
      </c>
      <c r="G2030" s="53">
        <v>1.96</v>
      </c>
      <c r="H2030" s="78">
        <v>24500</v>
      </c>
      <c r="I2030" s="84">
        <v>0</v>
      </c>
      <c r="J2030" s="53">
        <v>0</v>
      </c>
      <c r="K2030" s="78">
        <v>0</v>
      </c>
      <c r="L2030" s="84">
        <v>5.5E-2</v>
      </c>
      <c r="M2030" s="53">
        <v>1.2924949999999999</v>
      </c>
      <c r="N2030" s="78">
        <v>23499.909090909088</v>
      </c>
    </row>
    <row r="2031" spans="1:14" ht="19.5" customHeight="1" outlineLevel="1" x14ac:dyDescent="0.2">
      <c r="A2031" s="101">
        <v>13</v>
      </c>
      <c r="B2031" s="81" t="s">
        <v>20</v>
      </c>
      <c r="C2031" s="84">
        <v>0</v>
      </c>
      <c r="D2031" s="53">
        <v>0</v>
      </c>
      <c r="E2031" s="78">
        <v>0</v>
      </c>
      <c r="F2031" s="84">
        <v>0</v>
      </c>
      <c r="G2031" s="53">
        <v>0</v>
      </c>
      <c r="H2031" s="78">
        <v>0</v>
      </c>
      <c r="I2031" s="84">
        <v>0</v>
      </c>
      <c r="J2031" s="53">
        <v>0</v>
      </c>
      <c r="K2031" s="78">
        <v>0</v>
      </c>
      <c r="L2031" s="84">
        <v>0</v>
      </c>
      <c r="M2031" s="53">
        <v>0</v>
      </c>
      <c r="N2031" s="78">
        <v>0</v>
      </c>
    </row>
    <row r="2032" spans="1:14" ht="19.5" customHeight="1" outlineLevel="1" x14ac:dyDescent="0.2">
      <c r="A2032" s="101">
        <v>14</v>
      </c>
      <c r="B2032" s="81" t="s">
        <v>21</v>
      </c>
      <c r="C2032" s="84">
        <v>0</v>
      </c>
      <c r="D2032" s="53">
        <v>0</v>
      </c>
      <c r="E2032" s="78">
        <v>0</v>
      </c>
      <c r="F2032" s="84">
        <v>0</v>
      </c>
      <c r="G2032" s="53">
        <v>0</v>
      </c>
      <c r="H2032" s="78">
        <v>0</v>
      </c>
      <c r="I2032" s="84">
        <v>0</v>
      </c>
      <c r="J2032" s="53">
        <v>0</v>
      </c>
      <c r="K2032" s="78">
        <v>0</v>
      </c>
      <c r="L2032" s="84">
        <v>0</v>
      </c>
      <c r="M2032" s="53">
        <v>0</v>
      </c>
      <c r="N2032" s="78">
        <v>0</v>
      </c>
    </row>
    <row r="2033" spans="1:14" ht="19.5" customHeight="1" outlineLevel="1" x14ac:dyDescent="0.2">
      <c r="A2033" s="101">
        <v>15</v>
      </c>
      <c r="B2033" s="81" t="s">
        <v>22</v>
      </c>
      <c r="C2033" s="84">
        <v>0.72</v>
      </c>
      <c r="D2033" s="53">
        <v>19.295999999999999</v>
      </c>
      <c r="E2033" s="78">
        <v>26800</v>
      </c>
      <c r="F2033" s="84">
        <v>1.4</v>
      </c>
      <c r="G2033" s="53">
        <v>35.575000000000003</v>
      </c>
      <c r="H2033" s="78">
        <v>25410.714285714286</v>
      </c>
      <c r="I2033" s="84">
        <v>0.3</v>
      </c>
      <c r="J2033" s="53">
        <v>7.35</v>
      </c>
      <c r="K2033" s="78">
        <v>24500</v>
      </c>
      <c r="L2033" s="84">
        <v>0.80666666666666664</v>
      </c>
      <c r="M2033" s="53">
        <v>20.740333333333336</v>
      </c>
      <c r="N2033" s="78">
        <v>25711.157024793392</v>
      </c>
    </row>
    <row r="2034" spans="1:14" ht="19.5" customHeight="1" outlineLevel="1" x14ac:dyDescent="0.2">
      <c r="A2034" s="101">
        <v>16</v>
      </c>
      <c r="B2034" s="81" t="s">
        <v>23</v>
      </c>
      <c r="C2034" s="84">
        <v>0</v>
      </c>
      <c r="D2034" s="53">
        <v>0</v>
      </c>
      <c r="E2034" s="78">
        <v>0</v>
      </c>
      <c r="F2034" s="84">
        <v>0</v>
      </c>
      <c r="G2034" s="53">
        <v>0</v>
      </c>
      <c r="H2034" s="78">
        <v>0</v>
      </c>
      <c r="I2034" s="84">
        <v>0</v>
      </c>
      <c r="J2034" s="53">
        <v>0</v>
      </c>
      <c r="K2034" s="78">
        <v>0</v>
      </c>
      <c r="L2034" s="84">
        <v>0</v>
      </c>
      <c r="M2034" s="53">
        <v>0</v>
      </c>
      <c r="N2034" s="78">
        <v>0</v>
      </c>
    </row>
    <row r="2035" spans="1:14" ht="19.5" customHeight="1" outlineLevel="1" x14ac:dyDescent="0.2">
      <c r="A2035" s="101">
        <v>17</v>
      </c>
      <c r="B2035" s="81" t="s">
        <v>24</v>
      </c>
      <c r="C2035" s="84">
        <v>42.06</v>
      </c>
      <c r="D2035" s="53">
        <v>1135.6199999999999</v>
      </c>
      <c r="E2035" s="78">
        <v>27000</v>
      </c>
      <c r="F2035" s="84">
        <v>37.119999999999997</v>
      </c>
      <c r="G2035" s="53">
        <v>1040.9499999999998</v>
      </c>
      <c r="H2035" s="78">
        <v>28042.834051724138</v>
      </c>
      <c r="I2035" s="84">
        <v>40.090000000000003</v>
      </c>
      <c r="J2035" s="53">
        <v>1162.6099999999999</v>
      </c>
      <c r="K2035" s="78">
        <v>29000</v>
      </c>
      <c r="L2035" s="84">
        <v>39.756666666666668</v>
      </c>
      <c r="M2035" s="53">
        <v>1113.0599999999997</v>
      </c>
      <c r="N2035" s="78">
        <v>27996.813951538519</v>
      </c>
    </row>
    <row r="2036" spans="1:14" ht="19.5" customHeight="1" outlineLevel="1" x14ac:dyDescent="0.2">
      <c r="A2036" s="101">
        <v>18</v>
      </c>
      <c r="B2036" s="81" t="s">
        <v>25</v>
      </c>
      <c r="C2036" s="84">
        <v>60.3</v>
      </c>
      <c r="D2036" s="53">
        <v>1671.7481549999998</v>
      </c>
      <c r="E2036" s="78">
        <v>27723.85</v>
      </c>
      <c r="F2036" s="84">
        <v>60.29</v>
      </c>
      <c r="G2036" s="53">
        <v>1629.4949999999999</v>
      </c>
      <c r="H2036" s="78">
        <v>27027.616520152595</v>
      </c>
      <c r="I2036" s="84">
        <v>54.53</v>
      </c>
      <c r="J2036" s="53">
        <v>1623.3581000000004</v>
      </c>
      <c r="K2036" s="78">
        <v>29770.000000000007</v>
      </c>
      <c r="L2036" s="84">
        <v>58.373333333333335</v>
      </c>
      <c r="M2036" s="53">
        <v>1641.5337516666666</v>
      </c>
      <c r="N2036" s="78">
        <v>28121.295425993605</v>
      </c>
    </row>
    <row r="2037" spans="1:14" ht="19.5" customHeight="1" outlineLevel="1" x14ac:dyDescent="0.2">
      <c r="A2037" s="101">
        <v>19</v>
      </c>
      <c r="B2037" s="81" t="s">
        <v>26</v>
      </c>
      <c r="C2037" s="84">
        <v>1.1000000000000001</v>
      </c>
      <c r="D2037" s="53">
        <v>31.322500000000005</v>
      </c>
      <c r="E2037" s="78">
        <v>28475</v>
      </c>
      <c r="F2037" s="84">
        <v>0.3</v>
      </c>
      <c r="G2037" s="53">
        <v>8.43</v>
      </c>
      <c r="H2037" s="78">
        <v>28100</v>
      </c>
      <c r="I2037" s="84">
        <v>1.66</v>
      </c>
      <c r="J2037" s="53">
        <v>48.14</v>
      </c>
      <c r="K2037" s="78">
        <v>29000</v>
      </c>
      <c r="L2037" s="84">
        <v>1.02</v>
      </c>
      <c r="M2037" s="53">
        <v>29.297500000000003</v>
      </c>
      <c r="N2037" s="78">
        <v>28723.039215686276</v>
      </c>
    </row>
    <row r="2038" spans="1:14" ht="19.5" customHeight="1" outlineLevel="1" x14ac:dyDescent="0.2">
      <c r="A2038" s="101">
        <v>20</v>
      </c>
      <c r="B2038" s="81" t="s">
        <v>27</v>
      </c>
      <c r="C2038" s="84">
        <v>0</v>
      </c>
      <c r="D2038" s="53">
        <v>0</v>
      </c>
      <c r="E2038" s="78">
        <v>0</v>
      </c>
      <c r="F2038" s="84">
        <v>0</v>
      </c>
      <c r="G2038" s="53">
        <v>0</v>
      </c>
      <c r="H2038" s="78">
        <v>0</v>
      </c>
      <c r="I2038" s="84">
        <v>0</v>
      </c>
      <c r="J2038" s="53">
        <v>0</v>
      </c>
      <c r="K2038" s="78">
        <v>0</v>
      </c>
      <c r="L2038" s="84">
        <v>0</v>
      </c>
      <c r="M2038" s="53">
        <v>0</v>
      </c>
      <c r="N2038" s="78">
        <v>0</v>
      </c>
    </row>
    <row r="2039" spans="1:14" ht="19.5" customHeight="1" outlineLevel="1" x14ac:dyDescent="0.2">
      <c r="A2039" s="101">
        <v>21</v>
      </c>
      <c r="B2039" s="81" t="s">
        <v>28</v>
      </c>
      <c r="C2039" s="84">
        <v>7.0000000000000007E-2</v>
      </c>
      <c r="D2039" s="53">
        <v>1.9411</v>
      </c>
      <c r="E2039" s="78">
        <v>27730</v>
      </c>
      <c r="F2039" s="84">
        <v>0</v>
      </c>
      <c r="G2039" s="53">
        <v>0</v>
      </c>
      <c r="H2039" s="78">
        <v>0</v>
      </c>
      <c r="I2039" s="84">
        <v>7.0000000000000007E-2</v>
      </c>
      <c r="J2039" s="53">
        <v>1.9420100000000002</v>
      </c>
      <c r="K2039" s="78">
        <v>27743</v>
      </c>
      <c r="L2039" s="84">
        <v>7.0000000000000007E-2</v>
      </c>
      <c r="M2039" s="53">
        <v>1.9415550000000001</v>
      </c>
      <c r="N2039" s="78">
        <v>27736.5</v>
      </c>
    </row>
    <row r="2040" spans="1:14" ht="19.5" customHeight="1" outlineLevel="1" x14ac:dyDescent="0.2">
      <c r="A2040" s="101">
        <v>22</v>
      </c>
      <c r="B2040" s="81" t="s">
        <v>29</v>
      </c>
      <c r="C2040" s="84">
        <v>0</v>
      </c>
      <c r="D2040" s="53">
        <v>0</v>
      </c>
      <c r="E2040" s="78">
        <v>0</v>
      </c>
      <c r="F2040" s="84">
        <v>0</v>
      </c>
      <c r="G2040" s="53">
        <v>0</v>
      </c>
      <c r="H2040" s="78">
        <v>0</v>
      </c>
      <c r="I2040" s="84">
        <v>0</v>
      </c>
      <c r="J2040" s="53">
        <v>0</v>
      </c>
      <c r="K2040" s="78">
        <v>0</v>
      </c>
      <c r="L2040" s="84">
        <v>0</v>
      </c>
      <c r="M2040" s="53">
        <v>0</v>
      </c>
      <c r="N2040" s="78">
        <v>0</v>
      </c>
    </row>
    <row r="2041" spans="1:14" ht="19.5" customHeight="1" outlineLevel="1" x14ac:dyDescent="0.2">
      <c r="A2041" s="101">
        <v>23</v>
      </c>
      <c r="B2041" s="81" t="s">
        <v>30</v>
      </c>
      <c r="C2041" s="84">
        <v>0</v>
      </c>
      <c r="D2041" s="53">
        <v>0</v>
      </c>
      <c r="E2041" s="78">
        <v>0</v>
      </c>
      <c r="F2041" s="84">
        <v>0</v>
      </c>
      <c r="G2041" s="53">
        <v>0</v>
      </c>
      <c r="H2041" s="78">
        <v>0</v>
      </c>
      <c r="I2041" s="84">
        <v>0</v>
      </c>
      <c r="J2041" s="53">
        <v>0</v>
      </c>
      <c r="K2041" s="78">
        <v>0</v>
      </c>
      <c r="L2041" s="84">
        <v>0</v>
      </c>
      <c r="M2041" s="53">
        <v>0</v>
      </c>
      <c r="N2041" s="78">
        <v>0</v>
      </c>
    </row>
    <row r="2042" spans="1:14" ht="19.5" customHeight="1" outlineLevel="1" x14ac:dyDescent="0.2">
      <c r="A2042" s="101">
        <v>24</v>
      </c>
      <c r="B2042" s="81" t="s">
        <v>31</v>
      </c>
      <c r="C2042" s="84">
        <v>0</v>
      </c>
      <c r="D2042" s="53">
        <v>0</v>
      </c>
      <c r="E2042" s="78">
        <v>0</v>
      </c>
      <c r="F2042" s="84">
        <v>0</v>
      </c>
      <c r="G2042" s="53">
        <v>0</v>
      </c>
      <c r="H2042" s="78">
        <v>0</v>
      </c>
      <c r="I2042" s="84">
        <v>0</v>
      </c>
      <c r="J2042" s="53">
        <v>0</v>
      </c>
      <c r="K2042" s="78">
        <v>0</v>
      </c>
      <c r="L2042" s="84">
        <v>0</v>
      </c>
      <c r="M2042" s="53">
        <v>0</v>
      </c>
      <c r="N2042" s="78">
        <v>0</v>
      </c>
    </row>
    <row r="2043" spans="1:14" ht="19.5" customHeight="1" outlineLevel="1" x14ac:dyDescent="0.2">
      <c r="A2043" s="101">
        <v>25</v>
      </c>
      <c r="B2043" s="81" t="s">
        <v>32</v>
      </c>
      <c r="C2043" s="84">
        <v>0.41</v>
      </c>
      <c r="D2043" s="53">
        <v>11.3939</v>
      </c>
      <c r="E2043" s="78">
        <v>27790</v>
      </c>
      <c r="F2043" s="84">
        <v>0.32</v>
      </c>
      <c r="G2043" s="53">
        <v>9.0788000000000011</v>
      </c>
      <c r="H2043" s="78">
        <v>28371.25</v>
      </c>
      <c r="I2043" s="84">
        <v>0.19</v>
      </c>
      <c r="J2043" s="53">
        <v>5.1920000000000011</v>
      </c>
      <c r="K2043" s="78">
        <v>27326.315789473687</v>
      </c>
      <c r="L2043" s="84">
        <v>0.30666666666666664</v>
      </c>
      <c r="M2043" s="53">
        <v>8.5549000000000017</v>
      </c>
      <c r="N2043" s="78">
        <v>27896.413043478267</v>
      </c>
    </row>
    <row r="2044" spans="1:14" ht="19.5" customHeight="1" outlineLevel="1" x14ac:dyDescent="0.2">
      <c r="A2044" s="101">
        <v>26</v>
      </c>
      <c r="B2044" s="81" t="s">
        <v>33</v>
      </c>
      <c r="C2044" s="84">
        <v>0</v>
      </c>
      <c r="D2044" s="53">
        <v>0</v>
      </c>
      <c r="E2044" s="78">
        <v>0</v>
      </c>
      <c r="F2044" s="84">
        <v>0.02</v>
      </c>
      <c r="G2044" s="53">
        <v>0.5</v>
      </c>
      <c r="H2044" s="78">
        <v>25000</v>
      </c>
      <c r="I2044" s="84">
        <v>0</v>
      </c>
      <c r="J2044" s="53">
        <v>0</v>
      </c>
      <c r="K2044" s="78">
        <v>0</v>
      </c>
      <c r="L2044" s="84">
        <v>0.02</v>
      </c>
      <c r="M2044" s="53">
        <v>0.5</v>
      </c>
      <c r="N2044" s="78">
        <v>25000</v>
      </c>
    </row>
    <row r="2045" spans="1:14" ht="19.5" customHeight="1" outlineLevel="1" x14ac:dyDescent="0.2">
      <c r="A2045" s="101">
        <v>27</v>
      </c>
      <c r="B2045" s="81" t="s">
        <v>34</v>
      </c>
      <c r="C2045" s="84">
        <v>0.19</v>
      </c>
      <c r="D2045" s="53">
        <v>5.3959999999999999</v>
      </c>
      <c r="E2045" s="78">
        <v>28400</v>
      </c>
      <c r="F2045" s="84">
        <v>0.16</v>
      </c>
      <c r="G2045" s="53">
        <v>4.5759999999999996</v>
      </c>
      <c r="H2045" s="78">
        <v>28600</v>
      </c>
      <c r="I2045" s="84">
        <v>0</v>
      </c>
      <c r="J2045" s="53">
        <v>0</v>
      </c>
      <c r="K2045" s="78">
        <v>0</v>
      </c>
      <c r="L2045" s="84">
        <v>0.17499999999999999</v>
      </c>
      <c r="M2045" s="53">
        <v>4.9859999999999998</v>
      </c>
      <c r="N2045" s="78">
        <v>28491.428571428572</v>
      </c>
    </row>
    <row r="2046" spans="1:14" ht="19.5" customHeight="1" outlineLevel="1" x14ac:dyDescent="0.2">
      <c r="A2046" s="101">
        <v>28</v>
      </c>
      <c r="B2046" s="81" t="s">
        <v>35</v>
      </c>
      <c r="C2046" s="84">
        <v>0.45</v>
      </c>
      <c r="D2046" s="53">
        <v>12.762180000000001</v>
      </c>
      <c r="E2046" s="78">
        <v>28360.400000000001</v>
      </c>
      <c r="F2046" s="84">
        <v>0.89</v>
      </c>
      <c r="G2046" s="53">
        <v>25.283449300000004</v>
      </c>
      <c r="H2046" s="78">
        <v>28408.370000000003</v>
      </c>
      <c r="I2046" s="84">
        <v>0.71</v>
      </c>
      <c r="J2046" s="53">
        <v>20.169679999999996</v>
      </c>
      <c r="K2046" s="78">
        <v>28407.999999999996</v>
      </c>
      <c r="L2046" s="84">
        <v>0.68333333333333324</v>
      </c>
      <c r="M2046" s="53">
        <v>19.405103100000002</v>
      </c>
      <c r="N2046" s="78">
        <v>28397.71185365854</v>
      </c>
    </row>
    <row r="2047" spans="1:14" ht="19.5" customHeight="1" outlineLevel="1" x14ac:dyDescent="0.2">
      <c r="A2047" s="101">
        <v>29</v>
      </c>
      <c r="B2047" s="81" t="s">
        <v>36</v>
      </c>
      <c r="C2047" s="84">
        <v>2.4500000000000002</v>
      </c>
      <c r="D2047" s="53">
        <v>64.190000000000012</v>
      </c>
      <c r="E2047" s="78">
        <v>26200</v>
      </c>
      <c r="F2047" s="84">
        <v>0.39</v>
      </c>
      <c r="G2047" s="53">
        <v>10.233499999999999</v>
      </c>
      <c r="H2047" s="78">
        <v>26239.74358974359</v>
      </c>
      <c r="I2047" s="84">
        <v>1.22</v>
      </c>
      <c r="J2047" s="53">
        <v>32.410499999999999</v>
      </c>
      <c r="K2047" s="78">
        <v>26565.983606557376</v>
      </c>
      <c r="L2047" s="84">
        <v>1.3533333333333335</v>
      </c>
      <c r="M2047" s="53">
        <v>35.611333333333341</v>
      </c>
      <c r="N2047" s="78">
        <v>26313.793103448279</v>
      </c>
    </row>
    <row r="2048" spans="1:14" ht="19.5" customHeight="1" outlineLevel="1" x14ac:dyDescent="0.2">
      <c r="A2048" s="101">
        <v>30</v>
      </c>
      <c r="B2048" s="81" t="s">
        <v>37</v>
      </c>
      <c r="C2048" s="84">
        <v>0</v>
      </c>
      <c r="D2048" s="53">
        <v>0</v>
      </c>
      <c r="E2048" s="78">
        <v>0</v>
      </c>
      <c r="F2048" s="84">
        <v>0</v>
      </c>
      <c r="G2048" s="53">
        <v>0</v>
      </c>
      <c r="H2048" s="78">
        <v>0</v>
      </c>
      <c r="I2048" s="84">
        <v>0</v>
      </c>
      <c r="J2048" s="53">
        <v>0</v>
      </c>
      <c r="K2048" s="78">
        <v>0</v>
      </c>
      <c r="L2048" s="84">
        <v>0</v>
      </c>
      <c r="M2048" s="53">
        <v>0</v>
      </c>
      <c r="N2048" s="78">
        <v>0</v>
      </c>
    </row>
    <row r="2049" spans="1:14" ht="19.5" customHeight="1" outlineLevel="1" x14ac:dyDescent="0.2">
      <c r="A2049" s="101">
        <v>31</v>
      </c>
      <c r="B2049" s="81" t="s">
        <v>38</v>
      </c>
      <c r="C2049" s="84">
        <v>1.65</v>
      </c>
      <c r="D2049" s="53">
        <v>36.684449999999998</v>
      </c>
      <c r="E2049" s="78">
        <v>22233</v>
      </c>
      <c r="F2049" s="84">
        <v>0.99</v>
      </c>
      <c r="G2049" s="53">
        <v>24.018999999999998</v>
      </c>
      <c r="H2049" s="78">
        <v>24261.616161616163</v>
      </c>
      <c r="I2049" s="84">
        <v>1.08</v>
      </c>
      <c r="J2049" s="53">
        <v>25.820000000000004</v>
      </c>
      <c r="K2049" s="78">
        <v>23907.407407407409</v>
      </c>
      <c r="L2049" s="84">
        <v>1.24</v>
      </c>
      <c r="M2049" s="53">
        <v>28.841149999999999</v>
      </c>
      <c r="N2049" s="78">
        <v>23258.991935483868</v>
      </c>
    </row>
    <row r="2050" spans="1:14" ht="19.5" customHeight="1" outlineLevel="1" x14ac:dyDescent="0.2">
      <c r="A2050" s="101">
        <v>32</v>
      </c>
      <c r="B2050" s="81" t="s">
        <v>39</v>
      </c>
      <c r="C2050" s="84">
        <v>0.36</v>
      </c>
      <c r="D2050" s="53">
        <v>9.9359999999999999</v>
      </c>
      <c r="E2050" s="78">
        <v>27600</v>
      </c>
      <c r="F2050" s="84">
        <v>0</v>
      </c>
      <c r="G2050" s="53">
        <v>0</v>
      </c>
      <c r="H2050" s="78">
        <v>0</v>
      </c>
      <c r="I2050" s="84">
        <v>0</v>
      </c>
      <c r="J2050" s="53">
        <v>0</v>
      </c>
      <c r="K2050" s="78">
        <v>0</v>
      </c>
      <c r="L2050" s="84">
        <v>0.36</v>
      </c>
      <c r="M2050" s="53">
        <v>9.9359999999999999</v>
      </c>
      <c r="N2050" s="78">
        <v>27600</v>
      </c>
    </row>
    <row r="2051" spans="1:14" ht="19.5" customHeight="1" outlineLevel="1" thickBot="1" x14ac:dyDescent="0.25">
      <c r="A2051" s="102">
        <v>33</v>
      </c>
      <c r="B2051" s="91" t="s">
        <v>40</v>
      </c>
      <c r="C2051" s="92">
        <v>0.9</v>
      </c>
      <c r="D2051" s="93">
        <v>17.857800000000001</v>
      </c>
      <c r="E2051" s="94">
        <v>19842</v>
      </c>
      <c r="F2051" s="92">
        <v>0.71</v>
      </c>
      <c r="G2051" s="93">
        <v>20.239999999999995</v>
      </c>
      <c r="H2051" s="94">
        <v>28507.042253521126</v>
      </c>
      <c r="I2051" s="92">
        <v>0.09</v>
      </c>
      <c r="J2051" s="93">
        <v>2.1669999999999998</v>
      </c>
      <c r="K2051" s="94">
        <v>24077.777777777777</v>
      </c>
      <c r="L2051" s="92">
        <v>0.56666666666666665</v>
      </c>
      <c r="M2051" s="93">
        <v>13.421599999999998</v>
      </c>
      <c r="N2051" s="94">
        <v>23685.176470588234</v>
      </c>
    </row>
    <row r="2052" spans="1:14" ht="19.5" customHeight="1" thickBot="1" x14ac:dyDescent="0.25">
      <c r="A2052" s="151" t="s">
        <v>41</v>
      </c>
      <c r="B2052" s="152"/>
      <c r="C2052" s="96">
        <v>120.07</v>
      </c>
      <c r="D2052" s="97">
        <v>3276.0750750000007</v>
      </c>
      <c r="E2052" s="98">
        <v>27284.709544432422</v>
      </c>
      <c r="F2052" s="96">
        <v>108.04999999999997</v>
      </c>
      <c r="G2052" s="97">
        <v>2965.7342270999989</v>
      </c>
      <c r="H2052" s="98">
        <v>27447.794790374825</v>
      </c>
      <c r="I2052" s="96">
        <v>109.04999999999998</v>
      </c>
      <c r="J2052" s="97">
        <v>3192.4292900000005</v>
      </c>
      <c r="K2052" s="98">
        <v>29274.913250802394</v>
      </c>
      <c r="L2052" s="96">
        <v>112.38999999999999</v>
      </c>
      <c r="M2052" s="97">
        <v>3144.7461973666668</v>
      </c>
      <c r="N2052" s="98">
        <v>27980.658398137446</v>
      </c>
    </row>
    <row r="2053" spans="1:14" ht="34.5" customHeight="1" x14ac:dyDescent="0.2">
      <c r="A2053" s="153" t="s">
        <v>247</v>
      </c>
      <c r="B2053" s="154"/>
      <c r="C2053" s="154"/>
      <c r="D2053" s="154"/>
      <c r="E2053" s="154"/>
      <c r="F2053" s="154"/>
      <c r="G2053" s="154"/>
      <c r="H2053" s="154"/>
      <c r="I2053" s="154"/>
      <c r="J2053" s="154"/>
      <c r="K2053" s="154"/>
      <c r="L2053" s="154"/>
      <c r="M2053" s="154"/>
      <c r="N2053" s="154"/>
    </row>
    <row r="2054" spans="1:14" ht="19.5" customHeight="1" thickBot="1" x14ac:dyDescent="0.25">
      <c r="A2054" s="50"/>
      <c r="B2054" s="51" t="s">
        <v>96</v>
      </c>
      <c r="C2054" s="52"/>
      <c r="D2054" s="52"/>
      <c r="E2054" s="52"/>
      <c r="F2054" s="52"/>
      <c r="G2054" s="52"/>
      <c r="H2054" s="52"/>
      <c r="I2054" s="52"/>
      <c r="J2054" s="52"/>
      <c r="K2054" s="155" t="s">
        <v>1</v>
      </c>
      <c r="L2054" s="154"/>
      <c r="M2054" s="154"/>
      <c r="N2054" s="154"/>
    </row>
    <row r="2055" spans="1:14" ht="19.5" customHeight="1" x14ac:dyDescent="0.2">
      <c r="A2055" s="156" t="s">
        <v>2</v>
      </c>
      <c r="B2055" s="158" t="s">
        <v>3</v>
      </c>
      <c r="C2055" s="148" t="s">
        <v>243</v>
      </c>
      <c r="D2055" s="149"/>
      <c r="E2055" s="150"/>
      <c r="F2055" s="148" t="s">
        <v>244</v>
      </c>
      <c r="G2055" s="149"/>
      <c r="H2055" s="150"/>
      <c r="I2055" s="148" t="s">
        <v>246</v>
      </c>
      <c r="J2055" s="149"/>
      <c r="K2055" s="150"/>
      <c r="L2055" s="148" t="s">
        <v>4</v>
      </c>
      <c r="M2055" s="149"/>
      <c r="N2055" s="150"/>
    </row>
    <row r="2056" spans="1:14" ht="19.5" customHeight="1" thickBot="1" x14ac:dyDescent="0.25">
      <c r="A2056" s="157"/>
      <c r="B2056" s="159"/>
      <c r="C2056" s="85" t="s">
        <v>5</v>
      </c>
      <c r="D2056" s="79" t="s">
        <v>6</v>
      </c>
      <c r="E2056" s="80" t="s">
        <v>7</v>
      </c>
      <c r="F2056" s="85" t="s">
        <v>5</v>
      </c>
      <c r="G2056" s="79" t="s">
        <v>6</v>
      </c>
      <c r="H2056" s="80" t="s">
        <v>7</v>
      </c>
      <c r="I2056" s="85" t="s">
        <v>5</v>
      </c>
      <c r="J2056" s="79" t="s">
        <v>6</v>
      </c>
      <c r="K2056" s="80" t="s">
        <v>7</v>
      </c>
      <c r="L2056" s="85" t="s">
        <v>5</v>
      </c>
      <c r="M2056" s="79" t="s">
        <v>6</v>
      </c>
      <c r="N2056" s="80" t="s">
        <v>7</v>
      </c>
    </row>
    <row r="2057" spans="1:14" ht="19.5" customHeight="1" outlineLevel="1" x14ac:dyDescent="0.2">
      <c r="A2057" s="100">
        <v>1</v>
      </c>
      <c r="B2057" s="86" t="s">
        <v>8</v>
      </c>
      <c r="C2057" s="87">
        <v>45.94</v>
      </c>
      <c r="D2057" s="88">
        <v>89.718063599999994</v>
      </c>
      <c r="E2057" s="89">
        <v>1952.94</v>
      </c>
      <c r="F2057" s="87">
        <v>59.84</v>
      </c>
      <c r="G2057" s="88">
        <v>113.62513971979695</v>
      </c>
      <c r="H2057" s="89">
        <v>1898.8158375634516</v>
      </c>
      <c r="I2057" s="87">
        <v>58.519999999999996</v>
      </c>
      <c r="J2057" s="88">
        <v>136.01803335698926</v>
      </c>
      <c r="K2057" s="89">
        <v>2324.2999548357702</v>
      </c>
      <c r="L2057" s="87">
        <v>54.766666666666673</v>
      </c>
      <c r="M2057" s="88">
        <v>113.12041222559542</v>
      </c>
      <c r="N2057" s="89">
        <v>2065.4974843383216</v>
      </c>
    </row>
    <row r="2058" spans="1:14" ht="19.5" customHeight="1" outlineLevel="1" x14ac:dyDescent="0.2">
      <c r="A2058" s="101">
        <v>2</v>
      </c>
      <c r="B2058" s="81" t="s">
        <v>9</v>
      </c>
      <c r="C2058" s="84">
        <v>1727.08</v>
      </c>
      <c r="D2058" s="53">
        <v>5063.5305399999997</v>
      </c>
      <c r="E2058" s="78">
        <v>2931.8448132107374</v>
      </c>
      <c r="F2058" s="84">
        <v>1699.65</v>
      </c>
      <c r="G2058" s="53">
        <v>5074.0863200000003</v>
      </c>
      <c r="H2058" s="78">
        <v>2985.3712940899595</v>
      </c>
      <c r="I2058" s="84">
        <v>1716.46</v>
      </c>
      <c r="J2058" s="53">
        <v>5181.0914799999991</v>
      </c>
      <c r="K2058" s="78">
        <v>3018.4749309625622</v>
      </c>
      <c r="L2058" s="84">
        <v>1714.3966666666668</v>
      </c>
      <c r="M2058" s="53">
        <v>5106.2361133333334</v>
      </c>
      <c r="N2058" s="78">
        <v>2978.4449612011222</v>
      </c>
    </row>
    <row r="2059" spans="1:14" ht="19.5" customHeight="1" outlineLevel="1" x14ac:dyDescent="0.2">
      <c r="A2059" s="101">
        <v>3</v>
      </c>
      <c r="B2059" s="81" t="s">
        <v>10</v>
      </c>
      <c r="C2059" s="84">
        <v>64.760000000000005</v>
      </c>
      <c r="D2059" s="53">
        <v>189.94079446208113</v>
      </c>
      <c r="E2059" s="78">
        <v>2932.9955908289239</v>
      </c>
      <c r="F2059" s="84">
        <v>64.77</v>
      </c>
      <c r="G2059" s="53">
        <v>192.09279049723756</v>
      </c>
      <c r="H2059" s="78">
        <v>2965.767955801105</v>
      </c>
      <c r="I2059" s="84">
        <v>68.86</v>
      </c>
      <c r="J2059" s="53">
        <v>192.13583002419503</v>
      </c>
      <c r="K2059" s="78">
        <v>2790.2386004094542</v>
      </c>
      <c r="L2059" s="84">
        <v>66.13</v>
      </c>
      <c r="M2059" s="53">
        <v>191.38980499450454</v>
      </c>
      <c r="N2059" s="78">
        <v>2894.1449416982391</v>
      </c>
    </row>
    <row r="2060" spans="1:14" ht="19.5" customHeight="1" outlineLevel="1" x14ac:dyDescent="0.2">
      <c r="A2060" s="101">
        <v>4</v>
      </c>
      <c r="B2060" s="81" t="s">
        <v>11</v>
      </c>
      <c r="C2060" s="84">
        <v>119.78</v>
      </c>
      <c r="D2060" s="53">
        <v>364.25133967496549</v>
      </c>
      <c r="E2060" s="78">
        <v>3041.0030027965058</v>
      </c>
      <c r="F2060" s="84">
        <v>119.35</v>
      </c>
      <c r="G2060" s="53">
        <v>360.30845740064365</v>
      </c>
      <c r="H2060" s="78">
        <v>3018.9229778017902</v>
      </c>
      <c r="I2060" s="84">
        <v>118.23</v>
      </c>
      <c r="J2060" s="53">
        <v>362.21311005649034</v>
      </c>
      <c r="K2060" s="78">
        <v>3063.6311431657814</v>
      </c>
      <c r="L2060" s="84">
        <v>119.12</v>
      </c>
      <c r="M2060" s="53">
        <v>362.25763571069984</v>
      </c>
      <c r="N2060" s="78">
        <v>3041.1151419635648</v>
      </c>
    </row>
    <row r="2061" spans="1:14" ht="19.5" customHeight="1" outlineLevel="1" x14ac:dyDescent="0.2">
      <c r="A2061" s="101">
        <v>5</v>
      </c>
      <c r="B2061" s="81" t="s">
        <v>12</v>
      </c>
      <c r="C2061" s="84">
        <v>43.75</v>
      </c>
      <c r="D2061" s="53">
        <v>144.63577768540623</v>
      </c>
      <c r="E2061" s="78">
        <v>3305.9606328092855</v>
      </c>
      <c r="F2061" s="84">
        <v>74.36</v>
      </c>
      <c r="G2061" s="53">
        <v>233.3158630223015</v>
      </c>
      <c r="H2061" s="78">
        <v>3137.6528109507999</v>
      </c>
      <c r="I2061" s="84">
        <v>76.569999999999993</v>
      </c>
      <c r="J2061" s="53">
        <v>214.09160668425511</v>
      </c>
      <c r="K2061" s="78">
        <v>2796.0246399928842</v>
      </c>
      <c r="L2061" s="84">
        <v>64.893333333333331</v>
      </c>
      <c r="M2061" s="53">
        <v>197.34774913065428</v>
      </c>
      <c r="N2061" s="78">
        <v>3041.1097564822417</v>
      </c>
    </row>
    <row r="2062" spans="1:14" ht="19.5" customHeight="1" outlineLevel="1" x14ac:dyDescent="0.2">
      <c r="A2062" s="101">
        <v>6</v>
      </c>
      <c r="B2062" s="81" t="s">
        <v>13</v>
      </c>
      <c r="C2062" s="84">
        <v>58.25</v>
      </c>
      <c r="D2062" s="53">
        <v>173.30640399999999</v>
      </c>
      <c r="E2062" s="78">
        <v>2975.2172360515019</v>
      </c>
      <c r="F2062" s="84">
        <v>61.1</v>
      </c>
      <c r="G2062" s="53">
        <v>219.86742768139678</v>
      </c>
      <c r="H2062" s="78">
        <v>3598.4849047691778</v>
      </c>
      <c r="I2062" s="84">
        <v>61.769999999999996</v>
      </c>
      <c r="J2062" s="53">
        <v>208.81041052110021</v>
      </c>
      <c r="K2062" s="78">
        <v>3380.450226988833</v>
      </c>
      <c r="L2062" s="84">
        <v>60.373333333333335</v>
      </c>
      <c r="M2062" s="53">
        <v>200.66141406749898</v>
      </c>
      <c r="N2062" s="78">
        <v>3323.6762489095458</v>
      </c>
    </row>
    <row r="2063" spans="1:14" ht="19.5" customHeight="1" outlineLevel="1" x14ac:dyDescent="0.2">
      <c r="A2063" s="101">
        <v>7</v>
      </c>
      <c r="B2063" s="81" t="s">
        <v>14</v>
      </c>
      <c r="C2063" s="84">
        <v>76.13</v>
      </c>
      <c r="D2063" s="53">
        <v>252.66729684818199</v>
      </c>
      <c r="E2063" s="78">
        <v>3318.892642167109</v>
      </c>
      <c r="F2063" s="84">
        <v>81.98</v>
      </c>
      <c r="G2063" s="53">
        <v>283.16898352531291</v>
      </c>
      <c r="H2063" s="78">
        <v>3454.1227558589035</v>
      </c>
      <c r="I2063" s="84">
        <v>70.31</v>
      </c>
      <c r="J2063" s="53">
        <v>231.59295581043691</v>
      </c>
      <c r="K2063" s="78">
        <v>3293.8835984986044</v>
      </c>
      <c r="L2063" s="84">
        <v>76.14</v>
      </c>
      <c r="M2063" s="53">
        <v>255.80974539464395</v>
      </c>
      <c r="N2063" s="78">
        <v>3359.7287285873908</v>
      </c>
    </row>
    <row r="2064" spans="1:14" ht="19.5" customHeight="1" outlineLevel="1" x14ac:dyDescent="0.2">
      <c r="A2064" s="101">
        <v>8</v>
      </c>
      <c r="B2064" s="81" t="s">
        <v>15</v>
      </c>
      <c r="C2064" s="84">
        <v>315.87</v>
      </c>
      <c r="D2064" s="53">
        <v>973.94402531553976</v>
      </c>
      <c r="E2064" s="78">
        <v>3083.3698208615565</v>
      </c>
      <c r="F2064" s="84">
        <v>358.75</v>
      </c>
      <c r="G2064" s="53">
        <v>1019.1828176754165</v>
      </c>
      <c r="H2064" s="78">
        <v>2840.9277147746802</v>
      </c>
      <c r="I2064" s="84">
        <v>453.39000000000004</v>
      </c>
      <c r="J2064" s="53">
        <v>1330.8868102087777</v>
      </c>
      <c r="K2064" s="78">
        <v>2935.4128018014899</v>
      </c>
      <c r="L2064" s="84">
        <v>376.00333333333333</v>
      </c>
      <c r="M2064" s="53">
        <v>1108.004551066578</v>
      </c>
      <c r="N2064" s="78">
        <v>2946.7944904741394</v>
      </c>
    </row>
    <row r="2065" spans="1:14" ht="19.5" customHeight="1" outlineLevel="1" x14ac:dyDescent="0.2">
      <c r="A2065" s="101">
        <v>9</v>
      </c>
      <c r="B2065" s="81" t="s">
        <v>16</v>
      </c>
      <c r="C2065" s="84">
        <v>9.4699999999999989</v>
      </c>
      <c r="D2065" s="53">
        <v>27.930448138152236</v>
      </c>
      <c r="E2065" s="78">
        <v>2949.3609438386738</v>
      </c>
      <c r="F2065" s="84">
        <v>13.99</v>
      </c>
      <c r="G2065" s="53">
        <v>41.417511629028517</v>
      </c>
      <c r="H2065" s="78">
        <v>2960.5083365996079</v>
      </c>
      <c r="I2065" s="84">
        <v>19.560000000000002</v>
      </c>
      <c r="J2065" s="53">
        <v>55.165213336544575</v>
      </c>
      <c r="K2065" s="78">
        <v>2820.3074302936898</v>
      </c>
      <c r="L2065" s="84">
        <v>14.340000000000002</v>
      </c>
      <c r="M2065" s="53">
        <v>41.504391034575114</v>
      </c>
      <c r="N2065" s="78">
        <v>2894.3089982269948</v>
      </c>
    </row>
    <row r="2066" spans="1:14" ht="19.5" customHeight="1" outlineLevel="1" x14ac:dyDescent="0.2">
      <c r="A2066" s="101">
        <v>10</v>
      </c>
      <c r="B2066" s="81" t="s">
        <v>17</v>
      </c>
      <c r="C2066" s="84">
        <v>24.5</v>
      </c>
      <c r="D2066" s="53">
        <v>72.768783489193396</v>
      </c>
      <c r="E2066" s="78">
        <v>2970.1544281303422</v>
      </c>
      <c r="F2066" s="84">
        <v>8.52</v>
      </c>
      <c r="G2066" s="53">
        <v>32.189837999999995</v>
      </c>
      <c r="H2066" s="78">
        <v>3778.1499999999996</v>
      </c>
      <c r="I2066" s="84">
        <v>7.46</v>
      </c>
      <c r="J2066" s="53">
        <v>22.637934232406696</v>
      </c>
      <c r="K2066" s="78">
        <v>3034.5756343708708</v>
      </c>
      <c r="L2066" s="84">
        <v>13.493333333333332</v>
      </c>
      <c r="M2066" s="53">
        <v>42.532185240533359</v>
      </c>
      <c r="N2066" s="78">
        <v>3152.0888271146264</v>
      </c>
    </row>
    <row r="2067" spans="1:14" ht="19.5" customHeight="1" outlineLevel="1" x14ac:dyDescent="0.2">
      <c r="A2067" s="101">
        <v>11</v>
      </c>
      <c r="B2067" s="81" t="s">
        <v>18</v>
      </c>
      <c r="C2067" s="84">
        <v>10.06</v>
      </c>
      <c r="D2067" s="53">
        <v>29.879753546991243</v>
      </c>
      <c r="E2067" s="78">
        <v>2970.1544281303422</v>
      </c>
      <c r="F2067" s="84">
        <v>7.38</v>
      </c>
      <c r="G2067" s="53">
        <v>22.287869246374985</v>
      </c>
      <c r="H2067" s="78">
        <v>3020.0364832486434</v>
      </c>
      <c r="I2067" s="84">
        <v>6.84</v>
      </c>
      <c r="J2067" s="53">
        <v>20.756497339096757</v>
      </c>
      <c r="K2067" s="78">
        <v>3034.5756343708708</v>
      </c>
      <c r="L2067" s="84">
        <v>8.0933333333333337</v>
      </c>
      <c r="M2067" s="53">
        <v>24.308040044154328</v>
      </c>
      <c r="N2067" s="78">
        <v>3003.4645853567949</v>
      </c>
    </row>
    <row r="2068" spans="1:14" ht="19.5" customHeight="1" outlineLevel="1" x14ac:dyDescent="0.2">
      <c r="A2068" s="101">
        <v>12</v>
      </c>
      <c r="B2068" s="81" t="s">
        <v>19</v>
      </c>
      <c r="C2068" s="84">
        <v>6.15</v>
      </c>
      <c r="D2068" s="53">
        <v>18.266449733001604</v>
      </c>
      <c r="E2068" s="78">
        <v>2970.1544281303422</v>
      </c>
      <c r="F2068" s="84">
        <v>9.73</v>
      </c>
      <c r="G2068" s="53">
        <v>29.418530024836667</v>
      </c>
      <c r="H2068" s="78">
        <v>3023.4871556872213</v>
      </c>
      <c r="I2068" s="84">
        <v>10.130000000000001</v>
      </c>
      <c r="J2068" s="53">
        <v>30.740251176176923</v>
      </c>
      <c r="K2068" s="78">
        <v>3034.5756343708708</v>
      </c>
      <c r="L2068" s="84">
        <v>8.67</v>
      </c>
      <c r="M2068" s="53">
        <v>26.141743644671731</v>
      </c>
      <c r="N2068" s="78">
        <v>3015.1953454061972</v>
      </c>
    </row>
    <row r="2069" spans="1:14" ht="19.5" customHeight="1" outlineLevel="1" x14ac:dyDescent="0.2">
      <c r="A2069" s="101">
        <v>13</v>
      </c>
      <c r="B2069" s="81" t="s">
        <v>20</v>
      </c>
      <c r="C2069" s="84">
        <v>3.24</v>
      </c>
      <c r="D2069" s="53">
        <v>9.6233003471423082</v>
      </c>
      <c r="E2069" s="78">
        <v>2970.1544281303422</v>
      </c>
      <c r="F2069" s="84">
        <v>1.27</v>
      </c>
      <c r="G2069" s="53">
        <v>3.842505986770604</v>
      </c>
      <c r="H2069" s="78">
        <v>3025.5952651737039</v>
      </c>
      <c r="I2069" s="84">
        <v>5.27</v>
      </c>
      <c r="J2069" s="53">
        <v>15.992213593134487</v>
      </c>
      <c r="K2069" s="78">
        <v>3034.5756343708708</v>
      </c>
      <c r="L2069" s="84">
        <v>3.26</v>
      </c>
      <c r="M2069" s="53">
        <v>9.8193399756824657</v>
      </c>
      <c r="N2069" s="78">
        <v>3012.0674772032107</v>
      </c>
    </row>
    <row r="2070" spans="1:14" ht="19.5" customHeight="1" outlineLevel="1" x14ac:dyDescent="0.2">
      <c r="A2070" s="101">
        <v>14</v>
      </c>
      <c r="B2070" s="81" t="s">
        <v>21</v>
      </c>
      <c r="C2070" s="84">
        <v>5.05</v>
      </c>
      <c r="D2070" s="53">
        <v>13.41509454830182</v>
      </c>
      <c r="E2070" s="78">
        <v>2656.4543660003606</v>
      </c>
      <c r="F2070" s="84">
        <v>2.2000000000000002</v>
      </c>
      <c r="G2070" s="53">
        <v>6.6563095833821491</v>
      </c>
      <c r="H2070" s="78">
        <v>3025.5952651737039</v>
      </c>
      <c r="I2070" s="84">
        <v>3.6</v>
      </c>
      <c r="J2070" s="53">
        <v>10.924472283735135</v>
      </c>
      <c r="K2070" s="78">
        <v>3034.5756343708708</v>
      </c>
      <c r="L2070" s="84">
        <v>3.6166666666666667</v>
      </c>
      <c r="M2070" s="53">
        <v>10.331958805139701</v>
      </c>
      <c r="N2070" s="78">
        <v>2856.7628032644334</v>
      </c>
    </row>
    <row r="2071" spans="1:14" ht="19.5" customHeight="1" outlineLevel="1" x14ac:dyDescent="0.2">
      <c r="A2071" s="101">
        <v>15</v>
      </c>
      <c r="B2071" s="81" t="s">
        <v>22</v>
      </c>
      <c r="C2071" s="84">
        <v>31.82</v>
      </c>
      <c r="D2071" s="53">
        <v>94.510313903107502</v>
      </c>
      <c r="E2071" s="78">
        <v>2970.1544281303422</v>
      </c>
      <c r="F2071" s="84">
        <v>31.75</v>
      </c>
      <c r="G2071" s="53">
        <v>77.787499999999994</v>
      </c>
      <c r="H2071" s="78">
        <v>2450</v>
      </c>
      <c r="I2071" s="84">
        <v>28.87</v>
      </c>
      <c r="J2071" s="53">
        <v>68.479640000000003</v>
      </c>
      <c r="K2071" s="78">
        <v>2372</v>
      </c>
      <c r="L2071" s="84">
        <v>30.813333333333333</v>
      </c>
      <c r="M2071" s="53">
        <v>80.259151301035843</v>
      </c>
      <c r="N2071" s="78">
        <v>2604.689029674465</v>
      </c>
    </row>
    <row r="2072" spans="1:14" ht="19.5" customHeight="1" outlineLevel="1" x14ac:dyDescent="0.2">
      <c r="A2072" s="101">
        <v>16</v>
      </c>
      <c r="B2072" s="81" t="s">
        <v>23</v>
      </c>
      <c r="C2072" s="84">
        <v>71.2</v>
      </c>
      <c r="D2072" s="53">
        <v>259.69724645908764</v>
      </c>
      <c r="E2072" s="78">
        <v>3647.4332367849388</v>
      </c>
      <c r="F2072" s="84">
        <v>78.95</v>
      </c>
      <c r="G2072" s="53">
        <v>287.51212433483869</v>
      </c>
      <c r="H2072" s="78">
        <v>3641.6988516129031</v>
      </c>
      <c r="I2072" s="84">
        <v>80.02</v>
      </c>
      <c r="J2072" s="53">
        <v>274.3720580919304</v>
      </c>
      <c r="K2072" s="78">
        <v>3428.7935277671886</v>
      </c>
      <c r="L2072" s="84">
        <v>76.723333333333343</v>
      </c>
      <c r="M2072" s="53">
        <v>273.86047629528559</v>
      </c>
      <c r="N2072" s="78">
        <v>3569.45487633426</v>
      </c>
    </row>
    <row r="2073" spans="1:14" ht="19.5" customHeight="1" outlineLevel="1" x14ac:dyDescent="0.2">
      <c r="A2073" s="101">
        <v>17</v>
      </c>
      <c r="B2073" s="81" t="s">
        <v>24</v>
      </c>
      <c r="C2073" s="84">
        <v>47.25</v>
      </c>
      <c r="D2073" s="53">
        <v>131.80135670141769</v>
      </c>
      <c r="E2073" s="78">
        <v>2789.4467026755065</v>
      </c>
      <c r="F2073" s="84">
        <v>39.619999999999997</v>
      </c>
      <c r="G2073" s="53">
        <v>105.18799012751489</v>
      </c>
      <c r="H2073" s="78">
        <v>2654.9215075092097</v>
      </c>
      <c r="I2073" s="84">
        <v>42.51</v>
      </c>
      <c r="J2073" s="53">
        <v>127.75784832471561</v>
      </c>
      <c r="K2073" s="78">
        <v>3005.3598759048605</v>
      </c>
      <c r="L2073" s="84">
        <v>43.126666666666665</v>
      </c>
      <c r="M2073" s="53">
        <v>121.58239838454939</v>
      </c>
      <c r="N2073" s="78">
        <v>2819.1930372055049</v>
      </c>
    </row>
    <row r="2074" spans="1:14" ht="19.5" customHeight="1" outlineLevel="1" x14ac:dyDescent="0.2">
      <c r="A2074" s="101">
        <v>18</v>
      </c>
      <c r="B2074" s="81" t="s">
        <v>25</v>
      </c>
      <c r="C2074" s="84">
        <v>84.13000000000001</v>
      </c>
      <c r="D2074" s="53">
        <v>228.14289512939689</v>
      </c>
      <c r="E2074" s="78">
        <v>2711.7900288767014</v>
      </c>
      <c r="F2074" s="84">
        <v>81.179999999999993</v>
      </c>
      <c r="G2074" s="53">
        <v>262.04626598713645</v>
      </c>
      <c r="H2074" s="78">
        <v>3227.9658288634701</v>
      </c>
      <c r="I2074" s="84">
        <v>93.960000000000008</v>
      </c>
      <c r="J2074" s="53">
        <v>315.02451308440709</v>
      </c>
      <c r="K2074" s="78">
        <v>3352.7513099660182</v>
      </c>
      <c r="L2074" s="84">
        <v>86.423333333333332</v>
      </c>
      <c r="M2074" s="53">
        <v>268.40455806698014</v>
      </c>
      <c r="N2074" s="78">
        <v>3105.6955073897502</v>
      </c>
    </row>
    <row r="2075" spans="1:14" ht="19.5" customHeight="1" outlineLevel="1" x14ac:dyDescent="0.2">
      <c r="A2075" s="101">
        <v>19</v>
      </c>
      <c r="B2075" s="81" t="s">
        <v>26</v>
      </c>
      <c r="C2075" s="84">
        <v>5.88</v>
      </c>
      <c r="D2075" s="53">
        <v>17.464508037406414</v>
      </c>
      <c r="E2075" s="78">
        <v>2970.1544281303422</v>
      </c>
      <c r="F2075" s="84">
        <v>7.25</v>
      </c>
      <c r="G2075" s="53">
        <v>21.935565672509355</v>
      </c>
      <c r="H2075" s="78">
        <v>3025.5952651737039</v>
      </c>
      <c r="I2075" s="84">
        <v>11.350000000000001</v>
      </c>
      <c r="J2075" s="53">
        <v>34.415704668390838</v>
      </c>
      <c r="K2075" s="78">
        <v>3032.2206756291484</v>
      </c>
      <c r="L2075" s="84">
        <v>8.16</v>
      </c>
      <c r="M2075" s="53">
        <v>24.60525945943554</v>
      </c>
      <c r="N2075" s="78">
        <v>3015.3504239504337</v>
      </c>
    </row>
    <row r="2076" spans="1:14" ht="19.5" customHeight="1" outlineLevel="1" x14ac:dyDescent="0.2">
      <c r="A2076" s="101">
        <v>20</v>
      </c>
      <c r="B2076" s="81" t="s">
        <v>27</v>
      </c>
      <c r="C2076" s="84">
        <v>426.63</v>
      </c>
      <c r="D2076" s="53">
        <v>1395.2425900953824</v>
      </c>
      <c r="E2076" s="78">
        <v>3270.380868891973</v>
      </c>
      <c r="F2076" s="84">
        <v>468.32</v>
      </c>
      <c r="G2076" s="53">
        <v>1566.5847825702806</v>
      </c>
      <c r="H2076" s="78">
        <v>3345.116122673131</v>
      </c>
      <c r="I2076" s="84">
        <v>588.99</v>
      </c>
      <c r="J2076" s="53">
        <v>1818.6545277633247</v>
      </c>
      <c r="K2076" s="78">
        <v>3087.7511125202886</v>
      </c>
      <c r="L2076" s="84">
        <v>494.6466666666667</v>
      </c>
      <c r="M2076" s="53">
        <v>1593.4939668096624</v>
      </c>
      <c r="N2076" s="78">
        <v>3221.479237994115</v>
      </c>
    </row>
    <row r="2077" spans="1:14" ht="19.5" customHeight="1" outlineLevel="1" x14ac:dyDescent="0.2">
      <c r="A2077" s="101">
        <v>21</v>
      </c>
      <c r="B2077" s="81" t="s">
        <v>28</v>
      </c>
      <c r="C2077" s="84">
        <v>395.78999999999996</v>
      </c>
      <c r="D2077" s="53">
        <v>1197.7811138259262</v>
      </c>
      <c r="E2077" s="78">
        <v>3026.3046409103981</v>
      </c>
      <c r="F2077" s="84">
        <v>369.85</v>
      </c>
      <c r="G2077" s="53">
        <v>1049.7215260416162</v>
      </c>
      <c r="H2077" s="78">
        <v>2838.2358416699099</v>
      </c>
      <c r="I2077" s="84">
        <v>436.78999999999996</v>
      </c>
      <c r="J2077" s="53">
        <v>1248.2408875840672</v>
      </c>
      <c r="K2077" s="78">
        <v>2857.7597646101499</v>
      </c>
      <c r="L2077" s="84">
        <v>400.80999999999995</v>
      </c>
      <c r="M2077" s="53">
        <v>1165.24784248387</v>
      </c>
      <c r="N2077" s="78">
        <v>2907.2324604772089</v>
      </c>
    </row>
    <row r="2078" spans="1:14" ht="19.5" customHeight="1" outlineLevel="1" x14ac:dyDescent="0.2">
      <c r="A2078" s="101">
        <v>22</v>
      </c>
      <c r="B2078" s="81" t="s">
        <v>29</v>
      </c>
      <c r="C2078" s="84">
        <v>23.68</v>
      </c>
      <c r="D2078" s="53">
        <v>47.442563333333339</v>
      </c>
      <c r="E2078" s="78">
        <v>2003.4866272522524</v>
      </c>
      <c r="F2078" s="84">
        <v>57.66</v>
      </c>
      <c r="G2078" s="53">
        <v>142.96424195818639</v>
      </c>
      <c r="H2078" s="78">
        <v>2479.4353444014287</v>
      </c>
      <c r="I2078" s="84">
        <v>63.510000000000005</v>
      </c>
      <c r="J2078" s="53">
        <v>137.74676968442503</v>
      </c>
      <c r="K2078" s="78">
        <v>2168.898908588018</v>
      </c>
      <c r="L2078" s="84">
        <v>48.283333333333339</v>
      </c>
      <c r="M2078" s="53">
        <v>109.38452499198159</v>
      </c>
      <c r="N2078" s="78">
        <v>2265.4716946906783</v>
      </c>
    </row>
    <row r="2079" spans="1:14" ht="19.5" customHeight="1" outlineLevel="1" x14ac:dyDescent="0.2">
      <c r="A2079" s="101">
        <v>23</v>
      </c>
      <c r="B2079" s="81" t="s">
        <v>30</v>
      </c>
      <c r="C2079" s="84">
        <v>42.66</v>
      </c>
      <c r="D2079" s="53">
        <v>104.47543322595838</v>
      </c>
      <c r="E2079" s="78">
        <v>2449.0256264875388</v>
      </c>
      <c r="F2079" s="84">
        <v>42.36</v>
      </c>
      <c r="G2079" s="53">
        <v>111.8399313216453</v>
      </c>
      <c r="H2079" s="78">
        <v>2640.2250075931374</v>
      </c>
      <c r="I2079" s="84">
        <v>41.569999999999993</v>
      </c>
      <c r="J2079" s="53">
        <v>101.38827925268119</v>
      </c>
      <c r="K2079" s="78">
        <v>2438.9771290036374</v>
      </c>
      <c r="L2079" s="84">
        <v>42.196666666666665</v>
      </c>
      <c r="M2079" s="53">
        <v>105.90121460009495</v>
      </c>
      <c r="N2079" s="78">
        <v>2509.7056939749177</v>
      </c>
    </row>
    <row r="2080" spans="1:14" ht="19.5" customHeight="1" outlineLevel="1" x14ac:dyDescent="0.2">
      <c r="A2080" s="101">
        <v>24</v>
      </c>
      <c r="B2080" s="81" t="s">
        <v>31</v>
      </c>
      <c r="C2080" s="84">
        <v>0.47</v>
      </c>
      <c r="D2080" s="53">
        <v>1.3959725812212607</v>
      </c>
      <c r="E2080" s="78">
        <v>2970.1544281303422</v>
      </c>
      <c r="F2080" s="84">
        <v>0.26</v>
      </c>
      <c r="G2080" s="53">
        <v>0.78665476894516306</v>
      </c>
      <c r="H2080" s="78">
        <v>3025.5952651737039</v>
      </c>
      <c r="I2080" s="84">
        <v>0.36</v>
      </c>
      <c r="J2080" s="53">
        <v>1.0924472283735136</v>
      </c>
      <c r="K2080" s="78">
        <v>3034.5756343708713</v>
      </c>
      <c r="L2080" s="84">
        <v>0.36333333333333329</v>
      </c>
      <c r="M2080" s="53">
        <v>1.0916915261799793</v>
      </c>
      <c r="N2080" s="78">
        <v>3004.6555766421452</v>
      </c>
    </row>
    <row r="2081" spans="1:14" ht="19.5" customHeight="1" outlineLevel="1" x14ac:dyDescent="0.2">
      <c r="A2081" s="101">
        <v>25</v>
      </c>
      <c r="B2081" s="81" t="s">
        <v>32</v>
      </c>
      <c r="C2081" s="84">
        <v>113.1</v>
      </c>
      <c r="D2081" s="53">
        <v>261.92353324032376</v>
      </c>
      <c r="E2081" s="78">
        <v>2315.8579420010947</v>
      </c>
      <c r="F2081" s="84">
        <v>125.54000000000002</v>
      </c>
      <c r="G2081" s="53">
        <v>285.24769316576464</v>
      </c>
      <c r="H2081" s="78">
        <v>2272.1657891171308</v>
      </c>
      <c r="I2081" s="84">
        <v>126.85000000000001</v>
      </c>
      <c r="J2081" s="53">
        <v>294.50789540744785</v>
      </c>
      <c r="K2081" s="78">
        <v>2321.7019740437349</v>
      </c>
      <c r="L2081" s="84">
        <v>121.83</v>
      </c>
      <c r="M2081" s="53">
        <v>280.55970727117875</v>
      </c>
      <c r="N2081" s="78">
        <v>2302.8786610127127</v>
      </c>
    </row>
    <row r="2082" spans="1:14" ht="19.5" customHeight="1" outlineLevel="1" x14ac:dyDescent="0.2">
      <c r="A2082" s="101">
        <v>26</v>
      </c>
      <c r="B2082" s="81" t="s">
        <v>33</v>
      </c>
      <c r="C2082" s="84">
        <v>16.32</v>
      </c>
      <c r="D2082" s="53">
        <v>27.399455869611383</v>
      </c>
      <c r="E2082" s="78">
        <v>1678.888227304619</v>
      </c>
      <c r="F2082" s="84">
        <v>8.19</v>
      </c>
      <c r="G2082" s="53">
        <v>14.802232187536612</v>
      </c>
      <c r="H2082" s="78">
        <v>1807.3543574525779</v>
      </c>
      <c r="I2082" s="84">
        <v>4.28</v>
      </c>
      <c r="J2082" s="53">
        <v>8.2307992485576271</v>
      </c>
      <c r="K2082" s="78">
        <v>1923.0839365788847</v>
      </c>
      <c r="L2082" s="84">
        <v>9.5966666666666658</v>
      </c>
      <c r="M2082" s="53">
        <v>16.810829101901874</v>
      </c>
      <c r="N2082" s="78">
        <v>1751.7362732096431</v>
      </c>
    </row>
    <row r="2083" spans="1:14" ht="19.5" customHeight="1" outlineLevel="1" x14ac:dyDescent="0.2">
      <c r="A2083" s="101">
        <v>27</v>
      </c>
      <c r="B2083" s="81" t="s">
        <v>34</v>
      </c>
      <c r="C2083" s="84">
        <v>7.32</v>
      </c>
      <c r="D2083" s="53">
        <v>18.831554396987926</v>
      </c>
      <c r="E2083" s="78">
        <v>2572.6167208999896</v>
      </c>
      <c r="F2083" s="84">
        <v>9</v>
      </c>
      <c r="G2083" s="53">
        <v>21.03696435232731</v>
      </c>
      <c r="H2083" s="78">
        <v>2337.4404835919231</v>
      </c>
      <c r="I2083" s="84">
        <v>6.13</v>
      </c>
      <c r="J2083" s="53">
        <v>15.885459380333138</v>
      </c>
      <c r="K2083" s="78">
        <v>2591.4289364328124</v>
      </c>
      <c r="L2083" s="84">
        <v>7.4833333333333334</v>
      </c>
      <c r="M2083" s="53">
        <v>18.584659376549457</v>
      </c>
      <c r="N2083" s="78">
        <v>2483.4734133473662</v>
      </c>
    </row>
    <row r="2084" spans="1:14" ht="19.5" customHeight="1" outlineLevel="1" x14ac:dyDescent="0.2">
      <c r="A2084" s="101">
        <v>28</v>
      </c>
      <c r="B2084" s="81" t="s">
        <v>35</v>
      </c>
      <c r="C2084" s="84">
        <v>39.450000000000003</v>
      </c>
      <c r="D2084" s="53">
        <v>98.880061513138884</v>
      </c>
      <c r="E2084" s="78">
        <v>2506.4654375954087</v>
      </c>
      <c r="F2084" s="84">
        <v>58.93</v>
      </c>
      <c r="G2084" s="53">
        <v>184.59786555119783</v>
      </c>
      <c r="H2084" s="78">
        <v>3132.4939004106195</v>
      </c>
      <c r="I2084" s="84">
        <v>91.7</v>
      </c>
      <c r="J2084" s="53">
        <v>272.92488754613464</v>
      </c>
      <c r="K2084" s="78">
        <v>2976.2801259120461</v>
      </c>
      <c r="L2084" s="84">
        <v>63.359999999999992</v>
      </c>
      <c r="M2084" s="53">
        <v>185.46760487015709</v>
      </c>
      <c r="N2084" s="78">
        <v>2927.203359693136</v>
      </c>
    </row>
    <row r="2085" spans="1:14" ht="19.5" customHeight="1" outlineLevel="1" x14ac:dyDescent="0.2">
      <c r="A2085" s="101">
        <v>29</v>
      </c>
      <c r="B2085" s="81" t="s">
        <v>36</v>
      </c>
      <c r="C2085" s="84">
        <v>140.53</v>
      </c>
      <c r="D2085" s="53">
        <v>362.42565395525611</v>
      </c>
      <c r="E2085" s="78">
        <v>2578.9913467249421</v>
      </c>
      <c r="F2085" s="84">
        <v>152.16</v>
      </c>
      <c r="G2085" s="53">
        <v>388.3804159537807</v>
      </c>
      <c r="H2085" s="78">
        <v>2552.4475286131751</v>
      </c>
      <c r="I2085" s="84">
        <v>195</v>
      </c>
      <c r="J2085" s="53">
        <v>456.96899928204516</v>
      </c>
      <c r="K2085" s="78">
        <v>2343.4307655489497</v>
      </c>
      <c r="L2085" s="84">
        <v>162.56333333333333</v>
      </c>
      <c r="M2085" s="53">
        <v>402.59168973036066</v>
      </c>
      <c r="N2085" s="78">
        <v>2476.5221127992822</v>
      </c>
    </row>
    <row r="2086" spans="1:14" ht="19.5" customHeight="1" outlineLevel="1" x14ac:dyDescent="0.2">
      <c r="A2086" s="101">
        <v>30</v>
      </c>
      <c r="B2086" s="81" t="s">
        <v>37</v>
      </c>
      <c r="C2086" s="84">
        <v>0.15</v>
      </c>
      <c r="D2086" s="53">
        <v>0.43478238442452755</v>
      </c>
      <c r="E2086" s="78">
        <v>2898.5492294968503</v>
      </c>
      <c r="F2086" s="84">
        <v>0.24</v>
      </c>
      <c r="G2086" s="53">
        <v>0.67590473228987646</v>
      </c>
      <c r="H2086" s="78">
        <v>2816.2697178744857</v>
      </c>
      <c r="I2086" s="84">
        <v>0.97</v>
      </c>
      <c r="J2086" s="53">
        <v>2.6562342317993091</v>
      </c>
      <c r="K2086" s="78">
        <v>2738.3858059786689</v>
      </c>
      <c r="L2086" s="84">
        <v>0.45333333333333331</v>
      </c>
      <c r="M2086" s="53">
        <v>1.255640449504571</v>
      </c>
      <c r="N2086" s="78">
        <v>2769.7951092012599</v>
      </c>
    </row>
    <row r="2087" spans="1:14" ht="19.5" customHeight="1" outlineLevel="1" x14ac:dyDescent="0.2">
      <c r="A2087" s="101">
        <v>31</v>
      </c>
      <c r="B2087" s="81" t="s">
        <v>38</v>
      </c>
      <c r="C2087" s="84">
        <v>51.830000000000005</v>
      </c>
      <c r="D2087" s="53">
        <v>144.66323822298796</v>
      </c>
      <c r="E2087" s="78">
        <v>2791.1101335710578</v>
      </c>
      <c r="F2087" s="84">
        <v>53.53</v>
      </c>
      <c r="G2087" s="53">
        <v>153.88410872483223</v>
      </c>
      <c r="H2087" s="78">
        <v>2874.7264846783532</v>
      </c>
      <c r="I2087" s="84">
        <v>52.85</v>
      </c>
      <c r="J2087" s="53">
        <v>156.76854308585249</v>
      </c>
      <c r="K2087" s="78">
        <v>2966.2922059763951</v>
      </c>
      <c r="L2087" s="84">
        <v>52.736666666666672</v>
      </c>
      <c r="M2087" s="53">
        <v>151.77196334455755</v>
      </c>
      <c r="N2087" s="78">
        <v>2877.9210545077594</v>
      </c>
    </row>
    <row r="2088" spans="1:14" ht="19.5" customHeight="1" outlineLevel="1" x14ac:dyDescent="0.2">
      <c r="A2088" s="101">
        <v>32</v>
      </c>
      <c r="B2088" s="81" t="s">
        <v>39</v>
      </c>
      <c r="C2088" s="84">
        <v>8.41</v>
      </c>
      <c r="D2088" s="53">
        <v>24.376799020068514</v>
      </c>
      <c r="E2088" s="78">
        <v>2898.5492294968503</v>
      </c>
      <c r="F2088" s="84">
        <v>8.25</v>
      </c>
      <c r="G2088" s="53">
        <v>23.234225172464505</v>
      </c>
      <c r="H2088" s="78">
        <v>2816.2697178744857</v>
      </c>
      <c r="I2088" s="84">
        <v>8.2200000000000006</v>
      </c>
      <c r="J2088" s="53">
        <v>22.50953132514466</v>
      </c>
      <c r="K2088" s="78">
        <v>2738.3858059786689</v>
      </c>
      <c r="L2088" s="84">
        <v>8.2933333333333348</v>
      </c>
      <c r="M2088" s="53">
        <v>23.373518505892562</v>
      </c>
      <c r="N2088" s="78">
        <v>2818.3503021574629</v>
      </c>
    </row>
    <row r="2089" spans="1:14" ht="19.5" customHeight="1" outlineLevel="1" thickBot="1" x14ac:dyDescent="0.25">
      <c r="A2089" s="102">
        <v>33</v>
      </c>
      <c r="B2089" s="91" t="s">
        <v>40</v>
      </c>
      <c r="C2089" s="92">
        <v>27.03</v>
      </c>
      <c r="D2089" s="93">
        <v>83.477113281710686</v>
      </c>
      <c r="E2089" s="94">
        <v>3088.3134769408316</v>
      </c>
      <c r="F2089" s="92">
        <v>29.299999999999997</v>
      </c>
      <c r="G2089" s="93">
        <v>81.735214438801606</v>
      </c>
      <c r="H2089" s="94">
        <v>2789.597762416437</v>
      </c>
      <c r="I2089" s="92">
        <v>28.15</v>
      </c>
      <c r="J2089" s="93">
        <v>82.756805637831349</v>
      </c>
      <c r="K2089" s="94">
        <v>2939.8509995677214</v>
      </c>
      <c r="L2089" s="92">
        <v>28.159999999999997</v>
      </c>
      <c r="M2089" s="93">
        <v>82.656377786114547</v>
      </c>
      <c r="N2089" s="94">
        <v>2935.2406884273637</v>
      </c>
    </row>
    <row r="2090" spans="1:14" ht="19.5" customHeight="1" thickBot="1" x14ac:dyDescent="0.25">
      <c r="A2090" s="151" t="s">
        <v>41</v>
      </c>
      <c r="B2090" s="152"/>
      <c r="C2090" s="96">
        <v>4043.68</v>
      </c>
      <c r="D2090" s="97">
        <v>11924.244256565704</v>
      </c>
      <c r="E2090" s="98">
        <v>2948.8595182026529</v>
      </c>
      <c r="F2090" s="96">
        <v>4185.2299999999987</v>
      </c>
      <c r="G2090" s="97">
        <v>12411.421571054167</v>
      </c>
      <c r="H2090" s="98">
        <v>2965.5291515768954</v>
      </c>
      <c r="I2090" s="96">
        <v>4579.0500000000011</v>
      </c>
      <c r="J2090" s="97">
        <v>13453.4386494508</v>
      </c>
      <c r="K2090" s="98">
        <v>2938.0414386064349</v>
      </c>
      <c r="L2090" s="96">
        <v>4269.32</v>
      </c>
      <c r="M2090" s="97">
        <v>12596.368159023557</v>
      </c>
      <c r="N2090" s="98">
        <v>2950.4389830285754</v>
      </c>
    </row>
    <row r="2091" spans="1:14" ht="34.5" customHeight="1" x14ac:dyDescent="0.2">
      <c r="A2091" s="153" t="s">
        <v>247</v>
      </c>
      <c r="B2091" s="154"/>
      <c r="C2091" s="154"/>
      <c r="D2091" s="154"/>
      <c r="E2091" s="154"/>
      <c r="F2091" s="154"/>
      <c r="G2091" s="154"/>
      <c r="H2091" s="154"/>
      <c r="I2091" s="154"/>
      <c r="J2091" s="154"/>
      <c r="K2091" s="154"/>
      <c r="L2091" s="154"/>
      <c r="M2091" s="154"/>
      <c r="N2091" s="154"/>
    </row>
    <row r="2092" spans="1:14" ht="19.5" customHeight="1" thickBot="1" x14ac:dyDescent="0.25">
      <c r="A2092" s="50"/>
      <c r="B2092" s="51" t="s">
        <v>97</v>
      </c>
      <c r="C2092" s="52"/>
      <c r="D2092" s="52"/>
      <c r="E2092" s="52"/>
      <c r="F2092" s="52"/>
      <c r="G2092" s="52"/>
      <c r="H2092" s="52"/>
      <c r="I2092" s="52"/>
      <c r="J2092" s="52"/>
      <c r="K2092" s="155" t="s">
        <v>1</v>
      </c>
      <c r="L2092" s="154"/>
      <c r="M2092" s="154"/>
      <c r="N2092" s="154"/>
    </row>
    <row r="2093" spans="1:14" ht="19.5" customHeight="1" x14ac:dyDescent="0.2">
      <c r="A2093" s="156" t="s">
        <v>2</v>
      </c>
      <c r="B2093" s="158" t="s">
        <v>3</v>
      </c>
      <c r="C2093" s="148" t="s">
        <v>243</v>
      </c>
      <c r="D2093" s="149"/>
      <c r="E2093" s="150"/>
      <c r="F2093" s="148" t="s">
        <v>244</v>
      </c>
      <c r="G2093" s="149"/>
      <c r="H2093" s="150"/>
      <c r="I2093" s="148" t="s">
        <v>246</v>
      </c>
      <c r="J2093" s="149"/>
      <c r="K2093" s="150"/>
      <c r="L2093" s="148" t="s">
        <v>4</v>
      </c>
      <c r="M2093" s="149"/>
      <c r="N2093" s="150"/>
    </row>
    <row r="2094" spans="1:14" ht="19.5" customHeight="1" thickBot="1" x14ac:dyDescent="0.25">
      <c r="A2094" s="157"/>
      <c r="B2094" s="159"/>
      <c r="C2094" s="85" t="s">
        <v>5</v>
      </c>
      <c r="D2094" s="79" t="s">
        <v>6</v>
      </c>
      <c r="E2094" s="80" t="s">
        <v>7</v>
      </c>
      <c r="F2094" s="85" t="s">
        <v>5</v>
      </c>
      <c r="G2094" s="79" t="s">
        <v>6</v>
      </c>
      <c r="H2094" s="80" t="s">
        <v>7</v>
      </c>
      <c r="I2094" s="85" t="s">
        <v>5</v>
      </c>
      <c r="J2094" s="79" t="s">
        <v>6</v>
      </c>
      <c r="K2094" s="80" t="s">
        <v>7</v>
      </c>
      <c r="L2094" s="85" t="s">
        <v>5</v>
      </c>
      <c r="M2094" s="79" t="s">
        <v>6</v>
      </c>
      <c r="N2094" s="80" t="s">
        <v>7</v>
      </c>
    </row>
    <row r="2095" spans="1:14" ht="19.5" customHeight="1" outlineLevel="1" x14ac:dyDescent="0.2">
      <c r="A2095" s="100">
        <v>1</v>
      </c>
      <c r="B2095" s="86" t="s">
        <v>8</v>
      </c>
      <c r="C2095" s="87">
        <v>5.14</v>
      </c>
      <c r="D2095" s="88">
        <v>6.0139236553993625</v>
      </c>
      <c r="E2095" s="89">
        <v>1170.0240574706932</v>
      </c>
      <c r="F2095" s="87">
        <v>11.790000000000001</v>
      </c>
      <c r="G2095" s="88">
        <v>14.214798467945373</v>
      </c>
      <c r="H2095" s="89">
        <v>1205.665688544985</v>
      </c>
      <c r="I2095" s="87">
        <v>9.6</v>
      </c>
      <c r="J2095" s="88">
        <v>12.140154631680177</v>
      </c>
      <c r="K2095" s="89">
        <v>1264.5994408000186</v>
      </c>
      <c r="L2095" s="87">
        <v>8.8433333333333337</v>
      </c>
      <c r="M2095" s="88">
        <v>10.789625585008304</v>
      </c>
      <c r="N2095" s="89">
        <v>1220.0858181313572</v>
      </c>
    </row>
    <row r="2096" spans="1:14" ht="19.5" customHeight="1" outlineLevel="1" x14ac:dyDescent="0.2">
      <c r="A2096" s="101">
        <v>2</v>
      </c>
      <c r="B2096" s="81" t="s">
        <v>9</v>
      </c>
      <c r="C2096" s="84">
        <v>2.36</v>
      </c>
      <c r="D2096" s="53">
        <v>2.7612567756308359</v>
      </c>
      <c r="E2096" s="78">
        <v>1170.0240574706932</v>
      </c>
      <c r="F2096" s="84">
        <v>3.14</v>
      </c>
      <c r="G2096" s="53">
        <v>3.8391229392163959</v>
      </c>
      <c r="H2096" s="78">
        <v>1222.6506175848394</v>
      </c>
      <c r="I2096" s="84">
        <v>3.17</v>
      </c>
      <c r="J2096" s="53">
        <v>4.0087802273360591</v>
      </c>
      <c r="K2096" s="78">
        <v>1264.5994408000186</v>
      </c>
      <c r="L2096" s="84">
        <v>2.89</v>
      </c>
      <c r="M2096" s="53">
        <v>3.5363866473944303</v>
      </c>
      <c r="N2096" s="78">
        <v>1223.6631997904603</v>
      </c>
    </row>
    <row r="2097" spans="1:14" ht="19.5" customHeight="1" outlineLevel="1" x14ac:dyDescent="0.2">
      <c r="A2097" s="101">
        <v>3</v>
      </c>
      <c r="B2097" s="81" t="s">
        <v>10</v>
      </c>
      <c r="C2097" s="84">
        <v>0</v>
      </c>
      <c r="D2097" s="53">
        <v>0</v>
      </c>
      <c r="E2097" s="78">
        <v>0</v>
      </c>
      <c r="F2097" s="84">
        <v>0.05</v>
      </c>
      <c r="G2097" s="53">
        <v>6.0412259233157468E-2</v>
      </c>
      <c r="H2097" s="78">
        <v>1208.2451846631493</v>
      </c>
      <c r="I2097" s="84">
        <v>7.0000000000000007E-2</v>
      </c>
      <c r="J2097" s="53">
        <v>8.8521960856001308E-2</v>
      </c>
      <c r="K2097" s="78">
        <v>1264.5994408000186</v>
      </c>
      <c r="L2097" s="84">
        <v>6.0000000000000005E-2</v>
      </c>
      <c r="M2097" s="53">
        <v>7.4467110044579385E-2</v>
      </c>
      <c r="N2097" s="78">
        <v>1241.1185007429897</v>
      </c>
    </row>
    <row r="2098" spans="1:14" ht="19.5" customHeight="1" outlineLevel="1" x14ac:dyDescent="0.2">
      <c r="A2098" s="101">
        <v>4</v>
      </c>
      <c r="B2098" s="81" t="s">
        <v>11</v>
      </c>
      <c r="C2098" s="84">
        <v>1.62</v>
      </c>
      <c r="D2098" s="53">
        <v>1.895438973102523</v>
      </c>
      <c r="E2098" s="78">
        <v>1170.0240574706932</v>
      </c>
      <c r="F2098" s="84">
        <v>1.39</v>
      </c>
      <c r="G2098" s="53">
        <v>1.6794608066817776</v>
      </c>
      <c r="H2098" s="78">
        <v>1208.2451846631493</v>
      </c>
      <c r="I2098" s="84">
        <v>0.77</v>
      </c>
      <c r="J2098" s="53">
        <v>0.93151159737601341</v>
      </c>
      <c r="K2098" s="78">
        <v>1209.7553212675498</v>
      </c>
      <c r="L2098" s="84">
        <v>1.26</v>
      </c>
      <c r="M2098" s="53">
        <v>1.5021371257201046</v>
      </c>
      <c r="N2098" s="78">
        <v>1192.1723220000831</v>
      </c>
    </row>
    <row r="2099" spans="1:14" ht="19.5" customHeight="1" outlineLevel="1" x14ac:dyDescent="0.2">
      <c r="A2099" s="101">
        <v>5</v>
      </c>
      <c r="B2099" s="81" t="s">
        <v>12</v>
      </c>
      <c r="C2099" s="84">
        <v>28.630000000000003</v>
      </c>
      <c r="D2099" s="53">
        <v>28.911546708452047</v>
      </c>
      <c r="E2099" s="78">
        <v>1009.8339751467706</v>
      </c>
      <c r="F2099" s="84">
        <v>20.32</v>
      </c>
      <c r="G2099" s="53">
        <v>16.214102503516173</v>
      </c>
      <c r="H2099" s="78">
        <v>797.9381153305203</v>
      </c>
      <c r="I2099" s="84">
        <v>19.25</v>
      </c>
      <c r="J2099" s="53">
        <v>24.343539235400357</v>
      </c>
      <c r="K2099" s="78">
        <v>1264.5994408000186</v>
      </c>
      <c r="L2099" s="84">
        <v>22.733333333333334</v>
      </c>
      <c r="M2099" s="53">
        <v>23.156396149122859</v>
      </c>
      <c r="N2099" s="78">
        <v>1018.6098012810641</v>
      </c>
    </row>
    <row r="2100" spans="1:14" ht="19.5" customHeight="1" outlineLevel="1" x14ac:dyDescent="0.2">
      <c r="A2100" s="101">
        <v>6</v>
      </c>
      <c r="B2100" s="81" t="s">
        <v>13</v>
      </c>
      <c r="C2100" s="84">
        <v>12.21</v>
      </c>
      <c r="D2100" s="53">
        <v>8.6980400000000007</v>
      </c>
      <c r="E2100" s="78">
        <v>712.37018837018843</v>
      </c>
      <c r="F2100" s="84">
        <v>6.42</v>
      </c>
      <c r="G2100" s="53">
        <v>7.7098271152244715</v>
      </c>
      <c r="H2100" s="78">
        <v>1200.907650346491</v>
      </c>
      <c r="I2100" s="84">
        <v>7.0200000000000005</v>
      </c>
      <c r="J2100" s="53">
        <v>8.8405353191521296</v>
      </c>
      <c r="K2100" s="78">
        <v>1259.3355155487363</v>
      </c>
      <c r="L2100" s="84">
        <v>8.5500000000000007</v>
      </c>
      <c r="M2100" s="53">
        <v>8.4161341447922009</v>
      </c>
      <c r="N2100" s="78">
        <v>984.343174829497</v>
      </c>
    </row>
    <row r="2101" spans="1:14" ht="19.5" customHeight="1" outlineLevel="1" x14ac:dyDescent="0.2">
      <c r="A2101" s="101">
        <v>7</v>
      </c>
      <c r="B2101" s="81" t="s">
        <v>14</v>
      </c>
      <c r="C2101" s="84">
        <v>0.16</v>
      </c>
      <c r="D2101" s="53">
        <v>0.18720384919531091</v>
      </c>
      <c r="E2101" s="78">
        <v>1170.0240574706932</v>
      </c>
      <c r="F2101" s="84">
        <v>0.49</v>
      </c>
      <c r="G2101" s="53">
        <v>0.59204014048494313</v>
      </c>
      <c r="H2101" s="78">
        <v>1208.2451846631493</v>
      </c>
      <c r="I2101" s="84">
        <v>0.11</v>
      </c>
      <c r="J2101" s="53">
        <v>0.13910593848800204</v>
      </c>
      <c r="K2101" s="78">
        <v>1264.5994408000186</v>
      </c>
      <c r="L2101" s="84">
        <v>0.25333333333333335</v>
      </c>
      <c r="M2101" s="53">
        <v>0.30611664272275202</v>
      </c>
      <c r="N2101" s="78">
        <v>1208.3551686424421</v>
      </c>
    </row>
    <row r="2102" spans="1:14" ht="19.5" customHeight="1" outlineLevel="1" x14ac:dyDescent="0.2">
      <c r="A2102" s="101">
        <v>8</v>
      </c>
      <c r="B2102" s="81" t="s">
        <v>15</v>
      </c>
      <c r="C2102" s="84">
        <v>2.17</v>
      </c>
      <c r="D2102" s="53">
        <v>2.5389522047114044</v>
      </c>
      <c r="E2102" s="78">
        <v>1170.0240574706932</v>
      </c>
      <c r="F2102" s="84">
        <v>1.9</v>
      </c>
      <c r="G2102" s="53">
        <v>2.2956658508599834</v>
      </c>
      <c r="H2102" s="78">
        <v>1208.2451846631493</v>
      </c>
      <c r="I2102" s="84">
        <v>1.41</v>
      </c>
      <c r="J2102" s="53">
        <v>1.783085211528026</v>
      </c>
      <c r="K2102" s="78">
        <v>1264.5994408000186</v>
      </c>
      <c r="L2102" s="84">
        <v>1.8266666666666669</v>
      </c>
      <c r="M2102" s="53">
        <v>2.2059010890331381</v>
      </c>
      <c r="N2102" s="78">
        <v>1207.6100852371194</v>
      </c>
    </row>
    <row r="2103" spans="1:14" ht="19.5" customHeight="1" outlineLevel="1" x14ac:dyDescent="0.2">
      <c r="A2103" s="101">
        <v>9</v>
      </c>
      <c r="B2103" s="81" t="s">
        <v>16</v>
      </c>
      <c r="C2103" s="84">
        <v>0.9</v>
      </c>
      <c r="D2103" s="53">
        <v>1.0530216517236237</v>
      </c>
      <c r="E2103" s="78">
        <v>1170.0240574706932</v>
      </c>
      <c r="F2103" s="84">
        <v>0.35</v>
      </c>
      <c r="G2103" s="53">
        <v>0.42288581463210223</v>
      </c>
      <c r="H2103" s="78">
        <v>1208.2451846631493</v>
      </c>
      <c r="I2103" s="84">
        <v>0.25</v>
      </c>
      <c r="J2103" s="53">
        <v>0.31614986020000463</v>
      </c>
      <c r="K2103" s="78">
        <v>1264.5994408000186</v>
      </c>
      <c r="L2103" s="84">
        <v>0.5</v>
      </c>
      <c r="M2103" s="53">
        <v>0.59735244218524353</v>
      </c>
      <c r="N2103" s="78">
        <v>1194.704884370487</v>
      </c>
    </row>
    <row r="2104" spans="1:14" ht="19.5" customHeight="1" outlineLevel="1" x14ac:dyDescent="0.2">
      <c r="A2104" s="101">
        <v>10</v>
      </c>
      <c r="B2104" s="81" t="s">
        <v>17</v>
      </c>
      <c r="C2104" s="84">
        <v>0</v>
      </c>
      <c r="D2104" s="53">
        <v>0</v>
      </c>
      <c r="E2104" s="78">
        <v>0</v>
      </c>
      <c r="F2104" s="84">
        <v>1.45</v>
      </c>
      <c r="G2104" s="53">
        <v>1.5670084069636769</v>
      </c>
      <c r="H2104" s="78">
        <v>1080.6954530783978</v>
      </c>
      <c r="I2104" s="84">
        <v>1.45</v>
      </c>
      <c r="J2104" s="53">
        <v>1.6013694687600175</v>
      </c>
      <c r="K2104" s="78">
        <v>1104.3927370758743</v>
      </c>
      <c r="L2104" s="84">
        <v>1.45</v>
      </c>
      <c r="M2104" s="53">
        <v>1.5841889378618472</v>
      </c>
      <c r="N2104" s="78">
        <v>1092.544095077136</v>
      </c>
    </row>
    <row r="2105" spans="1:14" ht="19.5" customHeight="1" outlineLevel="1" x14ac:dyDescent="0.2">
      <c r="A2105" s="101">
        <v>11</v>
      </c>
      <c r="B2105" s="81" t="s">
        <v>18</v>
      </c>
      <c r="C2105" s="84">
        <v>22.18</v>
      </c>
      <c r="D2105" s="53">
        <v>26.912337020104804</v>
      </c>
      <c r="E2105" s="78">
        <v>1213.3605509515241</v>
      </c>
      <c r="F2105" s="84">
        <v>24.11</v>
      </c>
      <c r="G2105" s="53">
        <v>30.246157561433115</v>
      </c>
      <c r="H2105" s="78">
        <v>1254.5067424899676</v>
      </c>
      <c r="I2105" s="84">
        <v>26.419999999999998</v>
      </c>
      <c r="J2105" s="53">
        <v>33.82259212259239</v>
      </c>
      <c r="K2105" s="78">
        <v>1280.1889524069793</v>
      </c>
      <c r="L2105" s="84">
        <v>24.236666666666665</v>
      </c>
      <c r="M2105" s="53">
        <v>30.327028901376774</v>
      </c>
      <c r="N2105" s="78">
        <v>1251.2871228734746</v>
      </c>
    </row>
    <row r="2106" spans="1:14" ht="19.5" customHeight="1" outlineLevel="1" x14ac:dyDescent="0.2">
      <c r="A2106" s="101">
        <v>12</v>
      </c>
      <c r="B2106" s="81" t="s">
        <v>19</v>
      </c>
      <c r="C2106" s="84">
        <v>10.46</v>
      </c>
      <c r="D2106" s="53">
        <v>8.5011360000000007</v>
      </c>
      <c r="E2106" s="78">
        <v>812.72810707456972</v>
      </c>
      <c r="F2106" s="84">
        <v>15.299999999999999</v>
      </c>
      <c r="G2106" s="53">
        <v>18.601299415112091</v>
      </c>
      <c r="H2106" s="78">
        <v>1215.7712036020976</v>
      </c>
      <c r="I2106" s="84">
        <v>20.02</v>
      </c>
      <c r="J2106" s="53">
        <v>20.566216000000001</v>
      </c>
      <c r="K2106" s="78">
        <v>1027.2835164835165</v>
      </c>
      <c r="L2106" s="84">
        <v>15.26</v>
      </c>
      <c r="M2106" s="53">
        <v>15.889550471704032</v>
      </c>
      <c r="N2106" s="78">
        <v>1041.254945721103</v>
      </c>
    </row>
    <row r="2107" spans="1:14" ht="19.5" customHeight="1" outlineLevel="1" x14ac:dyDescent="0.2">
      <c r="A2107" s="101">
        <v>13</v>
      </c>
      <c r="B2107" s="81" t="s">
        <v>20</v>
      </c>
      <c r="C2107" s="84">
        <v>20.05</v>
      </c>
      <c r="D2107" s="53">
        <v>19.120227999999997</v>
      </c>
      <c r="E2107" s="78">
        <v>953.62733167082274</v>
      </c>
      <c r="F2107" s="84">
        <v>11.56</v>
      </c>
      <c r="G2107" s="53">
        <v>10.953529192411926</v>
      </c>
      <c r="H2107" s="78">
        <v>947.53712737127387</v>
      </c>
      <c r="I2107" s="84">
        <v>42.21</v>
      </c>
      <c r="J2107" s="53">
        <v>53.063280134539298</v>
      </c>
      <c r="K2107" s="78">
        <v>1257.1258027609404</v>
      </c>
      <c r="L2107" s="84">
        <v>24.606666666666666</v>
      </c>
      <c r="M2107" s="53">
        <v>27.712345775650409</v>
      </c>
      <c r="N2107" s="78">
        <v>1126.2129142095805</v>
      </c>
    </row>
    <row r="2108" spans="1:14" ht="19.5" customHeight="1" outlineLevel="1" x14ac:dyDescent="0.2">
      <c r="A2108" s="101">
        <v>14</v>
      </c>
      <c r="B2108" s="81" t="s">
        <v>21</v>
      </c>
      <c r="C2108" s="84">
        <v>70.650000000000006</v>
      </c>
      <c r="D2108" s="53">
        <v>87.546845128205163</v>
      </c>
      <c r="E2108" s="78">
        <v>1239.162705282451</v>
      </c>
      <c r="F2108" s="84">
        <v>67.650000000000006</v>
      </c>
      <c r="G2108" s="53">
        <v>85.695861362604106</v>
      </c>
      <c r="H2108" s="78">
        <v>1266.7533091294029</v>
      </c>
      <c r="I2108" s="84">
        <v>148.02000000000001</v>
      </c>
      <c r="J2108" s="53">
        <v>182.19968031618626</v>
      </c>
      <c r="K2108" s="78">
        <v>1230.9125815172695</v>
      </c>
      <c r="L2108" s="84">
        <v>95.440000000000012</v>
      </c>
      <c r="M2108" s="53">
        <v>118.48079560233184</v>
      </c>
      <c r="N2108" s="78">
        <v>1241.4165507369219</v>
      </c>
    </row>
    <row r="2109" spans="1:14" ht="19.5" customHeight="1" outlineLevel="1" x14ac:dyDescent="0.2">
      <c r="A2109" s="101">
        <v>15</v>
      </c>
      <c r="B2109" s="81" t="s">
        <v>22</v>
      </c>
      <c r="C2109" s="84">
        <v>124.65</v>
      </c>
      <c r="D2109" s="53">
        <v>162.93870308318265</v>
      </c>
      <c r="E2109" s="78">
        <v>1307.1696998249711</v>
      </c>
      <c r="F2109" s="84">
        <v>108.03999999999999</v>
      </c>
      <c r="G2109" s="53">
        <v>153.41896893398166</v>
      </c>
      <c r="H2109" s="78">
        <v>1420.0200752867613</v>
      </c>
      <c r="I2109" s="84">
        <v>200.62</v>
      </c>
      <c r="J2109" s="53">
        <v>281.49150072701354</v>
      </c>
      <c r="K2109" s="78">
        <v>1403.1078692404226</v>
      </c>
      <c r="L2109" s="84">
        <v>144.43666666666667</v>
      </c>
      <c r="M2109" s="53">
        <v>199.28305758139263</v>
      </c>
      <c r="N2109" s="78">
        <v>1379.7262300527977</v>
      </c>
    </row>
    <row r="2110" spans="1:14" ht="19.5" customHeight="1" outlineLevel="1" x14ac:dyDescent="0.2">
      <c r="A2110" s="101">
        <v>16</v>
      </c>
      <c r="B2110" s="81" t="s">
        <v>23</v>
      </c>
      <c r="C2110" s="84">
        <v>190.3</v>
      </c>
      <c r="D2110" s="53">
        <v>255.28519999999997</v>
      </c>
      <c r="E2110" s="78">
        <v>1341.4881765633208</v>
      </c>
      <c r="F2110" s="84">
        <v>208.39999999999998</v>
      </c>
      <c r="G2110" s="53">
        <v>302.55577999999997</v>
      </c>
      <c r="H2110" s="78">
        <v>1451.8031669865643</v>
      </c>
      <c r="I2110" s="84">
        <v>224.56</v>
      </c>
      <c r="J2110" s="53">
        <v>329.16862400000002</v>
      </c>
      <c r="K2110" s="78">
        <v>1465.8381902386891</v>
      </c>
      <c r="L2110" s="84">
        <v>207.75333333333333</v>
      </c>
      <c r="M2110" s="53">
        <v>295.66986800000001</v>
      </c>
      <c r="N2110" s="78">
        <v>1423.1774925392292</v>
      </c>
    </row>
    <row r="2111" spans="1:14" ht="19.5" customHeight="1" outlineLevel="1" x14ac:dyDescent="0.2">
      <c r="A2111" s="101">
        <v>17</v>
      </c>
      <c r="B2111" s="81" t="s">
        <v>24</v>
      </c>
      <c r="C2111" s="84">
        <v>31.46</v>
      </c>
      <c r="D2111" s="53">
        <v>31.657200000000003</v>
      </c>
      <c r="E2111" s="78">
        <v>1006.2682771773682</v>
      </c>
      <c r="F2111" s="84">
        <v>21.56</v>
      </c>
      <c r="G2111" s="53">
        <v>18.090949665551836</v>
      </c>
      <c r="H2111" s="78">
        <v>839.09785090685705</v>
      </c>
      <c r="I2111" s="84">
        <v>15.23</v>
      </c>
      <c r="J2111" s="53">
        <v>13.27947306629834</v>
      </c>
      <c r="K2111" s="78">
        <v>871.92863206161132</v>
      </c>
      <c r="L2111" s="84">
        <v>22.75</v>
      </c>
      <c r="M2111" s="53">
        <v>21.009207577283391</v>
      </c>
      <c r="N2111" s="78">
        <v>923.48165174872054</v>
      </c>
    </row>
    <row r="2112" spans="1:14" ht="19.5" customHeight="1" outlineLevel="1" x14ac:dyDescent="0.2">
      <c r="A2112" s="101">
        <v>18</v>
      </c>
      <c r="B2112" s="81" t="s">
        <v>25</v>
      </c>
      <c r="C2112" s="84">
        <v>14.69</v>
      </c>
      <c r="D2112" s="53">
        <v>11.052053000000001</v>
      </c>
      <c r="E2112" s="78">
        <v>752.3521443158611</v>
      </c>
      <c r="F2112" s="84">
        <v>14.67</v>
      </c>
      <c r="G2112" s="53">
        <v>14.400444</v>
      </c>
      <c r="H2112" s="78">
        <v>981.62535787321065</v>
      </c>
      <c r="I2112" s="84">
        <v>13.78</v>
      </c>
      <c r="J2112" s="53">
        <v>17.417999999999999</v>
      </c>
      <c r="K2112" s="78">
        <v>1264.0058055152394</v>
      </c>
      <c r="L2112" s="84">
        <v>14.38</v>
      </c>
      <c r="M2112" s="53">
        <v>14.290165666666667</v>
      </c>
      <c r="N2112" s="78">
        <v>993.75282800185448</v>
      </c>
    </row>
    <row r="2113" spans="1:14" ht="19.5" customHeight="1" outlineLevel="1" x14ac:dyDescent="0.2">
      <c r="A2113" s="101">
        <v>19</v>
      </c>
      <c r="B2113" s="81" t="s">
        <v>26</v>
      </c>
      <c r="C2113" s="84">
        <v>0.52</v>
      </c>
      <c r="D2113" s="53">
        <v>0.60841250988476048</v>
      </c>
      <c r="E2113" s="78">
        <v>1170.0240574706932</v>
      </c>
      <c r="F2113" s="84">
        <v>2.87</v>
      </c>
      <c r="G2113" s="53">
        <v>3.4676636799832385</v>
      </c>
      <c r="H2113" s="78">
        <v>1208.2451846631493</v>
      </c>
      <c r="I2113" s="84">
        <v>2.61</v>
      </c>
      <c r="J2113" s="53">
        <v>3.3006045404880484</v>
      </c>
      <c r="K2113" s="78">
        <v>1264.5994408000186</v>
      </c>
      <c r="L2113" s="84">
        <v>2</v>
      </c>
      <c r="M2113" s="53">
        <v>2.4588935767853495</v>
      </c>
      <c r="N2113" s="78">
        <v>1229.4467883926748</v>
      </c>
    </row>
    <row r="2114" spans="1:14" ht="19.5" customHeight="1" outlineLevel="1" x14ac:dyDescent="0.2">
      <c r="A2114" s="101">
        <v>20</v>
      </c>
      <c r="B2114" s="81" t="s">
        <v>27</v>
      </c>
      <c r="C2114" s="84">
        <v>5.98</v>
      </c>
      <c r="D2114" s="53">
        <v>6.020664</v>
      </c>
      <c r="E2114" s="78">
        <v>1006.7999999999998</v>
      </c>
      <c r="F2114" s="84">
        <v>4.01</v>
      </c>
      <c r="G2114" s="53">
        <v>4.07416</v>
      </c>
      <c r="H2114" s="78">
        <v>1016</v>
      </c>
      <c r="I2114" s="84">
        <v>6.9</v>
      </c>
      <c r="J2114" s="53">
        <v>6.0720000000000001</v>
      </c>
      <c r="K2114" s="78">
        <v>880</v>
      </c>
      <c r="L2114" s="84">
        <v>5.63</v>
      </c>
      <c r="M2114" s="53">
        <v>5.3889413333333325</v>
      </c>
      <c r="N2114" s="78">
        <v>957.18318531675527</v>
      </c>
    </row>
    <row r="2115" spans="1:14" ht="19.5" customHeight="1" outlineLevel="1" x14ac:dyDescent="0.2">
      <c r="A2115" s="101">
        <v>21</v>
      </c>
      <c r="B2115" s="81" t="s">
        <v>28</v>
      </c>
      <c r="C2115" s="84">
        <v>4.75</v>
      </c>
      <c r="D2115" s="53">
        <v>5.5720128295375515</v>
      </c>
      <c r="E2115" s="78">
        <v>1173.0553325342214</v>
      </c>
      <c r="F2115" s="84">
        <v>3.51</v>
      </c>
      <c r="G2115" s="53">
        <v>4.2409405981676533</v>
      </c>
      <c r="H2115" s="78">
        <v>1208.2451846631493</v>
      </c>
      <c r="I2115" s="84">
        <v>3.23</v>
      </c>
      <c r="J2115" s="53">
        <v>4.0846561937840598</v>
      </c>
      <c r="K2115" s="78">
        <v>1264.5994408000186</v>
      </c>
      <c r="L2115" s="84">
        <v>3.83</v>
      </c>
      <c r="M2115" s="53">
        <v>4.6325365404964218</v>
      </c>
      <c r="N2115" s="78">
        <v>1209.5395667092487</v>
      </c>
    </row>
    <row r="2116" spans="1:14" ht="19.5" customHeight="1" outlineLevel="1" x14ac:dyDescent="0.2">
      <c r="A2116" s="101">
        <v>22</v>
      </c>
      <c r="B2116" s="81" t="s">
        <v>29</v>
      </c>
      <c r="C2116" s="84">
        <v>4.97</v>
      </c>
      <c r="D2116" s="53">
        <v>5.7644084991928271</v>
      </c>
      <c r="E2116" s="78">
        <v>1159.8407443043918</v>
      </c>
      <c r="F2116" s="84">
        <v>14.979999999999999</v>
      </c>
      <c r="G2116" s="53">
        <v>17.885262392670612</v>
      </c>
      <c r="H2116" s="78">
        <v>1193.9427498445002</v>
      </c>
      <c r="I2116" s="84">
        <v>15.84</v>
      </c>
      <c r="J2116" s="53">
        <v>19.860495477792284</v>
      </c>
      <c r="K2116" s="78">
        <v>1253.8191589515329</v>
      </c>
      <c r="L2116" s="84">
        <v>11.93</v>
      </c>
      <c r="M2116" s="53">
        <v>14.503388789885241</v>
      </c>
      <c r="N2116" s="78">
        <v>1215.7073587498107</v>
      </c>
    </row>
    <row r="2117" spans="1:14" ht="19.5" customHeight="1" outlineLevel="1" x14ac:dyDescent="0.2">
      <c r="A2117" s="101">
        <v>23</v>
      </c>
      <c r="B2117" s="81" t="s">
        <v>30</v>
      </c>
      <c r="C2117" s="84">
        <v>14.77</v>
      </c>
      <c r="D2117" s="53">
        <v>23.691079999999996</v>
      </c>
      <c r="E2117" s="78">
        <v>1603.9999999999998</v>
      </c>
      <c r="F2117" s="84">
        <v>15.14</v>
      </c>
      <c r="G2117" s="53">
        <v>21.801600000000001</v>
      </c>
      <c r="H2117" s="78">
        <v>1440</v>
      </c>
      <c r="I2117" s="84">
        <v>17.7</v>
      </c>
      <c r="J2117" s="53">
        <v>21.24</v>
      </c>
      <c r="K2117" s="78">
        <v>1200</v>
      </c>
      <c r="L2117" s="84">
        <v>15.87</v>
      </c>
      <c r="M2117" s="53">
        <v>22.244226666666663</v>
      </c>
      <c r="N2117" s="78">
        <v>1401.6525939928583</v>
      </c>
    </row>
    <row r="2118" spans="1:14" ht="19.5" customHeight="1" outlineLevel="1" x14ac:dyDescent="0.2">
      <c r="A2118" s="101">
        <v>24</v>
      </c>
      <c r="B2118" s="81" t="s">
        <v>31</v>
      </c>
      <c r="C2118" s="84">
        <v>18.62</v>
      </c>
      <c r="D2118" s="53">
        <v>21.760096747230772</v>
      </c>
      <c r="E2118" s="78">
        <v>1168.6410712798481</v>
      </c>
      <c r="F2118" s="84">
        <v>19.670000000000002</v>
      </c>
      <c r="G2118" s="53">
        <v>23.766182782324147</v>
      </c>
      <c r="H2118" s="78">
        <v>1208.2451846631493</v>
      </c>
      <c r="I2118" s="84">
        <v>19.510000000000002</v>
      </c>
      <c r="J2118" s="53">
        <v>24.672335090008364</v>
      </c>
      <c r="K2118" s="78">
        <v>1264.5994408000186</v>
      </c>
      <c r="L2118" s="84">
        <v>19.266666666666669</v>
      </c>
      <c r="M2118" s="53">
        <v>23.399538206521097</v>
      </c>
      <c r="N2118" s="78">
        <v>1214.508903452652</v>
      </c>
    </row>
    <row r="2119" spans="1:14" ht="19.5" customHeight="1" outlineLevel="1" x14ac:dyDescent="0.2">
      <c r="A2119" s="101">
        <v>25</v>
      </c>
      <c r="B2119" s="81" t="s">
        <v>32</v>
      </c>
      <c r="C2119" s="84">
        <v>2.83</v>
      </c>
      <c r="D2119" s="53">
        <v>3.3111680826420615</v>
      </c>
      <c r="E2119" s="78">
        <v>1170.0240574706932</v>
      </c>
      <c r="F2119" s="84">
        <v>11.24</v>
      </c>
      <c r="G2119" s="53">
        <v>13.569328520073906</v>
      </c>
      <c r="H2119" s="78">
        <v>1207.2356334585327</v>
      </c>
      <c r="I2119" s="84">
        <v>12.4</v>
      </c>
      <c r="J2119" s="53">
        <v>15.68103306592023</v>
      </c>
      <c r="K2119" s="78">
        <v>1264.5994408000186</v>
      </c>
      <c r="L2119" s="84">
        <v>8.8233333333333324</v>
      </c>
      <c r="M2119" s="53">
        <v>10.853843222878732</v>
      </c>
      <c r="N2119" s="78">
        <v>1230.1295681388817</v>
      </c>
    </row>
    <row r="2120" spans="1:14" ht="19.5" customHeight="1" outlineLevel="1" x14ac:dyDescent="0.2">
      <c r="A2120" s="101">
        <v>26</v>
      </c>
      <c r="B2120" s="81" t="s">
        <v>33</v>
      </c>
      <c r="C2120" s="84">
        <v>8.91</v>
      </c>
      <c r="D2120" s="53">
        <v>11.749319999999997</v>
      </c>
      <c r="E2120" s="78">
        <v>1318.6666666666665</v>
      </c>
      <c r="F2120" s="84">
        <v>11.49</v>
      </c>
      <c r="G2120" s="53">
        <v>11.911012000000001</v>
      </c>
      <c r="H2120" s="78">
        <v>1036.6416013925152</v>
      </c>
      <c r="I2120" s="84">
        <v>11.739999999999998</v>
      </c>
      <c r="J2120" s="53">
        <v>13.317818721152175</v>
      </c>
      <c r="K2120" s="78">
        <v>1134.3968246296572</v>
      </c>
      <c r="L2120" s="84">
        <v>10.713333333333333</v>
      </c>
      <c r="M2120" s="53">
        <v>12.326050240384058</v>
      </c>
      <c r="N2120" s="78">
        <v>1150.533625424772</v>
      </c>
    </row>
    <row r="2121" spans="1:14" ht="19.5" customHeight="1" outlineLevel="1" x14ac:dyDescent="0.2">
      <c r="A2121" s="101">
        <v>27</v>
      </c>
      <c r="B2121" s="81" t="s">
        <v>34</v>
      </c>
      <c r="C2121" s="84">
        <v>5.83</v>
      </c>
      <c r="D2121" s="53">
        <v>6.8212402550541409</v>
      </c>
      <c r="E2121" s="78">
        <v>1170.0240574706932</v>
      </c>
      <c r="F2121" s="84">
        <v>6.71</v>
      </c>
      <c r="G2121" s="53">
        <v>8.094995381703205</v>
      </c>
      <c r="H2121" s="78">
        <v>1206.4076574818487</v>
      </c>
      <c r="I2121" s="84">
        <v>5.93</v>
      </c>
      <c r="J2121" s="53">
        <v>7.4990746839441096</v>
      </c>
      <c r="K2121" s="78">
        <v>1264.5994408000186</v>
      </c>
      <c r="L2121" s="84">
        <v>6.1566666666666663</v>
      </c>
      <c r="M2121" s="53">
        <v>7.4717701069004852</v>
      </c>
      <c r="N2121" s="78">
        <v>1213.6064061018656</v>
      </c>
    </row>
    <row r="2122" spans="1:14" ht="19.5" customHeight="1" outlineLevel="1" x14ac:dyDescent="0.2">
      <c r="A2122" s="101">
        <v>28</v>
      </c>
      <c r="B2122" s="81" t="s">
        <v>35</v>
      </c>
      <c r="C2122" s="84">
        <v>9.35</v>
      </c>
      <c r="D2122" s="53">
        <v>10.939724937350981</v>
      </c>
      <c r="E2122" s="78">
        <v>1170.0240574706932</v>
      </c>
      <c r="F2122" s="84">
        <v>7.84</v>
      </c>
      <c r="G2122" s="53">
        <v>9.4726422477590901</v>
      </c>
      <c r="H2122" s="78">
        <v>1208.2451846631493</v>
      </c>
      <c r="I2122" s="84">
        <v>14.18</v>
      </c>
      <c r="J2122" s="53">
        <v>17.932020070544262</v>
      </c>
      <c r="K2122" s="78">
        <v>1264.5994408000186</v>
      </c>
      <c r="L2122" s="84">
        <v>10.456666666666665</v>
      </c>
      <c r="M2122" s="53">
        <v>12.781462418551444</v>
      </c>
      <c r="N2122" s="78">
        <v>1222.3266578149294</v>
      </c>
    </row>
    <row r="2123" spans="1:14" ht="19.5" customHeight="1" outlineLevel="1" x14ac:dyDescent="0.2">
      <c r="A2123" s="101">
        <v>29</v>
      </c>
      <c r="B2123" s="81" t="s">
        <v>36</v>
      </c>
      <c r="C2123" s="84">
        <v>24.95</v>
      </c>
      <c r="D2123" s="53">
        <v>29.016233289526614</v>
      </c>
      <c r="E2123" s="78">
        <v>1162.9752821453553</v>
      </c>
      <c r="F2123" s="84">
        <v>25.13</v>
      </c>
      <c r="G2123" s="53">
        <v>26.516184000000006</v>
      </c>
      <c r="H2123" s="78">
        <v>1055.1605252686036</v>
      </c>
      <c r="I2123" s="84">
        <v>24.04</v>
      </c>
      <c r="J2123" s="53">
        <v>21.069361131782948</v>
      </c>
      <c r="K2123" s="78">
        <v>876.42933160494795</v>
      </c>
      <c r="L2123" s="84">
        <v>24.706666666666667</v>
      </c>
      <c r="M2123" s="53">
        <v>25.533926140436524</v>
      </c>
      <c r="N2123" s="78">
        <v>1033.4832490732538</v>
      </c>
    </row>
    <row r="2124" spans="1:14" ht="19.5" customHeight="1" outlineLevel="1" x14ac:dyDescent="0.2">
      <c r="A2124" s="101">
        <v>30</v>
      </c>
      <c r="B2124" s="81" t="s">
        <v>37</v>
      </c>
      <c r="C2124" s="84">
        <v>8.26</v>
      </c>
      <c r="D2124" s="53">
        <v>9.0082402550541403</v>
      </c>
      <c r="E2124" s="78">
        <v>1090.5859872946903</v>
      </c>
      <c r="F2124" s="84">
        <v>8.48</v>
      </c>
      <c r="G2124" s="53">
        <v>9.2609040493095378</v>
      </c>
      <c r="H2124" s="78">
        <v>1092.0877416638605</v>
      </c>
      <c r="I2124" s="84">
        <v>7.58</v>
      </c>
      <c r="J2124" s="53">
        <v>8.3120335339280818</v>
      </c>
      <c r="K2124" s="78">
        <v>1096.5743448453932</v>
      </c>
      <c r="L2124" s="84">
        <v>8.1066666666666674</v>
      </c>
      <c r="M2124" s="53">
        <v>8.8603926127639188</v>
      </c>
      <c r="N2124" s="78">
        <v>1092.9760624297596</v>
      </c>
    </row>
    <row r="2125" spans="1:14" ht="19.5" customHeight="1" outlineLevel="1" x14ac:dyDescent="0.2">
      <c r="A2125" s="101">
        <v>31</v>
      </c>
      <c r="B2125" s="81" t="s">
        <v>38</v>
      </c>
      <c r="C2125" s="84">
        <v>4.08</v>
      </c>
      <c r="D2125" s="53">
        <v>4.4493815548256492</v>
      </c>
      <c r="E2125" s="78">
        <v>1090.5346948102081</v>
      </c>
      <c r="F2125" s="84">
        <v>3.8200000000000003</v>
      </c>
      <c r="G2125" s="53">
        <v>4.1224987762899756</v>
      </c>
      <c r="H2125" s="78">
        <v>1079.1881613324542</v>
      </c>
      <c r="I2125" s="84">
        <v>4.49</v>
      </c>
      <c r="J2125" s="53">
        <v>5.1529740092480658</v>
      </c>
      <c r="K2125" s="78">
        <v>1147.6556813470079</v>
      </c>
      <c r="L2125" s="84">
        <v>4.13</v>
      </c>
      <c r="M2125" s="53">
        <v>4.5749514467878969</v>
      </c>
      <c r="N2125" s="78">
        <v>1107.7364277936797</v>
      </c>
    </row>
    <row r="2126" spans="1:14" ht="19.5" customHeight="1" outlineLevel="1" x14ac:dyDescent="0.2">
      <c r="A2126" s="101">
        <v>32</v>
      </c>
      <c r="B2126" s="81" t="s">
        <v>39</v>
      </c>
      <c r="C2126" s="84">
        <v>0.82</v>
      </c>
      <c r="D2126" s="53">
        <v>0.95941972712596824</v>
      </c>
      <c r="E2126" s="78">
        <v>1170.0240574706932</v>
      </c>
      <c r="F2126" s="84">
        <v>0.31</v>
      </c>
      <c r="G2126" s="53">
        <v>0.37455600724557625</v>
      </c>
      <c r="H2126" s="78">
        <v>1208.2451846631493</v>
      </c>
      <c r="I2126" s="84">
        <v>0.24</v>
      </c>
      <c r="J2126" s="53">
        <v>0.30350386579200445</v>
      </c>
      <c r="K2126" s="78">
        <v>1264.5994408000186</v>
      </c>
      <c r="L2126" s="84">
        <v>0.45666666666666661</v>
      </c>
      <c r="M2126" s="53">
        <v>0.5458265333878497</v>
      </c>
      <c r="N2126" s="78">
        <v>1195.2405840609849</v>
      </c>
    </row>
    <row r="2127" spans="1:14" ht="19.5" customHeight="1" outlineLevel="1" thickBot="1" x14ac:dyDescent="0.25">
      <c r="A2127" s="102">
        <v>33</v>
      </c>
      <c r="B2127" s="91" t="s">
        <v>40</v>
      </c>
      <c r="C2127" s="92">
        <v>23.91</v>
      </c>
      <c r="D2127" s="93">
        <v>18.238709532710278</v>
      </c>
      <c r="E2127" s="94">
        <v>762.80675586408518</v>
      </c>
      <c r="F2127" s="92">
        <v>18.260000000000002</v>
      </c>
      <c r="G2127" s="93">
        <v>16.551551748520712</v>
      </c>
      <c r="H2127" s="94">
        <v>906.43766421252531</v>
      </c>
      <c r="I2127" s="92">
        <v>14.07</v>
      </c>
      <c r="J2127" s="93">
        <v>15.294185521235521</v>
      </c>
      <c r="K2127" s="94">
        <v>1087.0067890003922</v>
      </c>
      <c r="L2127" s="92">
        <v>18.746666666666666</v>
      </c>
      <c r="M2127" s="93">
        <v>16.694815600822171</v>
      </c>
      <c r="N2127" s="94">
        <v>890.54848510786826</v>
      </c>
    </row>
    <row r="2128" spans="1:14" ht="19.5" customHeight="1" thickBot="1" x14ac:dyDescent="0.25">
      <c r="A2128" s="151" t="s">
        <v>41</v>
      </c>
      <c r="B2128" s="152"/>
      <c r="C2128" s="96">
        <v>676.18000000000029</v>
      </c>
      <c r="D2128" s="97">
        <v>812.98319826984346</v>
      </c>
      <c r="E2128" s="98">
        <v>1202.3177234905545</v>
      </c>
      <c r="F2128" s="96">
        <v>672.05000000000007</v>
      </c>
      <c r="G2128" s="97">
        <v>857.66779661990029</v>
      </c>
      <c r="H2128" s="98">
        <v>1276.1964089277585</v>
      </c>
      <c r="I2128" s="96">
        <v>894.42000000000007</v>
      </c>
      <c r="J2128" s="97">
        <v>1168.9942157230269</v>
      </c>
      <c r="K2128" s="98">
        <v>1306.9857737114853</v>
      </c>
      <c r="L2128" s="96">
        <v>747.55000000000018</v>
      </c>
      <c r="M2128" s="97">
        <v>946.54840353759027</v>
      </c>
      <c r="N2128" s="98">
        <v>1266.200793977112</v>
      </c>
    </row>
    <row r="2129" spans="1:14" ht="34.5" customHeight="1" x14ac:dyDescent="0.2">
      <c r="A2129" s="153" t="s">
        <v>247</v>
      </c>
      <c r="B2129" s="154"/>
      <c r="C2129" s="154"/>
      <c r="D2129" s="154"/>
      <c r="E2129" s="154"/>
      <c r="F2129" s="154"/>
      <c r="G2129" s="154"/>
      <c r="H2129" s="154"/>
      <c r="I2129" s="154"/>
      <c r="J2129" s="154"/>
      <c r="K2129" s="154"/>
      <c r="L2129" s="154"/>
      <c r="M2129" s="154"/>
      <c r="N2129" s="154"/>
    </row>
    <row r="2130" spans="1:14" ht="19.5" customHeight="1" thickBot="1" x14ac:dyDescent="0.25">
      <c r="A2130" s="50"/>
      <c r="B2130" s="51" t="s">
        <v>98</v>
      </c>
      <c r="C2130" s="52"/>
      <c r="D2130" s="52"/>
      <c r="E2130" s="52"/>
      <c r="F2130" s="52"/>
      <c r="G2130" s="52"/>
      <c r="H2130" s="52"/>
      <c r="I2130" s="52"/>
      <c r="J2130" s="52"/>
      <c r="K2130" s="155" t="s">
        <v>1</v>
      </c>
      <c r="L2130" s="154"/>
      <c r="M2130" s="154"/>
      <c r="N2130" s="154"/>
    </row>
    <row r="2131" spans="1:14" ht="19.5" customHeight="1" x14ac:dyDescent="0.2">
      <c r="A2131" s="156" t="s">
        <v>2</v>
      </c>
      <c r="B2131" s="158" t="s">
        <v>3</v>
      </c>
      <c r="C2131" s="148" t="s">
        <v>243</v>
      </c>
      <c r="D2131" s="149"/>
      <c r="E2131" s="150"/>
      <c r="F2131" s="148" t="s">
        <v>244</v>
      </c>
      <c r="G2131" s="149"/>
      <c r="H2131" s="150"/>
      <c r="I2131" s="148" t="s">
        <v>246</v>
      </c>
      <c r="J2131" s="149"/>
      <c r="K2131" s="150"/>
      <c r="L2131" s="148" t="s">
        <v>4</v>
      </c>
      <c r="M2131" s="149"/>
      <c r="N2131" s="150"/>
    </row>
    <row r="2132" spans="1:14" ht="19.5" customHeight="1" thickBot="1" x14ac:dyDescent="0.25">
      <c r="A2132" s="157"/>
      <c r="B2132" s="159"/>
      <c r="C2132" s="85" t="s">
        <v>5</v>
      </c>
      <c r="D2132" s="79" t="s">
        <v>6</v>
      </c>
      <c r="E2132" s="80" t="s">
        <v>7</v>
      </c>
      <c r="F2132" s="85" t="s">
        <v>5</v>
      </c>
      <c r="G2132" s="79" t="s">
        <v>6</v>
      </c>
      <c r="H2132" s="80" t="s">
        <v>7</v>
      </c>
      <c r="I2132" s="85" t="s">
        <v>5</v>
      </c>
      <c r="J2132" s="79" t="s">
        <v>6</v>
      </c>
      <c r="K2132" s="80" t="s">
        <v>7</v>
      </c>
      <c r="L2132" s="85" t="s">
        <v>5</v>
      </c>
      <c r="M2132" s="79" t="s">
        <v>6</v>
      </c>
      <c r="N2132" s="80" t="s">
        <v>7</v>
      </c>
    </row>
    <row r="2133" spans="1:14" ht="19.5" customHeight="1" outlineLevel="1" x14ac:dyDescent="0.2">
      <c r="A2133" s="100">
        <v>1</v>
      </c>
      <c r="B2133" s="86" t="s">
        <v>8</v>
      </c>
      <c r="C2133" s="87">
        <v>51.08</v>
      </c>
      <c r="D2133" s="88">
        <v>95.73198725539936</v>
      </c>
      <c r="E2133" s="89">
        <v>1874.1579337392202</v>
      </c>
      <c r="F2133" s="87">
        <v>71.63000000000001</v>
      </c>
      <c r="G2133" s="88">
        <v>127.83993818774232</v>
      </c>
      <c r="H2133" s="89">
        <v>1784.7262067254264</v>
      </c>
      <c r="I2133" s="87">
        <v>68.11999999999999</v>
      </c>
      <c r="J2133" s="88">
        <v>148.15818798866945</v>
      </c>
      <c r="K2133" s="89">
        <v>2174.9587197397163</v>
      </c>
      <c r="L2133" s="87">
        <v>63.609999999999992</v>
      </c>
      <c r="M2133" s="88">
        <v>123.9100378106037</v>
      </c>
      <c r="N2133" s="89">
        <v>1947.9647509920408</v>
      </c>
    </row>
    <row r="2134" spans="1:14" ht="19.5" customHeight="1" outlineLevel="1" x14ac:dyDescent="0.2">
      <c r="A2134" s="101">
        <v>2</v>
      </c>
      <c r="B2134" s="81" t="s">
        <v>9</v>
      </c>
      <c r="C2134" s="84">
        <v>1729.4399999999998</v>
      </c>
      <c r="D2134" s="53">
        <v>5066.2917967756302</v>
      </c>
      <c r="E2134" s="78">
        <v>2929.4406263158198</v>
      </c>
      <c r="F2134" s="84">
        <v>1702.7900000000002</v>
      </c>
      <c r="G2134" s="53">
        <v>5077.9254429392167</v>
      </c>
      <c r="H2134" s="78">
        <v>2982.1207799782801</v>
      </c>
      <c r="I2134" s="84">
        <v>1719.63</v>
      </c>
      <c r="J2134" s="53">
        <v>5185.1002602273356</v>
      </c>
      <c r="K2134" s="78">
        <v>3015.2418021477501</v>
      </c>
      <c r="L2134" s="84">
        <v>1717.2866666666669</v>
      </c>
      <c r="M2134" s="53">
        <v>5109.7724999807278</v>
      </c>
      <c r="N2134" s="78">
        <v>2975.4918611806575</v>
      </c>
    </row>
    <row r="2135" spans="1:14" ht="19.5" customHeight="1" outlineLevel="1" x14ac:dyDescent="0.2">
      <c r="A2135" s="101">
        <v>3</v>
      </c>
      <c r="B2135" s="81" t="s">
        <v>10</v>
      </c>
      <c r="C2135" s="84">
        <v>64.760000000000005</v>
      </c>
      <c r="D2135" s="53">
        <v>189.94079446208113</v>
      </c>
      <c r="E2135" s="78">
        <v>2932.9955908289239</v>
      </c>
      <c r="F2135" s="84">
        <v>64.819999999999993</v>
      </c>
      <c r="G2135" s="53">
        <v>192.15320275647071</v>
      </c>
      <c r="H2135" s="78">
        <v>2964.4122609760989</v>
      </c>
      <c r="I2135" s="84">
        <v>68.929999999999993</v>
      </c>
      <c r="J2135" s="53">
        <v>192.22435198505104</v>
      </c>
      <c r="K2135" s="78">
        <v>2788.6892787618026</v>
      </c>
      <c r="L2135" s="84">
        <v>66.17</v>
      </c>
      <c r="M2135" s="53">
        <v>191.43944973453429</v>
      </c>
      <c r="N2135" s="78">
        <v>2893.1456813440273</v>
      </c>
    </row>
    <row r="2136" spans="1:14" ht="19.5" customHeight="1" outlineLevel="1" x14ac:dyDescent="0.2">
      <c r="A2136" s="101">
        <v>4</v>
      </c>
      <c r="B2136" s="81" t="s">
        <v>11</v>
      </c>
      <c r="C2136" s="84">
        <v>121.4</v>
      </c>
      <c r="D2136" s="53">
        <v>366.14677864806799</v>
      </c>
      <c r="E2136" s="78">
        <v>3016.0360679412515</v>
      </c>
      <c r="F2136" s="84">
        <v>120.74</v>
      </c>
      <c r="G2136" s="53">
        <v>361.98791820732544</v>
      </c>
      <c r="H2136" s="78">
        <v>2998.0778383909678</v>
      </c>
      <c r="I2136" s="84">
        <v>119</v>
      </c>
      <c r="J2136" s="53">
        <v>363.14462165386635</v>
      </c>
      <c r="K2136" s="78">
        <v>3051.6354760829108</v>
      </c>
      <c r="L2136" s="84">
        <v>120.38</v>
      </c>
      <c r="M2136" s="53">
        <v>363.75977283641993</v>
      </c>
      <c r="N2136" s="78">
        <v>3021.7625256389761</v>
      </c>
    </row>
    <row r="2137" spans="1:14" ht="19.5" customHeight="1" outlineLevel="1" x14ac:dyDescent="0.2">
      <c r="A2137" s="101">
        <v>5</v>
      </c>
      <c r="B2137" s="81" t="s">
        <v>12</v>
      </c>
      <c r="C2137" s="84">
        <v>72.38</v>
      </c>
      <c r="D2137" s="53">
        <v>173.54732439385828</v>
      </c>
      <c r="E2137" s="78">
        <v>2397.7248465578655</v>
      </c>
      <c r="F2137" s="84">
        <v>94.68</v>
      </c>
      <c r="G2137" s="53">
        <v>249.52996552581766</v>
      </c>
      <c r="H2137" s="78">
        <v>2635.5087191150997</v>
      </c>
      <c r="I2137" s="84">
        <v>95.82</v>
      </c>
      <c r="J2137" s="53">
        <v>238.43514591965547</v>
      </c>
      <c r="K2137" s="78">
        <v>2488.3651212654509</v>
      </c>
      <c r="L2137" s="84">
        <v>87.626666666666665</v>
      </c>
      <c r="M2137" s="53">
        <v>220.50414527977713</v>
      </c>
      <c r="N2137" s="78">
        <v>2516.4045794253325</v>
      </c>
    </row>
    <row r="2138" spans="1:14" ht="19.5" customHeight="1" outlineLevel="1" x14ac:dyDescent="0.2">
      <c r="A2138" s="101">
        <v>6</v>
      </c>
      <c r="B2138" s="81" t="s">
        <v>13</v>
      </c>
      <c r="C2138" s="84">
        <v>70.460000000000008</v>
      </c>
      <c r="D2138" s="53">
        <v>182.00444399999998</v>
      </c>
      <c r="E2138" s="78">
        <v>2583.088901504399</v>
      </c>
      <c r="F2138" s="84">
        <v>67.52</v>
      </c>
      <c r="G2138" s="53">
        <v>227.57725479662125</v>
      </c>
      <c r="H2138" s="78">
        <v>3370.5162144049359</v>
      </c>
      <c r="I2138" s="84">
        <v>68.789999999999992</v>
      </c>
      <c r="J2138" s="53">
        <v>217.65094584025235</v>
      </c>
      <c r="K2138" s="78">
        <v>3163.9910719618024</v>
      </c>
      <c r="L2138" s="84">
        <v>68.923333333333332</v>
      </c>
      <c r="M2138" s="53">
        <v>209.07754821229119</v>
      </c>
      <c r="N2138" s="78">
        <v>3033.4799276339581</v>
      </c>
    </row>
    <row r="2139" spans="1:14" ht="19.5" customHeight="1" outlineLevel="1" x14ac:dyDescent="0.2">
      <c r="A2139" s="101">
        <v>7</v>
      </c>
      <c r="B2139" s="81" t="s">
        <v>14</v>
      </c>
      <c r="C2139" s="84">
        <v>76.289999999999992</v>
      </c>
      <c r="D2139" s="53">
        <v>252.85450069737729</v>
      </c>
      <c r="E2139" s="78">
        <v>3314.3859050645865</v>
      </c>
      <c r="F2139" s="84">
        <v>82.47</v>
      </c>
      <c r="G2139" s="53">
        <v>283.76102366579784</v>
      </c>
      <c r="H2139" s="78">
        <v>3440.7787518588316</v>
      </c>
      <c r="I2139" s="84">
        <v>70.42</v>
      </c>
      <c r="J2139" s="53">
        <v>231.73206174892491</v>
      </c>
      <c r="K2139" s="78">
        <v>3290.7137425294645</v>
      </c>
      <c r="L2139" s="84">
        <v>76.393333333333331</v>
      </c>
      <c r="M2139" s="53">
        <v>256.1158620373667</v>
      </c>
      <c r="N2139" s="78">
        <v>3352.5944066327784</v>
      </c>
    </row>
    <row r="2140" spans="1:14" ht="19.5" customHeight="1" outlineLevel="1" x14ac:dyDescent="0.2">
      <c r="A2140" s="101">
        <v>8</v>
      </c>
      <c r="B2140" s="81" t="s">
        <v>15</v>
      </c>
      <c r="C2140" s="84">
        <v>318.04000000000002</v>
      </c>
      <c r="D2140" s="53">
        <v>976.48297752025121</v>
      </c>
      <c r="E2140" s="78">
        <v>3070.3149840279561</v>
      </c>
      <c r="F2140" s="84">
        <v>360.65</v>
      </c>
      <c r="G2140" s="53">
        <v>1021.4784835262765</v>
      </c>
      <c r="H2140" s="78">
        <v>2832.3263095141451</v>
      </c>
      <c r="I2140" s="84">
        <v>454.80000000000007</v>
      </c>
      <c r="J2140" s="53">
        <v>1332.6698954203057</v>
      </c>
      <c r="K2140" s="78">
        <v>2930.2328395345326</v>
      </c>
      <c r="L2140" s="84">
        <v>377.8300000000001</v>
      </c>
      <c r="M2140" s="53">
        <v>1110.2104521556112</v>
      </c>
      <c r="N2140" s="78">
        <v>2938.3861846746181</v>
      </c>
    </row>
    <row r="2141" spans="1:14" ht="19.5" customHeight="1" outlineLevel="1" x14ac:dyDescent="0.2">
      <c r="A2141" s="101">
        <v>9</v>
      </c>
      <c r="B2141" s="81" t="s">
        <v>16</v>
      </c>
      <c r="C2141" s="84">
        <v>10.37</v>
      </c>
      <c r="D2141" s="53">
        <v>28.983469789875862</v>
      </c>
      <c r="E2141" s="78">
        <v>2794.9344059668142</v>
      </c>
      <c r="F2141" s="84">
        <v>14.34</v>
      </c>
      <c r="G2141" s="53">
        <v>41.840397443660621</v>
      </c>
      <c r="H2141" s="78">
        <v>2917.7404075077143</v>
      </c>
      <c r="I2141" s="84">
        <v>19.810000000000002</v>
      </c>
      <c r="J2141" s="53">
        <v>55.481363196744582</v>
      </c>
      <c r="K2141" s="78">
        <v>2800.6745682354658</v>
      </c>
      <c r="L2141" s="84">
        <v>14.840000000000002</v>
      </c>
      <c r="M2141" s="53">
        <v>42.101743476760355</v>
      </c>
      <c r="N2141" s="78">
        <v>2837.0447086765735</v>
      </c>
    </row>
    <row r="2142" spans="1:14" ht="19.5" customHeight="1" outlineLevel="1" x14ac:dyDescent="0.2">
      <c r="A2142" s="101">
        <v>10</v>
      </c>
      <c r="B2142" s="81" t="s">
        <v>17</v>
      </c>
      <c r="C2142" s="84">
        <v>24.5</v>
      </c>
      <c r="D2142" s="53">
        <v>72.768783489193396</v>
      </c>
      <c r="E2142" s="78">
        <v>2970.1544281303422</v>
      </c>
      <c r="F2142" s="84">
        <v>9.9699999999999989</v>
      </c>
      <c r="G2142" s="53">
        <v>33.756846406963675</v>
      </c>
      <c r="H2142" s="78">
        <v>3385.8421671979618</v>
      </c>
      <c r="I2142" s="84">
        <v>8.91</v>
      </c>
      <c r="J2142" s="53">
        <v>24.239303701166712</v>
      </c>
      <c r="K2142" s="78">
        <v>2720.4605725215165</v>
      </c>
      <c r="L2142" s="84">
        <v>14.459999999999999</v>
      </c>
      <c r="M2142" s="53">
        <v>43.588311199107928</v>
      </c>
      <c r="N2142" s="78">
        <v>3014.4060303670767</v>
      </c>
    </row>
    <row r="2143" spans="1:14" ht="19.5" customHeight="1" outlineLevel="1" x14ac:dyDescent="0.2">
      <c r="A2143" s="101">
        <v>11</v>
      </c>
      <c r="B2143" s="81" t="s">
        <v>18</v>
      </c>
      <c r="C2143" s="84">
        <v>32.24</v>
      </c>
      <c r="D2143" s="53">
        <v>56.792090567096047</v>
      </c>
      <c r="E2143" s="78">
        <v>1761.5412706915647</v>
      </c>
      <c r="F2143" s="84">
        <v>31.49</v>
      </c>
      <c r="G2143" s="53">
        <v>52.534026807808104</v>
      </c>
      <c r="H2143" s="78">
        <v>1668.2764943730742</v>
      </c>
      <c r="I2143" s="84">
        <v>33.26</v>
      </c>
      <c r="J2143" s="53">
        <v>54.579089461689151</v>
      </c>
      <c r="K2143" s="78">
        <v>1640.9828461121213</v>
      </c>
      <c r="L2143" s="84">
        <v>32.330000000000005</v>
      </c>
      <c r="M2143" s="53">
        <v>54.63506894553111</v>
      </c>
      <c r="N2143" s="78">
        <v>1689.9186187915589</v>
      </c>
    </row>
    <row r="2144" spans="1:14" ht="19.5" customHeight="1" outlineLevel="1" x14ac:dyDescent="0.2">
      <c r="A2144" s="101">
        <v>12</v>
      </c>
      <c r="B2144" s="81" t="s">
        <v>19</v>
      </c>
      <c r="C2144" s="84">
        <v>16.61</v>
      </c>
      <c r="D2144" s="53">
        <v>26.767585733001603</v>
      </c>
      <c r="E2144" s="78">
        <v>1611.5343608068395</v>
      </c>
      <c r="F2144" s="84">
        <v>25.03</v>
      </c>
      <c r="G2144" s="53">
        <v>48.019829439948758</v>
      </c>
      <c r="H2144" s="78">
        <v>1918.4909884118561</v>
      </c>
      <c r="I2144" s="84">
        <v>30.15</v>
      </c>
      <c r="J2144" s="53">
        <v>51.306467176176923</v>
      </c>
      <c r="K2144" s="78">
        <v>1701.7070373524684</v>
      </c>
      <c r="L2144" s="84">
        <v>23.929999999999996</v>
      </c>
      <c r="M2144" s="53">
        <v>42.031294116375761</v>
      </c>
      <c r="N2144" s="78">
        <v>1756.4268331122344</v>
      </c>
    </row>
    <row r="2145" spans="1:14" ht="19.5" customHeight="1" outlineLevel="1" x14ac:dyDescent="0.2">
      <c r="A2145" s="101">
        <v>13</v>
      </c>
      <c r="B2145" s="81" t="s">
        <v>20</v>
      </c>
      <c r="C2145" s="84">
        <v>23.29</v>
      </c>
      <c r="D2145" s="53">
        <v>28.743528347142306</v>
      </c>
      <c r="E2145" s="78">
        <v>1234.1575073912541</v>
      </c>
      <c r="F2145" s="84">
        <v>12.83</v>
      </c>
      <c r="G2145" s="53">
        <v>14.79603517918253</v>
      </c>
      <c r="H2145" s="78">
        <v>1153.237348338467</v>
      </c>
      <c r="I2145" s="84">
        <v>47.480000000000004</v>
      </c>
      <c r="J2145" s="53">
        <v>69.055493727673792</v>
      </c>
      <c r="K2145" s="78">
        <v>1454.4122520571564</v>
      </c>
      <c r="L2145" s="84">
        <v>27.866666666666664</v>
      </c>
      <c r="M2145" s="53">
        <v>37.531685751332873</v>
      </c>
      <c r="N2145" s="78">
        <v>1346.8308283971128</v>
      </c>
    </row>
    <row r="2146" spans="1:14" ht="19.5" customHeight="1" outlineLevel="1" x14ac:dyDescent="0.2">
      <c r="A2146" s="101">
        <v>14</v>
      </c>
      <c r="B2146" s="81" t="s">
        <v>21</v>
      </c>
      <c r="C2146" s="84">
        <v>75.7</v>
      </c>
      <c r="D2146" s="53">
        <v>100.96193967650699</v>
      </c>
      <c r="E2146" s="78">
        <v>1333.71122426033</v>
      </c>
      <c r="F2146" s="84">
        <v>69.850000000000009</v>
      </c>
      <c r="G2146" s="53">
        <v>92.352170945986259</v>
      </c>
      <c r="H2146" s="78">
        <v>1322.1499061701682</v>
      </c>
      <c r="I2146" s="84">
        <v>151.62</v>
      </c>
      <c r="J2146" s="53">
        <v>193.12415259992139</v>
      </c>
      <c r="K2146" s="78">
        <v>1273.737980476991</v>
      </c>
      <c r="L2146" s="84">
        <v>99.056666666666672</v>
      </c>
      <c r="M2146" s="53">
        <v>128.81275440747154</v>
      </c>
      <c r="N2146" s="78">
        <v>1300.3945997994906</v>
      </c>
    </row>
    <row r="2147" spans="1:14" ht="19.5" customHeight="1" outlineLevel="1" x14ac:dyDescent="0.2">
      <c r="A2147" s="101">
        <v>15</v>
      </c>
      <c r="B2147" s="81" t="s">
        <v>22</v>
      </c>
      <c r="C2147" s="84">
        <v>156.47</v>
      </c>
      <c r="D2147" s="53">
        <v>257.44901698629013</v>
      </c>
      <c r="E2147" s="78">
        <v>1645.3570459915009</v>
      </c>
      <c r="F2147" s="84">
        <v>139.79</v>
      </c>
      <c r="G2147" s="53">
        <v>231.20646893398165</v>
      </c>
      <c r="H2147" s="78">
        <v>1653.95571166737</v>
      </c>
      <c r="I2147" s="84">
        <v>229.49</v>
      </c>
      <c r="J2147" s="53">
        <v>349.97114072701356</v>
      </c>
      <c r="K2147" s="78">
        <v>1524.9951663558916</v>
      </c>
      <c r="L2147" s="84">
        <v>175.25</v>
      </c>
      <c r="M2147" s="53">
        <v>279.54220888242844</v>
      </c>
      <c r="N2147" s="78">
        <v>1595.1053288583646</v>
      </c>
    </row>
    <row r="2148" spans="1:14" ht="19.5" customHeight="1" outlineLevel="1" x14ac:dyDescent="0.2">
      <c r="A2148" s="101">
        <v>16</v>
      </c>
      <c r="B2148" s="81" t="s">
        <v>23</v>
      </c>
      <c r="C2148" s="84">
        <v>261.5</v>
      </c>
      <c r="D2148" s="53">
        <v>514.98244645908767</v>
      </c>
      <c r="E2148" s="78">
        <v>1969.3401394228974</v>
      </c>
      <c r="F2148" s="84">
        <v>287.34999999999997</v>
      </c>
      <c r="G2148" s="53">
        <v>590.06790433483866</v>
      </c>
      <c r="H2148" s="78">
        <v>2053.4814836778796</v>
      </c>
      <c r="I2148" s="84">
        <v>304.58</v>
      </c>
      <c r="J2148" s="53">
        <v>603.54068209193042</v>
      </c>
      <c r="K2148" s="78">
        <v>1981.5506011291957</v>
      </c>
      <c r="L2148" s="84">
        <v>284.47666666666663</v>
      </c>
      <c r="M2148" s="53">
        <v>569.53034429528554</v>
      </c>
      <c r="N2148" s="78">
        <v>2002.028324391991</v>
      </c>
    </row>
    <row r="2149" spans="1:14" ht="19.5" customHeight="1" outlineLevel="1" x14ac:dyDescent="0.2">
      <c r="A2149" s="101">
        <v>17</v>
      </c>
      <c r="B2149" s="81" t="s">
        <v>24</v>
      </c>
      <c r="C2149" s="84">
        <v>78.710000000000008</v>
      </c>
      <c r="D2149" s="53">
        <v>163.45855670141771</v>
      </c>
      <c r="E2149" s="78">
        <v>2076.719053505497</v>
      </c>
      <c r="F2149" s="84">
        <v>61.179999999999993</v>
      </c>
      <c r="G2149" s="53">
        <v>123.27893979306673</v>
      </c>
      <c r="H2149" s="78">
        <v>2015.0202646790904</v>
      </c>
      <c r="I2149" s="84">
        <v>57.739999999999995</v>
      </c>
      <c r="J2149" s="53">
        <v>141.03732139101396</v>
      </c>
      <c r="K2149" s="78">
        <v>2442.6276652409765</v>
      </c>
      <c r="L2149" s="84">
        <v>65.876666666666665</v>
      </c>
      <c r="M2149" s="53">
        <v>142.59160596183281</v>
      </c>
      <c r="N2149" s="78">
        <v>2164.5236952157993</v>
      </c>
    </row>
    <row r="2150" spans="1:14" ht="19.5" customHeight="1" outlineLevel="1" x14ac:dyDescent="0.2">
      <c r="A2150" s="101">
        <v>18</v>
      </c>
      <c r="B2150" s="81" t="s">
        <v>25</v>
      </c>
      <c r="C2150" s="84">
        <v>98.820000000000007</v>
      </c>
      <c r="D2150" s="53">
        <v>239.19494812939689</v>
      </c>
      <c r="E2150" s="78">
        <v>2420.5115171968919</v>
      </c>
      <c r="F2150" s="84">
        <v>95.85</v>
      </c>
      <c r="G2150" s="53">
        <v>276.44670998713644</v>
      </c>
      <c r="H2150" s="78">
        <v>2884.1597286086221</v>
      </c>
      <c r="I2150" s="84">
        <v>107.74000000000001</v>
      </c>
      <c r="J2150" s="53">
        <v>332.4425130844071</v>
      </c>
      <c r="K2150" s="78">
        <v>3085.599713053713</v>
      </c>
      <c r="L2150" s="84">
        <v>100.80333333333334</v>
      </c>
      <c r="M2150" s="53">
        <v>282.69472373364681</v>
      </c>
      <c r="N2150" s="78">
        <v>2804.4184094472416</v>
      </c>
    </row>
    <row r="2151" spans="1:14" ht="19.5" customHeight="1" outlineLevel="1" x14ac:dyDescent="0.2">
      <c r="A2151" s="101">
        <v>19</v>
      </c>
      <c r="B2151" s="81" t="s">
        <v>26</v>
      </c>
      <c r="C2151" s="84">
        <v>6.4</v>
      </c>
      <c r="D2151" s="53">
        <v>18.072920547291176</v>
      </c>
      <c r="E2151" s="78">
        <v>2823.8938355142459</v>
      </c>
      <c r="F2151" s="84">
        <v>10.120000000000001</v>
      </c>
      <c r="G2151" s="53">
        <v>25.403229352492595</v>
      </c>
      <c r="H2151" s="78">
        <v>2510.2005289024301</v>
      </c>
      <c r="I2151" s="84">
        <v>13.96</v>
      </c>
      <c r="J2151" s="53">
        <v>37.716309208878883</v>
      </c>
      <c r="K2151" s="78">
        <v>2701.7413473408942</v>
      </c>
      <c r="L2151" s="84">
        <v>10.160000000000002</v>
      </c>
      <c r="M2151" s="53">
        <v>27.064153036220887</v>
      </c>
      <c r="N2151" s="78">
        <v>2663.7945901792204</v>
      </c>
    </row>
    <row r="2152" spans="1:14" ht="19.5" customHeight="1" outlineLevel="1" x14ac:dyDescent="0.2">
      <c r="A2152" s="101">
        <v>20</v>
      </c>
      <c r="B2152" s="81" t="s">
        <v>27</v>
      </c>
      <c r="C2152" s="84">
        <v>432.61</v>
      </c>
      <c r="D2152" s="53">
        <v>1401.2632540953823</v>
      </c>
      <c r="E2152" s="78">
        <v>3239.0912232620194</v>
      </c>
      <c r="F2152" s="84">
        <v>472.33</v>
      </c>
      <c r="G2152" s="53">
        <v>1570.6589425702805</v>
      </c>
      <c r="H2152" s="78">
        <v>3325.3423296641768</v>
      </c>
      <c r="I2152" s="84">
        <v>595.89</v>
      </c>
      <c r="J2152" s="53">
        <v>1824.7265277633246</v>
      </c>
      <c r="K2152" s="78">
        <v>3062.1868595937581</v>
      </c>
      <c r="L2152" s="84">
        <v>500.27666666666664</v>
      </c>
      <c r="M2152" s="53">
        <v>1598.8829081429958</v>
      </c>
      <c r="N2152" s="78">
        <v>3195.9973644110178</v>
      </c>
    </row>
    <row r="2153" spans="1:14" ht="19.5" customHeight="1" outlineLevel="1" x14ac:dyDescent="0.2">
      <c r="A2153" s="101">
        <v>21</v>
      </c>
      <c r="B2153" s="81" t="s">
        <v>28</v>
      </c>
      <c r="C2153" s="84">
        <v>400.53999999999996</v>
      </c>
      <c r="D2153" s="53">
        <v>1203.3531266554637</v>
      </c>
      <c r="E2153" s="78">
        <v>3004.3269752221095</v>
      </c>
      <c r="F2153" s="84">
        <v>373.36</v>
      </c>
      <c r="G2153" s="53">
        <v>1053.962466639784</v>
      </c>
      <c r="H2153" s="78">
        <v>2822.9121133484678</v>
      </c>
      <c r="I2153" s="84">
        <v>440.02</v>
      </c>
      <c r="J2153" s="53">
        <v>1252.3255437778512</v>
      </c>
      <c r="K2153" s="78">
        <v>2846.0650510837036</v>
      </c>
      <c r="L2153" s="84">
        <v>404.64000000000004</v>
      </c>
      <c r="M2153" s="53">
        <v>1169.8803790243662</v>
      </c>
      <c r="N2153" s="78">
        <v>2891.1634515232454</v>
      </c>
    </row>
    <row r="2154" spans="1:14" ht="19.5" customHeight="1" outlineLevel="1" x14ac:dyDescent="0.2">
      <c r="A2154" s="101">
        <v>22</v>
      </c>
      <c r="B2154" s="81" t="s">
        <v>29</v>
      </c>
      <c r="C2154" s="84">
        <v>28.65</v>
      </c>
      <c r="D2154" s="53">
        <v>53.206971832526165</v>
      </c>
      <c r="E2154" s="78">
        <v>1857.1368876972483</v>
      </c>
      <c r="F2154" s="84">
        <v>72.64</v>
      </c>
      <c r="G2154" s="53">
        <v>160.84950435085699</v>
      </c>
      <c r="H2154" s="78">
        <v>2214.3378902926347</v>
      </c>
      <c r="I2154" s="84">
        <v>79.350000000000009</v>
      </c>
      <c r="J2154" s="53">
        <v>157.60726516221732</v>
      </c>
      <c r="K2154" s="78">
        <v>1986.2289245396005</v>
      </c>
      <c r="L2154" s="84">
        <v>60.213333333333331</v>
      </c>
      <c r="M2154" s="53">
        <v>123.88791378186681</v>
      </c>
      <c r="N2154" s="78">
        <v>2057.4830676793649</v>
      </c>
    </row>
    <row r="2155" spans="1:14" ht="19.5" customHeight="1" outlineLevel="1" x14ac:dyDescent="0.2">
      <c r="A2155" s="101">
        <v>23</v>
      </c>
      <c r="B2155" s="81" t="s">
        <v>30</v>
      </c>
      <c r="C2155" s="84">
        <v>57.429999999999993</v>
      </c>
      <c r="D2155" s="53">
        <v>128.16651322595837</v>
      </c>
      <c r="E2155" s="78">
        <v>2231.6996905094616</v>
      </c>
      <c r="F2155" s="84">
        <v>57.5</v>
      </c>
      <c r="G2155" s="53">
        <v>133.64153132164529</v>
      </c>
      <c r="H2155" s="78">
        <v>2324.2005447242659</v>
      </c>
      <c r="I2155" s="84">
        <v>59.269999999999996</v>
      </c>
      <c r="J2155" s="53">
        <v>122.62827925268118</v>
      </c>
      <c r="K2155" s="78">
        <v>2068.9772102696338</v>
      </c>
      <c r="L2155" s="84">
        <v>58.066666666666663</v>
      </c>
      <c r="M2155" s="53">
        <v>128.14544126676162</v>
      </c>
      <c r="N2155" s="78">
        <v>2206.8675304264348</v>
      </c>
    </row>
    <row r="2156" spans="1:14" ht="19.5" customHeight="1" outlineLevel="1" x14ac:dyDescent="0.2">
      <c r="A2156" s="101">
        <v>24</v>
      </c>
      <c r="B2156" s="81" t="s">
        <v>31</v>
      </c>
      <c r="C2156" s="84">
        <v>19.09</v>
      </c>
      <c r="D2156" s="53">
        <v>23.156069328452034</v>
      </c>
      <c r="E2156" s="78">
        <v>1212.9947264773198</v>
      </c>
      <c r="F2156" s="84">
        <v>19.930000000000003</v>
      </c>
      <c r="G2156" s="53">
        <v>24.55283755126931</v>
      </c>
      <c r="H2156" s="78">
        <v>1231.9537155679532</v>
      </c>
      <c r="I2156" s="84">
        <v>19.87</v>
      </c>
      <c r="J2156" s="53">
        <v>25.764782318381876</v>
      </c>
      <c r="K2156" s="78">
        <v>1296.6674543725151</v>
      </c>
      <c r="L2156" s="84">
        <v>19.63</v>
      </c>
      <c r="M2156" s="53">
        <v>24.491229732701072</v>
      </c>
      <c r="N2156" s="78">
        <v>1247.6428799134526</v>
      </c>
    </row>
    <row r="2157" spans="1:14" ht="19.5" customHeight="1" outlineLevel="1" x14ac:dyDescent="0.2">
      <c r="A2157" s="101">
        <v>25</v>
      </c>
      <c r="B2157" s="81" t="s">
        <v>32</v>
      </c>
      <c r="C2157" s="84">
        <v>115.92999999999999</v>
      </c>
      <c r="D2157" s="53">
        <v>265.2347013229658</v>
      </c>
      <c r="E2157" s="78">
        <v>2287.8866671522969</v>
      </c>
      <c r="F2157" s="84">
        <v>136.78000000000003</v>
      </c>
      <c r="G2157" s="53">
        <v>298.81702168583854</v>
      </c>
      <c r="H2157" s="78">
        <v>2184.6543477543387</v>
      </c>
      <c r="I2157" s="84">
        <v>139.25</v>
      </c>
      <c r="J2157" s="53">
        <v>310.18892847336809</v>
      </c>
      <c r="K2157" s="78">
        <v>2227.56860663101</v>
      </c>
      <c r="L2157" s="84">
        <v>130.65333333333334</v>
      </c>
      <c r="M2157" s="53">
        <v>291.41355049405752</v>
      </c>
      <c r="N2157" s="78">
        <v>2230.4333388156256</v>
      </c>
    </row>
    <row r="2158" spans="1:14" ht="19.5" customHeight="1" outlineLevel="1" x14ac:dyDescent="0.2">
      <c r="A2158" s="101">
        <v>26</v>
      </c>
      <c r="B2158" s="81" t="s">
        <v>33</v>
      </c>
      <c r="C2158" s="84">
        <v>25.23</v>
      </c>
      <c r="D2158" s="53">
        <v>39.148775869611384</v>
      </c>
      <c r="E2158" s="78">
        <v>1551.6756190888379</v>
      </c>
      <c r="F2158" s="84">
        <v>19.68</v>
      </c>
      <c r="G2158" s="53">
        <v>26.713244187536613</v>
      </c>
      <c r="H2158" s="78">
        <v>1357.3802940821449</v>
      </c>
      <c r="I2158" s="84">
        <v>16.02</v>
      </c>
      <c r="J2158" s="53">
        <v>21.548617969709802</v>
      </c>
      <c r="K2158" s="78">
        <v>1345.10723905804</v>
      </c>
      <c r="L2158" s="84">
        <v>20.309999999999999</v>
      </c>
      <c r="M2158" s="53">
        <v>29.136879342285937</v>
      </c>
      <c r="N2158" s="78">
        <v>1434.607550087934</v>
      </c>
    </row>
    <row r="2159" spans="1:14" ht="19.5" customHeight="1" outlineLevel="1" x14ac:dyDescent="0.2">
      <c r="A2159" s="101">
        <v>27</v>
      </c>
      <c r="B2159" s="81" t="s">
        <v>34</v>
      </c>
      <c r="C2159" s="84">
        <v>13.15</v>
      </c>
      <c r="D2159" s="53">
        <v>25.652794652042068</v>
      </c>
      <c r="E2159" s="78">
        <v>1950.7828632731612</v>
      </c>
      <c r="F2159" s="84">
        <v>15.71</v>
      </c>
      <c r="G2159" s="53">
        <v>29.131959734030517</v>
      </c>
      <c r="H2159" s="78">
        <v>1854.3577169974865</v>
      </c>
      <c r="I2159" s="84">
        <v>12.059999999999999</v>
      </c>
      <c r="J2159" s="53">
        <v>23.384534064277247</v>
      </c>
      <c r="K2159" s="78">
        <v>1939.0160915652777</v>
      </c>
      <c r="L2159" s="84">
        <v>13.64</v>
      </c>
      <c r="M2159" s="53">
        <v>26.056429483449943</v>
      </c>
      <c r="N2159" s="78">
        <v>1910.2954166752156</v>
      </c>
    </row>
    <row r="2160" spans="1:14" ht="19.5" customHeight="1" outlineLevel="1" x14ac:dyDescent="0.2">
      <c r="A2160" s="101">
        <v>28</v>
      </c>
      <c r="B2160" s="81" t="s">
        <v>35</v>
      </c>
      <c r="C2160" s="84">
        <v>48.800000000000004</v>
      </c>
      <c r="D2160" s="53">
        <v>109.81978645048986</v>
      </c>
      <c r="E2160" s="78">
        <v>2250.4054600510217</v>
      </c>
      <c r="F2160" s="84">
        <v>66.77</v>
      </c>
      <c r="G2160" s="53">
        <v>194.07050779895692</v>
      </c>
      <c r="H2160" s="78">
        <v>2906.5524606703148</v>
      </c>
      <c r="I2160" s="84">
        <v>105.88</v>
      </c>
      <c r="J2160" s="53">
        <v>290.85690761667888</v>
      </c>
      <c r="K2160" s="78">
        <v>2747.0429506675373</v>
      </c>
      <c r="L2160" s="84">
        <v>73.816666666666663</v>
      </c>
      <c r="M2160" s="53">
        <v>198.24906728870857</v>
      </c>
      <c r="N2160" s="78">
        <v>2685.6951992148374</v>
      </c>
    </row>
    <row r="2161" spans="1:14" ht="19.5" customHeight="1" outlineLevel="1" x14ac:dyDescent="0.2">
      <c r="A2161" s="101">
        <v>29</v>
      </c>
      <c r="B2161" s="81" t="s">
        <v>36</v>
      </c>
      <c r="C2161" s="84">
        <v>165.48</v>
      </c>
      <c r="D2161" s="53">
        <v>391.44188724478272</v>
      </c>
      <c r="E2161" s="78">
        <v>2365.4936381724842</v>
      </c>
      <c r="F2161" s="84">
        <v>177.29</v>
      </c>
      <c r="G2161" s="53">
        <v>414.89659995378071</v>
      </c>
      <c r="H2161" s="78">
        <v>2340.2143378294363</v>
      </c>
      <c r="I2161" s="84">
        <v>219.04</v>
      </c>
      <c r="J2161" s="53">
        <v>478.03836041382812</v>
      </c>
      <c r="K2161" s="78">
        <v>2182.4249471047669</v>
      </c>
      <c r="L2161" s="84">
        <v>187.26999999999998</v>
      </c>
      <c r="M2161" s="53">
        <v>428.12561587079716</v>
      </c>
      <c r="N2161" s="78">
        <v>2286.1409508773277</v>
      </c>
    </row>
    <row r="2162" spans="1:14" ht="19.5" customHeight="1" outlineLevel="1" x14ac:dyDescent="0.2">
      <c r="A2162" s="101">
        <v>30</v>
      </c>
      <c r="B2162" s="81" t="s">
        <v>37</v>
      </c>
      <c r="C2162" s="84">
        <v>8.41</v>
      </c>
      <c r="D2162" s="53">
        <v>9.4430226394786683</v>
      </c>
      <c r="E2162" s="78">
        <v>1122.8326562994848</v>
      </c>
      <c r="F2162" s="84">
        <v>8.7200000000000006</v>
      </c>
      <c r="G2162" s="53">
        <v>9.9368087815994137</v>
      </c>
      <c r="H2162" s="78">
        <v>1139.5422914678225</v>
      </c>
      <c r="I2162" s="84">
        <v>8.5500000000000007</v>
      </c>
      <c r="J2162" s="53">
        <v>10.96826776572739</v>
      </c>
      <c r="K2162" s="78">
        <v>1282.8383351727941</v>
      </c>
      <c r="L2162" s="84">
        <v>8.56</v>
      </c>
      <c r="M2162" s="53">
        <v>10.116033062268491</v>
      </c>
      <c r="N2162" s="78">
        <v>1181.7795633491226</v>
      </c>
    </row>
    <row r="2163" spans="1:14" ht="19.5" customHeight="1" outlineLevel="1" x14ac:dyDescent="0.2">
      <c r="A2163" s="101">
        <v>31</v>
      </c>
      <c r="B2163" s="81" t="s">
        <v>38</v>
      </c>
      <c r="C2163" s="84">
        <v>55.910000000000004</v>
      </c>
      <c r="D2163" s="53">
        <v>149.11261977781362</v>
      </c>
      <c r="E2163" s="78">
        <v>2667.0116218532212</v>
      </c>
      <c r="F2163" s="84">
        <v>57.35</v>
      </c>
      <c r="G2163" s="53">
        <v>158.0066075011222</v>
      </c>
      <c r="H2163" s="78">
        <v>2755.1282912139877</v>
      </c>
      <c r="I2163" s="84">
        <v>57.34</v>
      </c>
      <c r="J2163" s="53">
        <v>161.92151709510054</v>
      </c>
      <c r="K2163" s="78">
        <v>2823.8841488507242</v>
      </c>
      <c r="L2163" s="84">
        <v>56.866666666666674</v>
      </c>
      <c r="M2163" s="53">
        <v>156.34691479134543</v>
      </c>
      <c r="N2163" s="78">
        <v>2749.3595801526153</v>
      </c>
    </row>
    <row r="2164" spans="1:14" ht="19.5" customHeight="1" outlineLevel="1" x14ac:dyDescent="0.2">
      <c r="A2164" s="101">
        <v>32</v>
      </c>
      <c r="B2164" s="81" t="s">
        <v>39</v>
      </c>
      <c r="C2164" s="84">
        <v>9.23</v>
      </c>
      <c r="D2164" s="53">
        <v>25.336218747194483</v>
      </c>
      <c r="E2164" s="78">
        <v>2744.9857797610489</v>
      </c>
      <c r="F2164" s="84">
        <v>8.56</v>
      </c>
      <c r="G2164" s="53">
        <v>23.608781179710082</v>
      </c>
      <c r="H2164" s="78">
        <v>2758.0351845455698</v>
      </c>
      <c r="I2164" s="84">
        <v>8.4600000000000009</v>
      </c>
      <c r="J2164" s="53">
        <v>22.813035190936667</v>
      </c>
      <c r="K2164" s="78">
        <v>2696.5762637040971</v>
      </c>
      <c r="L2164" s="84">
        <v>8.75</v>
      </c>
      <c r="M2164" s="53">
        <v>23.919345039280412</v>
      </c>
      <c r="N2164" s="78">
        <v>2733.6394330606186</v>
      </c>
    </row>
    <row r="2165" spans="1:14" ht="19.5" customHeight="1" outlineLevel="1" thickBot="1" x14ac:dyDescent="0.25">
      <c r="A2165" s="102">
        <v>33</v>
      </c>
      <c r="B2165" s="91" t="s">
        <v>40</v>
      </c>
      <c r="C2165" s="92">
        <v>50.94</v>
      </c>
      <c r="D2165" s="93">
        <v>101.71582281442096</v>
      </c>
      <c r="E2165" s="94">
        <v>1996.7770477899678</v>
      </c>
      <c r="F2165" s="92">
        <v>47.56</v>
      </c>
      <c r="G2165" s="93">
        <v>98.286766187322314</v>
      </c>
      <c r="H2165" s="94">
        <v>2066.5846549058515</v>
      </c>
      <c r="I2165" s="92">
        <v>42.22</v>
      </c>
      <c r="J2165" s="93">
        <v>98.050991159066868</v>
      </c>
      <c r="K2165" s="94">
        <v>2322.382547585667</v>
      </c>
      <c r="L2165" s="92">
        <v>46.906666666666666</v>
      </c>
      <c r="M2165" s="93">
        <v>99.351193386936714</v>
      </c>
      <c r="N2165" s="94">
        <v>2118.0612575384462</v>
      </c>
    </row>
    <row r="2166" spans="1:14" ht="19.5" customHeight="1" thickBot="1" x14ac:dyDescent="0.25">
      <c r="A2166" s="151" t="s">
        <v>41</v>
      </c>
      <c r="B2166" s="152"/>
      <c r="C2166" s="96">
        <v>4719.8599999999979</v>
      </c>
      <c r="D2166" s="97">
        <v>12737.227454835547</v>
      </c>
      <c r="E2166" s="98">
        <v>2698.6451832968673</v>
      </c>
      <c r="F2166" s="96">
        <v>4857.2800000000016</v>
      </c>
      <c r="G2166" s="97">
        <v>13269.089367674067</v>
      </c>
      <c r="H2166" s="98">
        <v>2731.7942073905692</v>
      </c>
      <c r="I2166" s="96">
        <v>5473.4700000000021</v>
      </c>
      <c r="J2166" s="97">
        <v>14622.432865173827</v>
      </c>
      <c r="K2166" s="98">
        <v>2671.5105527524261</v>
      </c>
      <c r="L2166" s="96">
        <v>5016.87</v>
      </c>
      <c r="M2166" s="97">
        <v>13542.916562561148</v>
      </c>
      <c r="N2166" s="98">
        <v>2699.4752829076988</v>
      </c>
    </row>
    <row r="2167" spans="1:14" ht="34.5" customHeight="1" x14ac:dyDescent="0.2">
      <c r="A2167" s="153" t="s">
        <v>247</v>
      </c>
      <c r="B2167" s="154"/>
      <c r="C2167" s="154"/>
      <c r="D2167" s="154"/>
      <c r="E2167" s="154"/>
      <c r="F2167" s="154"/>
      <c r="G2167" s="154"/>
      <c r="H2167" s="154"/>
      <c r="I2167" s="154"/>
      <c r="J2167" s="154"/>
      <c r="K2167" s="154"/>
      <c r="L2167" s="154"/>
      <c r="M2167" s="154"/>
      <c r="N2167" s="154"/>
    </row>
    <row r="2168" spans="1:14" ht="19.5" customHeight="1" thickBot="1" x14ac:dyDescent="0.25">
      <c r="A2168" s="50"/>
      <c r="B2168" s="51" t="s">
        <v>99</v>
      </c>
      <c r="C2168" s="52"/>
      <c r="D2168" s="52"/>
      <c r="E2168" s="52"/>
      <c r="F2168" s="52"/>
      <c r="G2168" s="52"/>
      <c r="H2168" s="52"/>
      <c r="I2168" s="52"/>
      <c r="J2168" s="52"/>
      <c r="K2168" s="155" t="s">
        <v>1</v>
      </c>
      <c r="L2168" s="154"/>
      <c r="M2168" s="154"/>
      <c r="N2168" s="154"/>
    </row>
    <row r="2169" spans="1:14" ht="19.5" customHeight="1" x14ac:dyDescent="0.2">
      <c r="A2169" s="156" t="s">
        <v>2</v>
      </c>
      <c r="B2169" s="158" t="s">
        <v>3</v>
      </c>
      <c r="C2169" s="148" t="s">
        <v>243</v>
      </c>
      <c r="D2169" s="149"/>
      <c r="E2169" s="150"/>
      <c r="F2169" s="148" t="s">
        <v>244</v>
      </c>
      <c r="G2169" s="149"/>
      <c r="H2169" s="150"/>
      <c r="I2169" s="148" t="s">
        <v>246</v>
      </c>
      <c r="J2169" s="149"/>
      <c r="K2169" s="150"/>
      <c r="L2169" s="148" t="s">
        <v>4</v>
      </c>
      <c r="M2169" s="149"/>
      <c r="N2169" s="150"/>
    </row>
    <row r="2170" spans="1:14" ht="19.5" customHeight="1" thickBot="1" x14ac:dyDescent="0.25">
      <c r="A2170" s="157"/>
      <c r="B2170" s="159"/>
      <c r="C2170" s="85" t="s">
        <v>5</v>
      </c>
      <c r="D2170" s="79" t="s">
        <v>6</v>
      </c>
      <c r="E2170" s="80" t="s">
        <v>7</v>
      </c>
      <c r="F2170" s="85" t="s">
        <v>5</v>
      </c>
      <c r="G2170" s="79" t="s">
        <v>6</v>
      </c>
      <c r="H2170" s="80" t="s">
        <v>7</v>
      </c>
      <c r="I2170" s="85" t="s">
        <v>5</v>
      </c>
      <c r="J2170" s="79" t="s">
        <v>6</v>
      </c>
      <c r="K2170" s="80" t="s">
        <v>7</v>
      </c>
      <c r="L2170" s="85" t="s">
        <v>5</v>
      </c>
      <c r="M2170" s="79" t="s">
        <v>6</v>
      </c>
      <c r="N2170" s="80" t="s">
        <v>7</v>
      </c>
    </row>
    <row r="2171" spans="1:14" ht="19.5" customHeight="1" outlineLevel="1" x14ac:dyDescent="0.2">
      <c r="A2171" s="100">
        <v>1</v>
      </c>
      <c r="B2171" s="86" t="s">
        <v>8</v>
      </c>
      <c r="C2171" s="87">
        <v>0</v>
      </c>
      <c r="D2171" s="88">
        <v>0</v>
      </c>
      <c r="E2171" s="89">
        <v>0</v>
      </c>
      <c r="F2171" s="87">
        <v>2.95</v>
      </c>
      <c r="G2171" s="88">
        <v>3.7083393076354341</v>
      </c>
      <c r="H2171" s="89">
        <v>1257.064172079808</v>
      </c>
      <c r="I2171" s="87">
        <v>0</v>
      </c>
      <c r="J2171" s="88">
        <v>0</v>
      </c>
      <c r="K2171" s="89">
        <v>0</v>
      </c>
      <c r="L2171" s="87">
        <v>2.95</v>
      </c>
      <c r="M2171" s="88">
        <v>3.7083393076354341</v>
      </c>
      <c r="N2171" s="89">
        <v>1257.064172079808</v>
      </c>
    </row>
    <row r="2172" spans="1:14" ht="19.5" customHeight="1" outlineLevel="1" x14ac:dyDescent="0.2">
      <c r="A2172" s="101">
        <v>2</v>
      </c>
      <c r="B2172" s="81" t="s">
        <v>9</v>
      </c>
      <c r="C2172" s="84">
        <v>24.05</v>
      </c>
      <c r="D2172" s="53">
        <v>24.622390000000003</v>
      </c>
      <c r="E2172" s="78">
        <v>1023.8000000000001</v>
      </c>
      <c r="F2172" s="84">
        <v>24.85</v>
      </c>
      <c r="G2172" s="53">
        <v>25.224519319999995</v>
      </c>
      <c r="H2172" s="78">
        <v>1015.0711999999997</v>
      </c>
      <c r="I2172" s="84">
        <v>56.78</v>
      </c>
      <c r="J2172" s="53">
        <v>63.309700000000007</v>
      </c>
      <c r="K2172" s="78">
        <v>1115</v>
      </c>
      <c r="L2172" s="84">
        <v>35.226666666666667</v>
      </c>
      <c r="M2172" s="53">
        <v>37.718869773333331</v>
      </c>
      <c r="N2172" s="78">
        <v>1070.7476279333837</v>
      </c>
    </row>
    <row r="2173" spans="1:14" ht="19.5" customHeight="1" outlineLevel="1" x14ac:dyDescent="0.2">
      <c r="A2173" s="101">
        <v>3</v>
      </c>
      <c r="B2173" s="81" t="s">
        <v>10</v>
      </c>
      <c r="C2173" s="84">
        <v>0</v>
      </c>
      <c r="D2173" s="53">
        <v>0</v>
      </c>
      <c r="E2173" s="78">
        <v>0</v>
      </c>
      <c r="F2173" s="84">
        <v>0.65</v>
      </c>
      <c r="G2173" s="53">
        <v>0.81709171185187524</v>
      </c>
      <c r="H2173" s="78">
        <v>1257.064172079808</v>
      </c>
      <c r="I2173" s="84">
        <v>0.81</v>
      </c>
      <c r="J2173" s="53">
        <v>1.1062007618971617</v>
      </c>
      <c r="K2173" s="78">
        <v>1365.6799529594587</v>
      </c>
      <c r="L2173" s="84">
        <v>0.73</v>
      </c>
      <c r="M2173" s="53">
        <v>0.96164623687451845</v>
      </c>
      <c r="N2173" s="78">
        <v>1317.3236121568746</v>
      </c>
    </row>
    <row r="2174" spans="1:14" ht="19.5" customHeight="1" outlineLevel="1" x14ac:dyDescent="0.2">
      <c r="A2174" s="101">
        <v>4</v>
      </c>
      <c r="B2174" s="81" t="s">
        <v>11</v>
      </c>
      <c r="C2174" s="84">
        <v>0.35</v>
      </c>
      <c r="D2174" s="53">
        <v>0.480728111621052</v>
      </c>
      <c r="E2174" s="78">
        <v>1373.5088903458629</v>
      </c>
      <c r="F2174" s="84">
        <v>0.37</v>
      </c>
      <c r="G2174" s="53">
        <v>0.46511374366952896</v>
      </c>
      <c r="H2174" s="78">
        <v>1257.064172079808</v>
      </c>
      <c r="I2174" s="84">
        <v>0.53</v>
      </c>
      <c r="J2174" s="53">
        <v>0.7238103750685132</v>
      </c>
      <c r="K2174" s="78">
        <v>1365.6799529594587</v>
      </c>
      <c r="L2174" s="84">
        <v>0.41666666666666669</v>
      </c>
      <c r="M2174" s="53">
        <v>0.55655074345303135</v>
      </c>
      <c r="N2174" s="78">
        <v>1335.7217842872753</v>
      </c>
    </row>
    <row r="2175" spans="1:14" ht="19.5" customHeight="1" outlineLevel="1" x14ac:dyDescent="0.2">
      <c r="A2175" s="101">
        <v>5</v>
      </c>
      <c r="B2175" s="81" t="s">
        <v>12</v>
      </c>
      <c r="C2175" s="84">
        <v>0</v>
      </c>
      <c r="D2175" s="53">
        <v>0</v>
      </c>
      <c r="E2175" s="78">
        <v>0</v>
      </c>
      <c r="F2175" s="84">
        <v>0</v>
      </c>
      <c r="G2175" s="53">
        <v>0</v>
      </c>
      <c r="H2175" s="78">
        <v>0</v>
      </c>
      <c r="I2175" s="84">
        <v>0</v>
      </c>
      <c r="J2175" s="53">
        <v>0</v>
      </c>
      <c r="K2175" s="78">
        <v>0</v>
      </c>
      <c r="L2175" s="84">
        <v>0</v>
      </c>
      <c r="M2175" s="53">
        <v>0</v>
      </c>
      <c r="N2175" s="78">
        <v>0</v>
      </c>
    </row>
    <row r="2176" spans="1:14" ht="19.5" customHeight="1" outlineLevel="1" x14ac:dyDescent="0.2">
      <c r="A2176" s="101">
        <v>6</v>
      </c>
      <c r="B2176" s="81" t="s">
        <v>13</v>
      </c>
      <c r="C2176" s="84">
        <v>0.5</v>
      </c>
      <c r="D2176" s="53">
        <v>0.68675444517293149</v>
      </c>
      <c r="E2176" s="78">
        <v>1373.5088903458629</v>
      </c>
      <c r="F2176" s="84">
        <v>0</v>
      </c>
      <c r="G2176" s="53">
        <v>0</v>
      </c>
      <c r="H2176" s="78">
        <v>0</v>
      </c>
      <c r="I2176" s="84">
        <v>0</v>
      </c>
      <c r="J2176" s="53">
        <v>0</v>
      </c>
      <c r="K2176" s="78">
        <v>0</v>
      </c>
      <c r="L2176" s="84">
        <v>0.5</v>
      </c>
      <c r="M2176" s="53">
        <v>0.68675444517293149</v>
      </c>
      <c r="N2176" s="78">
        <v>1373.5088903458629</v>
      </c>
    </row>
    <row r="2177" spans="1:14" ht="19.5" customHeight="1" outlineLevel="1" x14ac:dyDescent="0.2">
      <c r="A2177" s="101">
        <v>7</v>
      </c>
      <c r="B2177" s="81" t="s">
        <v>14</v>
      </c>
      <c r="C2177" s="84">
        <v>0</v>
      </c>
      <c r="D2177" s="53">
        <v>0</v>
      </c>
      <c r="E2177" s="78">
        <v>0</v>
      </c>
      <c r="F2177" s="84">
        <v>0.21</v>
      </c>
      <c r="G2177" s="53">
        <v>0.26398347613675971</v>
      </c>
      <c r="H2177" s="78">
        <v>1257.064172079808</v>
      </c>
      <c r="I2177" s="84">
        <v>0</v>
      </c>
      <c r="J2177" s="53">
        <v>0</v>
      </c>
      <c r="K2177" s="78">
        <v>0</v>
      </c>
      <c r="L2177" s="84">
        <v>0.21</v>
      </c>
      <c r="M2177" s="53">
        <v>0.26398347613675971</v>
      </c>
      <c r="N2177" s="78">
        <v>1257.064172079808</v>
      </c>
    </row>
    <row r="2178" spans="1:14" ht="19.5" customHeight="1" outlineLevel="1" x14ac:dyDescent="0.2">
      <c r="A2178" s="101">
        <v>8</v>
      </c>
      <c r="B2178" s="81" t="s">
        <v>15</v>
      </c>
      <c r="C2178" s="84">
        <v>7.6</v>
      </c>
      <c r="D2178" s="53">
        <v>10.438667566628558</v>
      </c>
      <c r="E2178" s="78">
        <v>1373.5088903458629</v>
      </c>
      <c r="F2178" s="84">
        <v>0</v>
      </c>
      <c r="G2178" s="53">
        <v>0</v>
      </c>
      <c r="H2178" s="78">
        <v>0</v>
      </c>
      <c r="I2178" s="84">
        <v>1.05</v>
      </c>
      <c r="J2178" s="53">
        <v>1.8621475364225368</v>
      </c>
      <c r="K2178" s="78">
        <v>1773.4738442119399</v>
      </c>
      <c r="L2178" s="84">
        <v>4.3250000000000002</v>
      </c>
      <c r="M2178" s="53">
        <v>6.1504075515255474</v>
      </c>
      <c r="N2178" s="78">
        <v>1422.0595494856757</v>
      </c>
    </row>
    <row r="2179" spans="1:14" ht="19.5" customHeight="1" outlineLevel="1" x14ac:dyDescent="0.2">
      <c r="A2179" s="101">
        <v>9</v>
      </c>
      <c r="B2179" s="81" t="s">
        <v>16</v>
      </c>
      <c r="C2179" s="84">
        <v>0</v>
      </c>
      <c r="D2179" s="53">
        <v>0</v>
      </c>
      <c r="E2179" s="78">
        <v>0</v>
      </c>
      <c r="F2179" s="84">
        <v>0</v>
      </c>
      <c r="G2179" s="53">
        <v>0</v>
      </c>
      <c r="H2179" s="78">
        <v>0</v>
      </c>
      <c r="I2179" s="84">
        <v>0</v>
      </c>
      <c r="J2179" s="53">
        <v>0</v>
      </c>
      <c r="K2179" s="78">
        <v>0</v>
      </c>
      <c r="L2179" s="84">
        <v>0</v>
      </c>
      <c r="M2179" s="53">
        <v>0</v>
      </c>
      <c r="N2179" s="78">
        <v>0</v>
      </c>
    </row>
    <row r="2180" spans="1:14" ht="19.5" customHeight="1" outlineLevel="1" x14ac:dyDescent="0.2">
      <c r="A2180" s="101">
        <v>10</v>
      </c>
      <c r="B2180" s="81" t="s">
        <v>17</v>
      </c>
      <c r="C2180" s="84">
        <v>0</v>
      </c>
      <c r="D2180" s="53">
        <v>0</v>
      </c>
      <c r="E2180" s="78">
        <v>0</v>
      </c>
      <c r="F2180" s="84">
        <v>0</v>
      </c>
      <c r="G2180" s="53">
        <v>0</v>
      </c>
      <c r="H2180" s="78">
        <v>0</v>
      </c>
      <c r="I2180" s="84">
        <v>0</v>
      </c>
      <c r="J2180" s="53">
        <v>0</v>
      </c>
      <c r="K2180" s="78">
        <v>0</v>
      </c>
      <c r="L2180" s="84">
        <v>0</v>
      </c>
      <c r="M2180" s="53">
        <v>0</v>
      </c>
      <c r="N2180" s="78">
        <v>0</v>
      </c>
    </row>
    <row r="2181" spans="1:14" ht="19.5" customHeight="1" outlineLevel="1" x14ac:dyDescent="0.2">
      <c r="A2181" s="101">
        <v>11</v>
      </c>
      <c r="B2181" s="81" t="s">
        <v>18</v>
      </c>
      <c r="C2181" s="84">
        <v>0</v>
      </c>
      <c r="D2181" s="53">
        <v>0</v>
      </c>
      <c r="E2181" s="78">
        <v>0</v>
      </c>
      <c r="F2181" s="84">
        <v>0</v>
      </c>
      <c r="G2181" s="53">
        <v>0</v>
      </c>
      <c r="H2181" s="78">
        <v>0</v>
      </c>
      <c r="I2181" s="84">
        <v>0</v>
      </c>
      <c r="J2181" s="53">
        <v>0</v>
      </c>
      <c r="K2181" s="78">
        <v>0</v>
      </c>
      <c r="L2181" s="84">
        <v>0</v>
      </c>
      <c r="M2181" s="53">
        <v>0</v>
      </c>
      <c r="N2181" s="78">
        <v>0</v>
      </c>
    </row>
    <row r="2182" spans="1:14" ht="19.5" customHeight="1" outlineLevel="1" x14ac:dyDescent="0.2">
      <c r="A2182" s="101">
        <v>12</v>
      </c>
      <c r="B2182" s="81" t="s">
        <v>19</v>
      </c>
      <c r="C2182" s="84">
        <v>0</v>
      </c>
      <c r="D2182" s="53">
        <v>0</v>
      </c>
      <c r="E2182" s="78">
        <v>0</v>
      </c>
      <c r="F2182" s="84">
        <v>0</v>
      </c>
      <c r="G2182" s="53">
        <v>0</v>
      </c>
      <c r="H2182" s="78">
        <v>0</v>
      </c>
      <c r="I2182" s="84">
        <v>0</v>
      </c>
      <c r="J2182" s="53">
        <v>0</v>
      </c>
      <c r="K2182" s="78">
        <v>0</v>
      </c>
      <c r="L2182" s="84">
        <v>0</v>
      </c>
      <c r="M2182" s="53">
        <v>0</v>
      </c>
      <c r="N2182" s="78">
        <v>0</v>
      </c>
    </row>
    <row r="2183" spans="1:14" ht="19.5" customHeight="1" outlineLevel="1" x14ac:dyDescent="0.2">
      <c r="A2183" s="101">
        <v>13</v>
      </c>
      <c r="B2183" s="81" t="s">
        <v>20</v>
      </c>
      <c r="C2183" s="84">
        <v>0</v>
      </c>
      <c r="D2183" s="53">
        <v>0</v>
      </c>
      <c r="E2183" s="78">
        <v>0</v>
      </c>
      <c r="F2183" s="84">
        <v>0</v>
      </c>
      <c r="G2183" s="53">
        <v>0</v>
      </c>
      <c r="H2183" s="78">
        <v>0</v>
      </c>
      <c r="I2183" s="84">
        <v>0</v>
      </c>
      <c r="J2183" s="53">
        <v>0</v>
      </c>
      <c r="K2183" s="78">
        <v>0</v>
      </c>
      <c r="L2183" s="84">
        <v>0</v>
      </c>
      <c r="M2183" s="53">
        <v>0</v>
      </c>
      <c r="N2183" s="78">
        <v>0</v>
      </c>
    </row>
    <row r="2184" spans="1:14" ht="19.5" customHeight="1" outlineLevel="1" x14ac:dyDescent="0.2">
      <c r="A2184" s="101">
        <v>14</v>
      </c>
      <c r="B2184" s="81" t="s">
        <v>21</v>
      </c>
      <c r="C2184" s="84">
        <v>47.05</v>
      </c>
      <c r="D2184" s="53">
        <v>85.24761500000001</v>
      </c>
      <c r="E2184" s="78">
        <v>1811.8515409139216</v>
      </c>
      <c r="F2184" s="84">
        <v>118.9</v>
      </c>
      <c r="G2184" s="53">
        <v>238.00462772569441</v>
      </c>
      <c r="H2184" s="78">
        <v>2001.7210069444441</v>
      </c>
      <c r="I2184" s="84">
        <v>34.25</v>
      </c>
      <c r="J2184" s="53">
        <v>56.569891891891892</v>
      </c>
      <c r="K2184" s="78">
        <v>1651.6756756756756</v>
      </c>
      <c r="L2184" s="84">
        <v>66.733333333333334</v>
      </c>
      <c r="M2184" s="53">
        <v>126.6073782058621</v>
      </c>
      <c r="N2184" s="78">
        <v>1897.2134596283031</v>
      </c>
    </row>
    <row r="2185" spans="1:14" ht="19.5" customHeight="1" outlineLevel="1" x14ac:dyDescent="0.2">
      <c r="A2185" s="101">
        <v>15</v>
      </c>
      <c r="B2185" s="81" t="s">
        <v>22</v>
      </c>
      <c r="C2185" s="84">
        <v>5.3</v>
      </c>
      <c r="D2185" s="53">
        <v>8.357759883804583</v>
      </c>
      <c r="E2185" s="78">
        <v>1576.9358271329404</v>
      </c>
      <c r="F2185" s="84">
        <v>5.0999999999999996</v>
      </c>
      <c r="G2185" s="53">
        <v>6.4654177565480024</v>
      </c>
      <c r="H2185" s="78">
        <v>1267.7289718721574</v>
      </c>
      <c r="I2185" s="84">
        <v>1.62</v>
      </c>
      <c r="J2185" s="53">
        <v>2.6405851096094279</v>
      </c>
      <c r="K2185" s="78">
        <v>1629.9908084008814</v>
      </c>
      <c r="L2185" s="84">
        <v>4.0066666666666668</v>
      </c>
      <c r="M2185" s="53">
        <v>5.8212542499873381</v>
      </c>
      <c r="N2185" s="78">
        <v>1452.8920757039944</v>
      </c>
    </row>
    <row r="2186" spans="1:14" ht="19.5" customHeight="1" outlineLevel="1" x14ac:dyDescent="0.2">
      <c r="A2186" s="101">
        <v>16</v>
      </c>
      <c r="B2186" s="81" t="s">
        <v>23</v>
      </c>
      <c r="C2186" s="84">
        <v>11.3</v>
      </c>
      <c r="D2186" s="53">
        <v>27.097399999999997</v>
      </c>
      <c r="E2186" s="78">
        <v>2397.9999999999995</v>
      </c>
      <c r="F2186" s="84">
        <v>22.95</v>
      </c>
      <c r="G2186" s="53">
        <v>50.251549500000003</v>
      </c>
      <c r="H2186" s="78">
        <v>2189.61</v>
      </c>
      <c r="I2186" s="84">
        <v>27.2</v>
      </c>
      <c r="J2186" s="53">
        <v>69.250383999999997</v>
      </c>
      <c r="K2186" s="78">
        <v>2545.9699999999998</v>
      </c>
      <c r="L2186" s="84">
        <v>20.483333333333334</v>
      </c>
      <c r="M2186" s="53">
        <v>48.8664445</v>
      </c>
      <c r="N2186" s="78">
        <v>2385.6685679414154</v>
      </c>
    </row>
    <row r="2187" spans="1:14" ht="19.5" customHeight="1" outlineLevel="1" x14ac:dyDescent="0.2">
      <c r="A2187" s="101">
        <v>17</v>
      </c>
      <c r="B2187" s="81" t="s">
        <v>24</v>
      </c>
      <c r="C2187" s="84">
        <v>2.37</v>
      </c>
      <c r="D2187" s="53">
        <v>3.6864811761082992</v>
      </c>
      <c r="E2187" s="78">
        <v>1555.4772894971727</v>
      </c>
      <c r="F2187" s="84">
        <v>0.87</v>
      </c>
      <c r="G2187" s="53">
        <v>1.5668429964959671</v>
      </c>
      <c r="H2187" s="78">
        <v>1800.9689614896174</v>
      </c>
      <c r="I2187" s="84">
        <v>0</v>
      </c>
      <c r="J2187" s="53">
        <v>0</v>
      </c>
      <c r="K2187" s="78">
        <v>0</v>
      </c>
      <c r="L2187" s="84">
        <v>1.62</v>
      </c>
      <c r="M2187" s="53">
        <v>2.626662086302133</v>
      </c>
      <c r="N2187" s="78">
        <v>1621.3963495692178</v>
      </c>
    </row>
    <row r="2188" spans="1:14" ht="19.5" customHeight="1" outlineLevel="1" x14ac:dyDescent="0.2">
      <c r="A2188" s="101">
        <v>18</v>
      </c>
      <c r="B2188" s="81" t="s">
        <v>25</v>
      </c>
      <c r="C2188" s="84">
        <v>0.54</v>
      </c>
      <c r="D2188" s="53">
        <v>0.83730546107669224</v>
      </c>
      <c r="E2188" s="78">
        <v>1550.5656686605412</v>
      </c>
      <c r="F2188" s="84">
        <v>0</v>
      </c>
      <c r="G2188" s="53">
        <v>0</v>
      </c>
      <c r="H2188" s="78">
        <v>0</v>
      </c>
      <c r="I2188" s="84">
        <v>0.63</v>
      </c>
      <c r="J2188" s="53">
        <v>0.86037837036445897</v>
      </c>
      <c r="K2188" s="78">
        <v>1365.6799529594587</v>
      </c>
      <c r="L2188" s="84">
        <v>0.58499999999999996</v>
      </c>
      <c r="M2188" s="53">
        <v>0.84884191572057555</v>
      </c>
      <c r="N2188" s="78">
        <v>1451.0118217445738</v>
      </c>
    </row>
    <row r="2189" spans="1:14" ht="19.5" customHeight="1" outlineLevel="1" x14ac:dyDescent="0.2">
      <c r="A2189" s="101">
        <v>19</v>
      </c>
      <c r="B2189" s="81" t="s">
        <v>26</v>
      </c>
      <c r="C2189" s="84">
        <v>0</v>
      </c>
      <c r="D2189" s="53">
        <v>0</v>
      </c>
      <c r="E2189" s="78">
        <v>0</v>
      </c>
      <c r="F2189" s="84">
        <v>0</v>
      </c>
      <c r="G2189" s="53">
        <v>0</v>
      </c>
      <c r="H2189" s="78">
        <v>0</v>
      </c>
      <c r="I2189" s="84">
        <v>0</v>
      </c>
      <c r="J2189" s="53">
        <v>0</v>
      </c>
      <c r="K2189" s="78">
        <v>0</v>
      </c>
      <c r="L2189" s="84">
        <v>0</v>
      </c>
      <c r="M2189" s="53">
        <v>0</v>
      </c>
      <c r="N2189" s="78">
        <v>0</v>
      </c>
    </row>
    <row r="2190" spans="1:14" ht="19.5" customHeight="1" outlineLevel="1" x14ac:dyDescent="0.2">
      <c r="A2190" s="101">
        <v>20</v>
      </c>
      <c r="B2190" s="81" t="s">
        <v>27</v>
      </c>
      <c r="C2190" s="84">
        <v>0</v>
      </c>
      <c r="D2190" s="53">
        <v>0</v>
      </c>
      <c r="E2190" s="78">
        <v>0</v>
      </c>
      <c r="F2190" s="84">
        <v>0.19</v>
      </c>
      <c r="G2190" s="53">
        <v>0.26059838427155591</v>
      </c>
      <c r="H2190" s="78">
        <v>1371.5704435345049</v>
      </c>
      <c r="I2190" s="84">
        <v>0.72</v>
      </c>
      <c r="J2190" s="53">
        <v>0.99144544395585987</v>
      </c>
      <c r="K2190" s="78">
        <v>1377.0075610498054</v>
      </c>
      <c r="L2190" s="84">
        <v>0.45499999999999996</v>
      </c>
      <c r="M2190" s="53">
        <v>0.62602191411370789</v>
      </c>
      <c r="N2190" s="78">
        <v>1375.872338711446</v>
      </c>
    </row>
    <row r="2191" spans="1:14" ht="19.5" customHeight="1" outlineLevel="1" x14ac:dyDescent="0.2">
      <c r="A2191" s="101">
        <v>21</v>
      </c>
      <c r="B2191" s="81" t="s">
        <v>28</v>
      </c>
      <c r="C2191" s="84">
        <v>0.93</v>
      </c>
      <c r="D2191" s="53">
        <v>1.2773632680216527</v>
      </c>
      <c r="E2191" s="78">
        <v>1373.5088903458629</v>
      </c>
      <c r="F2191" s="84">
        <v>0.5</v>
      </c>
      <c r="G2191" s="53">
        <v>0.75363018760416023</v>
      </c>
      <c r="H2191" s="78">
        <v>1507.2603752083205</v>
      </c>
      <c r="I2191" s="84">
        <v>0.32</v>
      </c>
      <c r="J2191" s="53">
        <v>0.49410872972237418</v>
      </c>
      <c r="K2191" s="78">
        <v>1544.0897803824191</v>
      </c>
      <c r="L2191" s="84">
        <v>0.58333333333333337</v>
      </c>
      <c r="M2191" s="53">
        <v>0.84170072844939581</v>
      </c>
      <c r="N2191" s="78">
        <v>1442.9155344846783</v>
      </c>
    </row>
    <row r="2192" spans="1:14" ht="19.5" customHeight="1" outlineLevel="1" x14ac:dyDescent="0.2">
      <c r="A2192" s="101">
        <v>22</v>
      </c>
      <c r="B2192" s="81" t="s">
        <v>29</v>
      </c>
      <c r="C2192" s="84">
        <v>0</v>
      </c>
      <c r="D2192" s="53">
        <v>0</v>
      </c>
      <c r="E2192" s="78">
        <v>0</v>
      </c>
      <c r="F2192" s="84">
        <v>0.01</v>
      </c>
      <c r="G2192" s="53">
        <v>1.2570641720798081E-2</v>
      </c>
      <c r="H2192" s="78">
        <v>1257.064172079808</v>
      </c>
      <c r="I2192" s="84">
        <v>0</v>
      </c>
      <c r="J2192" s="53">
        <v>0</v>
      </c>
      <c r="K2192" s="78">
        <v>0</v>
      </c>
      <c r="L2192" s="84">
        <v>0.01</v>
      </c>
      <c r="M2192" s="53">
        <v>1.2570641720798081E-2</v>
      </c>
      <c r="N2192" s="78">
        <v>1257.064172079808</v>
      </c>
    </row>
    <row r="2193" spans="1:14" ht="19.5" customHeight="1" outlineLevel="1" x14ac:dyDescent="0.2">
      <c r="A2193" s="101">
        <v>23</v>
      </c>
      <c r="B2193" s="81" t="s">
        <v>30</v>
      </c>
      <c r="C2193" s="84">
        <v>0</v>
      </c>
      <c r="D2193" s="53">
        <v>0</v>
      </c>
      <c r="E2193" s="78">
        <v>0</v>
      </c>
      <c r="F2193" s="84">
        <v>0</v>
      </c>
      <c r="G2193" s="53">
        <v>0</v>
      </c>
      <c r="H2193" s="78">
        <v>0</v>
      </c>
      <c r="I2193" s="84">
        <v>0</v>
      </c>
      <c r="J2193" s="53">
        <v>0</v>
      </c>
      <c r="K2193" s="78">
        <v>0</v>
      </c>
      <c r="L2193" s="84">
        <v>0</v>
      </c>
      <c r="M2193" s="53">
        <v>0</v>
      </c>
      <c r="N2193" s="78">
        <v>0</v>
      </c>
    </row>
    <row r="2194" spans="1:14" ht="19.5" customHeight="1" outlineLevel="1" x14ac:dyDescent="0.2">
      <c r="A2194" s="101">
        <v>24</v>
      </c>
      <c r="B2194" s="81" t="s">
        <v>31</v>
      </c>
      <c r="C2194" s="84">
        <v>0</v>
      </c>
      <c r="D2194" s="53">
        <v>0</v>
      </c>
      <c r="E2194" s="78">
        <v>0</v>
      </c>
      <c r="F2194" s="84">
        <v>0</v>
      </c>
      <c r="G2194" s="53">
        <v>0</v>
      </c>
      <c r="H2194" s="78">
        <v>0</v>
      </c>
      <c r="I2194" s="84">
        <v>0</v>
      </c>
      <c r="J2194" s="53">
        <v>0</v>
      </c>
      <c r="K2194" s="78">
        <v>0</v>
      </c>
      <c r="L2194" s="84">
        <v>0</v>
      </c>
      <c r="M2194" s="53">
        <v>0</v>
      </c>
      <c r="N2194" s="78">
        <v>0</v>
      </c>
    </row>
    <row r="2195" spans="1:14" ht="19.5" customHeight="1" outlineLevel="1" x14ac:dyDescent="0.2">
      <c r="A2195" s="101">
        <v>25</v>
      </c>
      <c r="B2195" s="81" t="s">
        <v>32</v>
      </c>
      <c r="C2195" s="84">
        <v>1.8</v>
      </c>
      <c r="D2195" s="53">
        <v>2.8384844888392924</v>
      </c>
      <c r="E2195" s="78">
        <v>1576.9358271329402</v>
      </c>
      <c r="F2195" s="84">
        <v>20.84</v>
      </c>
      <c r="G2195" s="53">
        <v>37.532193157443622</v>
      </c>
      <c r="H2195" s="78">
        <v>1800.9689614896172</v>
      </c>
      <c r="I2195" s="84">
        <v>11.22</v>
      </c>
      <c r="J2195" s="53">
        <v>34.403886</v>
      </c>
      <c r="K2195" s="78">
        <v>3066.2999999999997</v>
      </c>
      <c r="L2195" s="84">
        <v>11.286666666666667</v>
      </c>
      <c r="M2195" s="53">
        <v>24.924854548760973</v>
      </c>
      <c r="N2195" s="78">
        <v>2208.3450574802987</v>
      </c>
    </row>
    <row r="2196" spans="1:14" ht="19.5" customHeight="1" outlineLevel="1" x14ac:dyDescent="0.2">
      <c r="A2196" s="101">
        <v>26</v>
      </c>
      <c r="B2196" s="81" t="s">
        <v>33</v>
      </c>
      <c r="C2196" s="84">
        <v>0.4</v>
      </c>
      <c r="D2196" s="53">
        <v>0.59008894349576058</v>
      </c>
      <c r="E2196" s="78">
        <v>1475.2223587394012</v>
      </c>
      <c r="F2196" s="84">
        <v>1.28</v>
      </c>
      <c r="G2196" s="53">
        <v>2.1692640733542579</v>
      </c>
      <c r="H2196" s="78">
        <v>1694.7375573080139</v>
      </c>
      <c r="I2196" s="84">
        <v>0.37</v>
      </c>
      <c r="J2196" s="53">
        <v>0.65618532235841764</v>
      </c>
      <c r="K2196" s="78">
        <v>1773.4738442119396</v>
      </c>
      <c r="L2196" s="84">
        <v>0.68333333333333346</v>
      </c>
      <c r="M2196" s="53">
        <v>1.1385127797361452</v>
      </c>
      <c r="N2196" s="78">
        <v>1666.1162630285048</v>
      </c>
    </row>
    <row r="2197" spans="1:14" ht="19.5" customHeight="1" outlineLevel="1" x14ac:dyDescent="0.2">
      <c r="A2197" s="101">
        <v>27</v>
      </c>
      <c r="B2197" s="81" t="s">
        <v>34</v>
      </c>
      <c r="C2197" s="84">
        <v>32.22</v>
      </c>
      <c r="D2197" s="53">
        <v>47.434445376743149</v>
      </c>
      <c r="E2197" s="78">
        <v>1472.2050085891728</v>
      </c>
      <c r="F2197" s="84">
        <v>29.740000000000002</v>
      </c>
      <c r="G2197" s="53">
        <v>45.122520384142859</v>
      </c>
      <c r="H2197" s="78">
        <v>1517.2333686665386</v>
      </c>
      <c r="I2197" s="84">
        <v>20.380000000000003</v>
      </c>
      <c r="J2197" s="53">
        <v>31.166225727649884</v>
      </c>
      <c r="K2197" s="78">
        <v>1529.2554331525948</v>
      </c>
      <c r="L2197" s="84">
        <v>27.446666666666669</v>
      </c>
      <c r="M2197" s="53">
        <v>41.241063829511965</v>
      </c>
      <c r="N2197" s="78">
        <v>1502.5891606574676</v>
      </c>
    </row>
    <row r="2198" spans="1:14" ht="19.5" customHeight="1" outlineLevel="1" x14ac:dyDescent="0.2">
      <c r="A2198" s="101">
        <v>28</v>
      </c>
      <c r="B2198" s="81" t="s">
        <v>35</v>
      </c>
      <c r="C2198" s="84">
        <v>25.200000000000003</v>
      </c>
      <c r="D2198" s="53">
        <v>30.799761761342666</v>
      </c>
      <c r="E2198" s="78">
        <v>1222.2127683072486</v>
      </c>
      <c r="F2198" s="84">
        <v>31.63</v>
      </c>
      <c r="G2198" s="53">
        <v>40.278186047521807</v>
      </c>
      <c r="H2198" s="78">
        <v>1273.4172003642684</v>
      </c>
      <c r="I2198" s="84">
        <v>25.53</v>
      </c>
      <c r="J2198" s="53">
        <v>32.890170311412021</v>
      </c>
      <c r="K2198" s="78">
        <v>1288.2949593189196</v>
      </c>
      <c r="L2198" s="84">
        <v>27.453333333333333</v>
      </c>
      <c r="M2198" s="53">
        <v>34.6560393734255</v>
      </c>
      <c r="N2198" s="78">
        <v>1262.3618033059313</v>
      </c>
    </row>
    <row r="2199" spans="1:14" ht="19.5" customHeight="1" outlineLevel="1" x14ac:dyDescent="0.2">
      <c r="A2199" s="101">
        <v>29</v>
      </c>
      <c r="B2199" s="81" t="s">
        <v>36</v>
      </c>
      <c r="C2199" s="84">
        <v>92.04</v>
      </c>
      <c r="D2199" s="53">
        <v>110.23845030659231</v>
      </c>
      <c r="E2199" s="78">
        <v>1197.7232758212983</v>
      </c>
      <c r="F2199" s="84">
        <v>92.76</v>
      </c>
      <c r="G2199" s="53">
        <v>116.90683244596786</v>
      </c>
      <c r="H2199" s="78">
        <v>1260.3151406421719</v>
      </c>
      <c r="I2199" s="84">
        <v>73.58</v>
      </c>
      <c r="J2199" s="53">
        <v>89.611041120794965</v>
      </c>
      <c r="K2199" s="78">
        <v>1217.872263125781</v>
      </c>
      <c r="L2199" s="84">
        <v>86.126666666666665</v>
      </c>
      <c r="M2199" s="53">
        <v>105.58544129111839</v>
      </c>
      <c r="N2199" s="78">
        <v>1225.9320530743678</v>
      </c>
    </row>
    <row r="2200" spans="1:14" ht="19.5" customHeight="1" outlineLevel="1" x14ac:dyDescent="0.2">
      <c r="A2200" s="101">
        <v>30</v>
      </c>
      <c r="B2200" s="81" t="s">
        <v>37</v>
      </c>
      <c r="C2200" s="84">
        <v>0.62</v>
      </c>
      <c r="D2200" s="53">
        <v>0.85157551201443504</v>
      </c>
      <c r="E2200" s="78">
        <v>1373.5088903458629</v>
      </c>
      <c r="F2200" s="84">
        <v>0.61</v>
      </c>
      <c r="G2200" s="53">
        <v>0.76680914496868291</v>
      </c>
      <c r="H2200" s="78">
        <v>1257.064172079808</v>
      </c>
      <c r="I2200" s="84">
        <v>0.68</v>
      </c>
      <c r="J2200" s="53">
        <v>0.92866236801243196</v>
      </c>
      <c r="K2200" s="78">
        <v>1365.6799529594587</v>
      </c>
      <c r="L2200" s="84">
        <v>0.63666666666666671</v>
      </c>
      <c r="M2200" s="53">
        <v>0.8490156749985166</v>
      </c>
      <c r="N2200" s="78">
        <v>1333.5324738196596</v>
      </c>
    </row>
    <row r="2201" spans="1:14" ht="19.5" customHeight="1" outlineLevel="1" x14ac:dyDescent="0.2">
      <c r="A2201" s="101">
        <v>31</v>
      </c>
      <c r="B2201" s="81" t="s">
        <v>38</v>
      </c>
      <c r="C2201" s="84">
        <v>1.02</v>
      </c>
      <c r="D2201" s="53">
        <v>1.5799947725254082</v>
      </c>
      <c r="E2201" s="78">
        <v>1549.0144828680473</v>
      </c>
      <c r="F2201" s="84">
        <v>0.96</v>
      </c>
      <c r="G2201" s="53">
        <v>1.5004901914779127</v>
      </c>
      <c r="H2201" s="78">
        <v>1563.0106161228259</v>
      </c>
      <c r="I2201" s="84">
        <v>0.73</v>
      </c>
      <c r="J2201" s="53">
        <v>1.2212330058492695</v>
      </c>
      <c r="K2201" s="78">
        <v>1672.9219258209173</v>
      </c>
      <c r="L2201" s="84">
        <v>0.90333333333333332</v>
      </c>
      <c r="M2201" s="53">
        <v>1.4339059899508635</v>
      </c>
      <c r="N2201" s="78">
        <v>1587.3498043736495</v>
      </c>
    </row>
    <row r="2202" spans="1:14" ht="19.5" customHeight="1" outlineLevel="1" x14ac:dyDescent="0.2">
      <c r="A2202" s="101">
        <v>32</v>
      </c>
      <c r="B2202" s="81" t="s">
        <v>39</v>
      </c>
      <c r="C2202" s="84">
        <v>0</v>
      </c>
      <c r="D2202" s="53">
        <v>0</v>
      </c>
      <c r="E2202" s="78">
        <v>0</v>
      </c>
      <c r="F2202" s="84">
        <v>0</v>
      </c>
      <c r="G2202" s="53">
        <v>0</v>
      </c>
      <c r="H2202" s="78">
        <v>0</v>
      </c>
      <c r="I2202" s="84">
        <v>0</v>
      </c>
      <c r="J2202" s="53">
        <v>0</v>
      </c>
      <c r="K2202" s="78">
        <v>0</v>
      </c>
      <c r="L2202" s="84">
        <v>0</v>
      </c>
      <c r="M2202" s="53">
        <v>0</v>
      </c>
      <c r="N2202" s="78">
        <v>0</v>
      </c>
    </row>
    <row r="2203" spans="1:14" ht="19.5" customHeight="1" outlineLevel="1" thickBot="1" x14ac:dyDescent="0.25">
      <c r="A2203" s="102">
        <v>33</v>
      </c>
      <c r="B2203" s="91" t="s">
        <v>40</v>
      </c>
      <c r="C2203" s="92">
        <v>62.74</v>
      </c>
      <c r="D2203" s="93">
        <v>104.08087382837593</v>
      </c>
      <c r="E2203" s="94">
        <v>1658.9237141915194</v>
      </c>
      <c r="F2203" s="92">
        <v>71.22</v>
      </c>
      <c r="G2203" s="93">
        <v>89.430819876310835</v>
      </c>
      <c r="H2203" s="94">
        <v>1255.6981167693182</v>
      </c>
      <c r="I2203" s="92">
        <v>67.239999999999995</v>
      </c>
      <c r="J2203" s="93">
        <v>107.93882945079785</v>
      </c>
      <c r="K2203" s="94">
        <v>1605.2770590541027</v>
      </c>
      <c r="L2203" s="92">
        <v>67.066666666666663</v>
      </c>
      <c r="M2203" s="93">
        <v>100.48350771849488</v>
      </c>
      <c r="N2203" s="94">
        <v>1498.2630375521105</v>
      </c>
    </row>
    <row r="2204" spans="1:14" ht="19.5" customHeight="1" thickBot="1" x14ac:dyDescent="0.25">
      <c r="A2204" s="151" t="s">
        <v>41</v>
      </c>
      <c r="B2204" s="152"/>
      <c r="C2204" s="96">
        <v>316.03000000000003</v>
      </c>
      <c r="D2204" s="97">
        <v>461.14613990236273</v>
      </c>
      <c r="E2204" s="98">
        <v>1459.1846973463364</v>
      </c>
      <c r="F2204" s="96">
        <v>426.59000000000003</v>
      </c>
      <c r="G2204" s="97">
        <v>661.50140007281618</v>
      </c>
      <c r="H2204" s="98">
        <v>1550.6725428932139</v>
      </c>
      <c r="I2204" s="96">
        <v>323.64000000000004</v>
      </c>
      <c r="J2204" s="97">
        <v>496.62488552580714</v>
      </c>
      <c r="K2204" s="98">
        <v>1534.4978541768851</v>
      </c>
      <c r="L2204" s="96">
        <v>355.42000000000007</v>
      </c>
      <c r="M2204" s="97">
        <v>539.75747516699539</v>
      </c>
      <c r="N2204" s="98">
        <v>1518.6468830313299</v>
      </c>
    </row>
    <row r="2205" spans="1:14" ht="34.5" customHeight="1" x14ac:dyDescent="0.2">
      <c r="A2205" s="153" t="s">
        <v>247</v>
      </c>
      <c r="B2205" s="154"/>
      <c r="C2205" s="154"/>
      <c r="D2205" s="154"/>
      <c r="E2205" s="154"/>
      <c r="F2205" s="154"/>
      <c r="G2205" s="154"/>
      <c r="H2205" s="154"/>
      <c r="I2205" s="154"/>
      <c r="J2205" s="154"/>
      <c r="K2205" s="154"/>
      <c r="L2205" s="154"/>
      <c r="M2205" s="154"/>
      <c r="N2205" s="154"/>
    </row>
    <row r="2206" spans="1:14" ht="19.5" customHeight="1" thickBot="1" x14ac:dyDescent="0.25">
      <c r="A2206" s="50"/>
      <c r="B2206" s="51" t="s">
        <v>100</v>
      </c>
      <c r="C2206" s="52"/>
      <c r="D2206" s="52"/>
      <c r="E2206" s="52"/>
      <c r="F2206" s="52"/>
      <c r="G2206" s="52"/>
      <c r="H2206" s="52"/>
      <c r="I2206" s="52"/>
      <c r="J2206" s="52"/>
      <c r="K2206" s="155" t="s">
        <v>1</v>
      </c>
      <c r="L2206" s="154"/>
      <c r="M2206" s="154"/>
      <c r="N2206" s="154"/>
    </row>
    <row r="2207" spans="1:14" ht="19.5" customHeight="1" x14ac:dyDescent="0.2">
      <c r="A2207" s="156" t="s">
        <v>2</v>
      </c>
      <c r="B2207" s="158" t="s">
        <v>3</v>
      </c>
      <c r="C2207" s="148" t="s">
        <v>243</v>
      </c>
      <c r="D2207" s="149"/>
      <c r="E2207" s="150"/>
      <c r="F2207" s="148" t="s">
        <v>244</v>
      </c>
      <c r="G2207" s="149"/>
      <c r="H2207" s="150"/>
      <c r="I2207" s="148" t="s">
        <v>246</v>
      </c>
      <c r="J2207" s="149"/>
      <c r="K2207" s="150"/>
      <c r="L2207" s="148" t="s">
        <v>4</v>
      </c>
      <c r="M2207" s="149"/>
      <c r="N2207" s="150"/>
    </row>
    <row r="2208" spans="1:14" ht="19.5" customHeight="1" thickBot="1" x14ac:dyDescent="0.25">
      <c r="A2208" s="157"/>
      <c r="B2208" s="159"/>
      <c r="C2208" s="85" t="s">
        <v>5</v>
      </c>
      <c r="D2208" s="79" t="s">
        <v>6</v>
      </c>
      <c r="E2208" s="80" t="s">
        <v>7</v>
      </c>
      <c r="F2208" s="85" t="s">
        <v>5</v>
      </c>
      <c r="G2208" s="79" t="s">
        <v>6</v>
      </c>
      <c r="H2208" s="80" t="s">
        <v>7</v>
      </c>
      <c r="I2208" s="85" t="s">
        <v>5</v>
      </c>
      <c r="J2208" s="79" t="s">
        <v>6</v>
      </c>
      <c r="K2208" s="80" t="s">
        <v>7</v>
      </c>
      <c r="L2208" s="85" t="s">
        <v>5</v>
      </c>
      <c r="M2208" s="79" t="s">
        <v>6</v>
      </c>
      <c r="N2208" s="80" t="s">
        <v>7</v>
      </c>
    </row>
    <row r="2209" spans="1:14" ht="19.5" customHeight="1" outlineLevel="1" x14ac:dyDescent="0.2">
      <c r="A2209" s="100">
        <v>1</v>
      </c>
      <c r="B2209" s="86" t="s">
        <v>8</v>
      </c>
      <c r="C2209" s="87">
        <v>242.49</v>
      </c>
      <c r="D2209" s="88">
        <v>334.77087315158144</v>
      </c>
      <c r="E2209" s="89">
        <v>1380.5553761045051</v>
      </c>
      <c r="F2209" s="87">
        <v>263.94</v>
      </c>
      <c r="G2209" s="88">
        <v>369.97877905231672</v>
      </c>
      <c r="H2209" s="89">
        <v>1401.7533494442553</v>
      </c>
      <c r="I2209" s="87">
        <v>259.89999999999998</v>
      </c>
      <c r="J2209" s="88">
        <v>488.75729281469449</v>
      </c>
      <c r="K2209" s="89">
        <v>1880.5590335309525</v>
      </c>
      <c r="L2209" s="87">
        <v>255.4433333333333</v>
      </c>
      <c r="M2209" s="88">
        <v>397.83564833953091</v>
      </c>
      <c r="N2209" s="89">
        <v>1557.4321049920959</v>
      </c>
    </row>
    <row r="2210" spans="1:14" ht="19.5" customHeight="1" outlineLevel="1" x14ac:dyDescent="0.2">
      <c r="A2210" s="101">
        <v>2</v>
      </c>
      <c r="B2210" s="81" t="s">
        <v>9</v>
      </c>
      <c r="C2210" s="84">
        <v>2989.45</v>
      </c>
      <c r="D2210" s="53">
        <v>7273.7952809004228</v>
      </c>
      <c r="E2210" s="78">
        <v>2433.1550221279576</v>
      </c>
      <c r="F2210" s="84">
        <v>3015.5299999999997</v>
      </c>
      <c r="G2210" s="53">
        <v>7479.9854373502858</v>
      </c>
      <c r="H2210" s="78">
        <v>2480.4878204993111</v>
      </c>
      <c r="I2210" s="84">
        <v>2832.7</v>
      </c>
      <c r="J2210" s="53">
        <v>7261.7607845088969</v>
      </c>
      <c r="K2210" s="78">
        <v>2563.5474227799969</v>
      </c>
      <c r="L2210" s="84">
        <v>2945.8933333333334</v>
      </c>
      <c r="M2210" s="53">
        <v>7338.5138342532018</v>
      </c>
      <c r="N2210" s="78">
        <v>2491.0996441101743</v>
      </c>
    </row>
    <row r="2211" spans="1:14" ht="19.5" customHeight="1" outlineLevel="1" x14ac:dyDescent="0.2">
      <c r="A2211" s="101">
        <v>3</v>
      </c>
      <c r="B2211" s="81" t="s">
        <v>10</v>
      </c>
      <c r="C2211" s="84">
        <v>96.56</v>
      </c>
      <c r="D2211" s="53">
        <v>258.05058155885536</v>
      </c>
      <c r="E2211" s="78">
        <v>2672.4376714877317</v>
      </c>
      <c r="F2211" s="84">
        <v>123.1</v>
      </c>
      <c r="G2211" s="53">
        <v>281.87831818316158</v>
      </c>
      <c r="H2211" s="78">
        <v>2289.8319917397371</v>
      </c>
      <c r="I2211" s="84">
        <v>140.70999999999998</v>
      </c>
      <c r="J2211" s="53">
        <v>270.43069155234514</v>
      </c>
      <c r="K2211" s="78">
        <v>1921.901013093207</v>
      </c>
      <c r="L2211" s="84">
        <v>120.12333333333333</v>
      </c>
      <c r="M2211" s="53">
        <v>270.11986376478734</v>
      </c>
      <c r="N2211" s="78">
        <v>2248.6877134455199</v>
      </c>
    </row>
    <row r="2212" spans="1:14" ht="19.5" customHeight="1" outlineLevel="1" x14ac:dyDescent="0.2">
      <c r="A2212" s="101">
        <v>4</v>
      </c>
      <c r="B2212" s="81" t="s">
        <v>11</v>
      </c>
      <c r="C2212" s="84">
        <v>145.15</v>
      </c>
      <c r="D2212" s="53">
        <v>405.3116216912631</v>
      </c>
      <c r="E2212" s="78">
        <v>2792.3639110662289</v>
      </c>
      <c r="F2212" s="84">
        <v>156.34</v>
      </c>
      <c r="G2212" s="53">
        <v>415.88084048903522</v>
      </c>
      <c r="H2212" s="78">
        <v>2660.105158558496</v>
      </c>
      <c r="I2212" s="84">
        <v>151.51999999999998</v>
      </c>
      <c r="J2212" s="53">
        <v>423.64244230823056</v>
      </c>
      <c r="K2212" s="78">
        <v>2795.9506488135598</v>
      </c>
      <c r="L2212" s="84">
        <v>151.00333333333333</v>
      </c>
      <c r="M2212" s="53">
        <v>414.944968162843</v>
      </c>
      <c r="N2212" s="78">
        <v>2747.9192611388912</v>
      </c>
    </row>
    <row r="2213" spans="1:14" ht="19.5" customHeight="1" outlineLevel="1" x14ac:dyDescent="0.2">
      <c r="A2213" s="101">
        <v>5</v>
      </c>
      <c r="B2213" s="81" t="s">
        <v>12</v>
      </c>
      <c r="C2213" s="84">
        <v>36.69</v>
      </c>
      <c r="D2213" s="53">
        <v>111.54652768540623</v>
      </c>
      <c r="E2213" s="78">
        <v>3040.2433274844984</v>
      </c>
      <c r="F2213" s="84">
        <v>68</v>
      </c>
      <c r="G2213" s="53">
        <v>209.92231620920077</v>
      </c>
      <c r="H2213" s="78">
        <v>3087.0928854294229</v>
      </c>
      <c r="I2213" s="84">
        <v>59.62</v>
      </c>
      <c r="J2213" s="53">
        <v>175.32489771788431</v>
      </c>
      <c r="K2213" s="78">
        <v>2940.7061006018839</v>
      </c>
      <c r="L2213" s="84">
        <v>54.77</v>
      </c>
      <c r="M2213" s="53">
        <v>165.59791387083044</v>
      </c>
      <c r="N2213" s="78">
        <v>3023.5149510832653</v>
      </c>
    </row>
    <row r="2214" spans="1:14" ht="19.5" customHeight="1" outlineLevel="1" x14ac:dyDescent="0.2">
      <c r="A2214" s="101">
        <v>6</v>
      </c>
      <c r="B2214" s="81" t="s">
        <v>13</v>
      </c>
      <c r="C2214" s="84">
        <v>62.519999999999996</v>
      </c>
      <c r="D2214" s="53">
        <v>177.92549399999999</v>
      </c>
      <c r="E2214" s="78">
        <v>2845.8972168905948</v>
      </c>
      <c r="F2214" s="84">
        <v>63.56</v>
      </c>
      <c r="G2214" s="53">
        <v>221.39443168139675</v>
      </c>
      <c r="H2214" s="78">
        <v>3483.2352372781111</v>
      </c>
      <c r="I2214" s="84">
        <v>63.76</v>
      </c>
      <c r="J2214" s="53">
        <v>211.35815772110021</v>
      </c>
      <c r="K2214" s="78">
        <v>3314.9020972569042</v>
      </c>
      <c r="L2214" s="84">
        <v>63.28</v>
      </c>
      <c r="M2214" s="53">
        <v>203.55936113416564</v>
      </c>
      <c r="N2214" s="78">
        <v>3216.8040634349813</v>
      </c>
    </row>
    <row r="2215" spans="1:14" ht="19.5" customHeight="1" outlineLevel="1" x14ac:dyDescent="0.2">
      <c r="A2215" s="101">
        <v>7</v>
      </c>
      <c r="B2215" s="81" t="s">
        <v>14</v>
      </c>
      <c r="C2215" s="84">
        <v>85.97</v>
      </c>
      <c r="D2215" s="53">
        <v>267.43902731048388</v>
      </c>
      <c r="E2215" s="78">
        <v>3110.8413087179697</v>
      </c>
      <c r="F2215" s="84">
        <v>97.570000000000007</v>
      </c>
      <c r="G2215" s="53">
        <v>305.66814224380562</v>
      </c>
      <c r="H2215" s="78">
        <v>3132.8086731967369</v>
      </c>
      <c r="I2215" s="84">
        <v>77.509999999999991</v>
      </c>
      <c r="J2215" s="53">
        <v>240.27213573341481</v>
      </c>
      <c r="K2215" s="78">
        <v>3099.8856371231436</v>
      </c>
      <c r="L2215" s="84">
        <v>87.016666666666666</v>
      </c>
      <c r="M2215" s="53">
        <v>271.1264350959014</v>
      </c>
      <c r="N2215" s="78">
        <v>3115.7989093572278</v>
      </c>
    </row>
    <row r="2216" spans="1:14" ht="19.5" customHeight="1" outlineLevel="1" x14ac:dyDescent="0.2">
      <c r="A2216" s="101">
        <v>8</v>
      </c>
      <c r="B2216" s="81" t="s">
        <v>15</v>
      </c>
      <c r="C2216" s="84">
        <v>14.06</v>
      </c>
      <c r="D2216" s="53">
        <v>43.69521285918168</v>
      </c>
      <c r="E2216" s="78">
        <v>3107.7676286757951</v>
      </c>
      <c r="F2216" s="84">
        <v>20.93</v>
      </c>
      <c r="G2216" s="53">
        <v>56.680796180751152</v>
      </c>
      <c r="H2216" s="78">
        <v>2708.1125743311586</v>
      </c>
      <c r="I2216" s="84">
        <v>19.75</v>
      </c>
      <c r="J2216" s="53">
        <v>60.149080271688007</v>
      </c>
      <c r="K2216" s="78">
        <v>3045.5230517310383</v>
      </c>
      <c r="L2216" s="84">
        <v>18.246666666666666</v>
      </c>
      <c r="M2216" s="53">
        <v>53.508363103873613</v>
      </c>
      <c r="N2216" s="78">
        <v>2932.5007181516412</v>
      </c>
    </row>
    <row r="2217" spans="1:14" ht="19.5" customHeight="1" outlineLevel="1" x14ac:dyDescent="0.2">
      <c r="A2217" s="101">
        <v>9</v>
      </c>
      <c r="B2217" s="81" t="s">
        <v>16</v>
      </c>
      <c r="C2217" s="84">
        <v>22.97</v>
      </c>
      <c r="D2217" s="53">
        <v>43.197260725785895</v>
      </c>
      <c r="E2217" s="78">
        <v>1880.5947203215455</v>
      </c>
      <c r="F2217" s="84">
        <v>40.86</v>
      </c>
      <c r="G2217" s="53">
        <v>76.67685228371883</v>
      </c>
      <c r="H2217" s="78">
        <v>1876.5749457591492</v>
      </c>
      <c r="I2217" s="84">
        <v>15.82</v>
      </c>
      <c r="J2217" s="53">
        <v>30.26407183194641</v>
      </c>
      <c r="K2217" s="78">
        <v>1913.0260323607085</v>
      </c>
      <c r="L2217" s="84">
        <v>26.55</v>
      </c>
      <c r="M2217" s="53">
        <v>50.046061613817045</v>
      </c>
      <c r="N2217" s="78">
        <v>1884.9740720835046</v>
      </c>
    </row>
    <row r="2218" spans="1:14" ht="19.5" customHeight="1" outlineLevel="1" x14ac:dyDescent="0.2">
      <c r="A2218" s="101">
        <v>10</v>
      </c>
      <c r="B2218" s="81" t="s">
        <v>17</v>
      </c>
      <c r="C2218" s="84">
        <v>26.67</v>
      </c>
      <c r="D2218" s="53">
        <v>75.231116849193398</v>
      </c>
      <c r="E2218" s="78">
        <v>2820.8142800597448</v>
      </c>
      <c r="F2218" s="84">
        <v>10.02</v>
      </c>
      <c r="G2218" s="53">
        <v>34.854934080644838</v>
      </c>
      <c r="H2218" s="78">
        <v>3478.5363353936964</v>
      </c>
      <c r="I2218" s="84">
        <v>8.1199999999999992</v>
      </c>
      <c r="J2218" s="53">
        <v>23.855012995113327</v>
      </c>
      <c r="K2218" s="78">
        <v>2937.8094821568138</v>
      </c>
      <c r="L2218" s="84">
        <v>14.936666666666666</v>
      </c>
      <c r="M2218" s="53">
        <v>44.647021308317186</v>
      </c>
      <c r="N2218" s="78">
        <v>2989.088683886444</v>
      </c>
    </row>
    <row r="2219" spans="1:14" ht="19.5" customHeight="1" outlineLevel="1" x14ac:dyDescent="0.2">
      <c r="A2219" s="101">
        <v>11</v>
      </c>
      <c r="B2219" s="81" t="s">
        <v>18</v>
      </c>
      <c r="C2219" s="84">
        <v>12.66</v>
      </c>
      <c r="D2219" s="53">
        <v>34.495140989984662</v>
      </c>
      <c r="E2219" s="78">
        <v>2724.7346753542388</v>
      </c>
      <c r="F2219" s="84">
        <v>11.71</v>
      </c>
      <c r="G2219" s="53">
        <v>29.972182494653641</v>
      </c>
      <c r="H2219" s="78">
        <v>2559.5373607731544</v>
      </c>
      <c r="I2219" s="84">
        <v>8.89</v>
      </c>
      <c r="J2219" s="53">
        <v>24.536817738412807</v>
      </c>
      <c r="K2219" s="78">
        <v>2760.0469896977283</v>
      </c>
      <c r="L2219" s="84">
        <v>11.086666666666668</v>
      </c>
      <c r="M2219" s="53">
        <v>29.668047074350369</v>
      </c>
      <c r="N2219" s="78">
        <v>2676.0114619077299</v>
      </c>
    </row>
    <row r="2220" spans="1:14" ht="19.5" customHeight="1" outlineLevel="1" x14ac:dyDescent="0.2">
      <c r="A2220" s="101">
        <v>12</v>
      </c>
      <c r="B2220" s="81" t="s">
        <v>19</v>
      </c>
      <c r="C2220" s="84">
        <v>6.15</v>
      </c>
      <c r="D2220" s="53">
        <v>18.266449733001604</v>
      </c>
      <c r="E2220" s="78">
        <v>2970.1544281303422</v>
      </c>
      <c r="F2220" s="84">
        <v>9.7100000000000009</v>
      </c>
      <c r="G2220" s="53">
        <v>29.378530024836667</v>
      </c>
      <c r="H2220" s="78">
        <v>3025.5952651737039</v>
      </c>
      <c r="I2220" s="84">
        <v>10.360000000000001</v>
      </c>
      <c r="J2220" s="53">
        <v>31.164384684392871</v>
      </c>
      <c r="K2220" s="78">
        <v>3008.1452398062611</v>
      </c>
      <c r="L2220" s="84">
        <v>8.74</v>
      </c>
      <c r="M2220" s="53">
        <v>26.269788147410381</v>
      </c>
      <c r="N2220" s="78">
        <v>3005.6965843718972</v>
      </c>
    </row>
    <row r="2221" spans="1:14" ht="19.5" customHeight="1" outlineLevel="1" x14ac:dyDescent="0.2">
      <c r="A2221" s="101">
        <v>13</v>
      </c>
      <c r="B2221" s="81" t="s">
        <v>20</v>
      </c>
      <c r="C2221" s="84">
        <v>3.24</v>
      </c>
      <c r="D2221" s="53">
        <v>9.6233003471423082</v>
      </c>
      <c r="E2221" s="78">
        <v>2970.1544281303422</v>
      </c>
      <c r="F2221" s="84">
        <v>1.46</v>
      </c>
      <c r="G2221" s="53">
        <v>4.180084823652285</v>
      </c>
      <c r="H2221" s="78">
        <v>2863.0717970221131</v>
      </c>
      <c r="I2221" s="84">
        <v>5.27</v>
      </c>
      <c r="J2221" s="53">
        <v>15.992213593134487</v>
      </c>
      <c r="K2221" s="78">
        <v>3034.5756343708708</v>
      </c>
      <c r="L2221" s="84">
        <v>3.3233333333333328</v>
      </c>
      <c r="M2221" s="53">
        <v>9.9318662546430261</v>
      </c>
      <c r="N2221" s="78">
        <v>2988.5254527511615</v>
      </c>
    </row>
    <row r="2222" spans="1:14" ht="19.5" customHeight="1" outlineLevel="1" x14ac:dyDescent="0.2">
      <c r="A2222" s="101">
        <v>14</v>
      </c>
      <c r="B2222" s="81" t="s">
        <v>21</v>
      </c>
      <c r="C2222" s="84">
        <v>3.85</v>
      </c>
      <c r="D2222" s="53">
        <v>11.435094548301819</v>
      </c>
      <c r="E2222" s="78">
        <v>2970.1544281303422</v>
      </c>
      <c r="F2222" s="84">
        <v>2.2000000000000002</v>
      </c>
      <c r="G2222" s="53">
        <v>6.6563095833821491</v>
      </c>
      <c r="H2222" s="78">
        <v>3025.5952651737039</v>
      </c>
      <c r="I2222" s="84">
        <v>3.6</v>
      </c>
      <c r="J2222" s="53">
        <v>10.924472283735135</v>
      </c>
      <c r="K2222" s="78">
        <v>3034.5756343708708</v>
      </c>
      <c r="L2222" s="84">
        <v>3.2166666666666668</v>
      </c>
      <c r="M2222" s="53">
        <v>9.6719588051397007</v>
      </c>
      <c r="N2222" s="78">
        <v>3006.8265715460207</v>
      </c>
    </row>
    <row r="2223" spans="1:14" ht="19.5" customHeight="1" outlineLevel="1" x14ac:dyDescent="0.2">
      <c r="A2223" s="101">
        <v>15</v>
      </c>
      <c r="B2223" s="81" t="s">
        <v>22</v>
      </c>
      <c r="C2223" s="84">
        <v>31.97</v>
      </c>
      <c r="D2223" s="53">
        <v>94.776586255587887</v>
      </c>
      <c r="E2223" s="78">
        <v>2964.5475838469779</v>
      </c>
      <c r="F2223" s="84">
        <v>32.25</v>
      </c>
      <c r="G2223" s="53">
        <v>78.675865360214942</v>
      </c>
      <c r="H2223" s="78">
        <v>2439.561716595812</v>
      </c>
      <c r="I2223" s="84">
        <v>28.87</v>
      </c>
      <c r="J2223" s="53">
        <v>68.479640000000003</v>
      </c>
      <c r="K2223" s="78">
        <v>2372</v>
      </c>
      <c r="L2223" s="84">
        <v>31.03</v>
      </c>
      <c r="M2223" s="53">
        <v>80.644030538600944</v>
      </c>
      <c r="N2223" s="78">
        <v>2598.9052703384123</v>
      </c>
    </row>
    <row r="2224" spans="1:14" ht="19.5" customHeight="1" outlineLevel="1" x14ac:dyDescent="0.2">
      <c r="A2224" s="101">
        <v>16</v>
      </c>
      <c r="B2224" s="81" t="s">
        <v>23</v>
      </c>
      <c r="C2224" s="84">
        <v>82.4</v>
      </c>
      <c r="D2224" s="53">
        <v>287.52705822797651</v>
      </c>
      <c r="E2224" s="78">
        <v>3489.4060464560253</v>
      </c>
      <c r="F2224" s="84">
        <v>87</v>
      </c>
      <c r="G2224" s="53">
        <v>307.02420308483869</v>
      </c>
      <c r="H2224" s="78">
        <v>3529.0138285613643</v>
      </c>
      <c r="I2224" s="84">
        <v>88.36999999999999</v>
      </c>
      <c r="J2224" s="53">
        <v>298.07142103310684</v>
      </c>
      <c r="K2224" s="78">
        <v>3372.9933352167805</v>
      </c>
      <c r="L2224" s="84">
        <v>85.923333333333332</v>
      </c>
      <c r="M2224" s="53">
        <v>297.54089411530737</v>
      </c>
      <c r="N2224" s="78">
        <v>3462.864888644614</v>
      </c>
    </row>
    <row r="2225" spans="1:14" ht="19.5" customHeight="1" outlineLevel="1" x14ac:dyDescent="0.2">
      <c r="A2225" s="101">
        <v>17</v>
      </c>
      <c r="B2225" s="81" t="s">
        <v>24</v>
      </c>
      <c r="C2225" s="84">
        <v>58.63</v>
      </c>
      <c r="D2225" s="53">
        <v>156.93451670141766</v>
      </c>
      <c r="E2225" s="78">
        <v>2676.6931042370397</v>
      </c>
      <c r="F2225" s="84">
        <v>53.33</v>
      </c>
      <c r="G2225" s="53">
        <v>121.80917152751489</v>
      </c>
      <c r="H2225" s="78">
        <v>2284.064720185916</v>
      </c>
      <c r="I2225" s="84">
        <v>53.92</v>
      </c>
      <c r="J2225" s="53">
        <v>150.2423943247156</v>
      </c>
      <c r="K2225" s="78">
        <v>2786.3945534999184</v>
      </c>
      <c r="L2225" s="84">
        <v>55.293333333333329</v>
      </c>
      <c r="M2225" s="53">
        <v>142.99536085121608</v>
      </c>
      <c r="N2225" s="78">
        <v>2586.1229958623599</v>
      </c>
    </row>
    <row r="2226" spans="1:14" ht="19.5" customHeight="1" outlineLevel="1" x14ac:dyDescent="0.2">
      <c r="A2226" s="101">
        <v>18</v>
      </c>
      <c r="B2226" s="81" t="s">
        <v>25</v>
      </c>
      <c r="C2226" s="84">
        <v>209.38</v>
      </c>
      <c r="D2226" s="53">
        <v>547.94354039381813</v>
      </c>
      <c r="E2226" s="78">
        <v>2616.9812799399092</v>
      </c>
      <c r="F2226" s="84">
        <v>192.42000000000002</v>
      </c>
      <c r="G2226" s="53">
        <v>536.165081846578</v>
      </c>
      <c r="H2226" s="78">
        <v>2786.4311498107163</v>
      </c>
      <c r="I2226" s="84">
        <v>170.46</v>
      </c>
      <c r="J2226" s="53">
        <v>513.15296393306221</v>
      </c>
      <c r="K2226" s="78">
        <v>3010.4010555735199</v>
      </c>
      <c r="L2226" s="84">
        <v>190.75333333333333</v>
      </c>
      <c r="M2226" s="53">
        <v>532.42052872448608</v>
      </c>
      <c r="N2226" s="78">
        <v>2791.1466574170104</v>
      </c>
    </row>
    <row r="2227" spans="1:14" ht="19.5" customHeight="1" outlineLevel="1" x14ac:dyDescent="0.2">
      <c r="A2227" s="101">
        <v>19</v>
      </c>
      <c r="B2227" s="81" t="s">
        <v>26</v>
      </c>
      <c r="C2227" s="84">
        <v>6.53</v>
      </c>
      <c r="D2227" s="53">
        <v>18.61835489815477</v>
      </c>
      <c r="E2227" s="78">
        <v>2851.2028940512669</v>
      </c>
      <c r="F2227" s="84">
        <v>7.91</v>
      </c>
      <c r="G2227" s="53">
        <v>23.108207947993087</v>
      </c>
      <c r="H2227" s="78">
        <v>2921.3916495566482</v>
      </c>
      <c r="I2227" s="84">
        <v>11.91</v>
      </c>
      <c r="J2227" s="53">
        <v>35.415580494528783</v>
      </c>
      <c r="K2227" s="78">
        <v>2973.6003773743728</v>
      </c>
      <c r="L2227" s="84">
        <v>8.7833333333333332</v>
      </c>
      <c r="M2227" s="53">
        <v>25.714047780225545</v>
      </c>
      <c r="N2227" s="78">
        <v>2927.5955727012006</v>
      </c>
    </row>
    <row r="2228" spans="1:14" ht="19.5" customHeight="1" outlineLevel="1" x14ac:dyDescent="0.2">
      <c r="A2228" s="101">
        <v>20</v>
      </c>
      <c r="B2228" s="81" t="s">
        <v>27</v>
      </c>
      <c r="C2228" s="84">
        <v>407.06</v>
      </c>
      <c r="D2228" s="53">
        <v>1269.9093198367757</v>
      </c>
      <c r="E2228" s="78">
        <v>3119.7104108406029</v>
      </c>
      <c r="F2228" s="84">
        <v>414.89</v>
      </c>
      <c r="G2228" s="53">
        <v>1327.3079938066876</v>
      </c>
      <c r="H2228" s="78">
        <v>3199.1804907486026</v>
      </c>
      <c r="I2228" s="84">
        <v>418.36</v>
      </c>
      <c r="J2228" s="53">
        <v>1271.1613533564553</v>
      </c>
      <c r="K2228" s="78">
        <v>3038.4390318301348</v>
      </c>
      <c r="L2228" s="84">
        <v>413.43666666666667</v>
      </c>
      <c r="M2228" s="53">
        <v>1289.4595556666393</v>
      </c>
      <c r="N2228" s="78">
        <v>3118.8804951987145</v>
      </c>
    </row>
    <row r="2229" spans="1:14" ht="19.5" customHeight="1" outlineLevel="1" x14ac:dyDescent="0.2">
      <c r="A2229" s="101">
        <v>21</v>
      </c>
      <c r="B2229" s="81" t="s">
        <v>28</v>
      </c>
      <c r="C2229" s="84">
        <v>335.96999999999997</v>
      </c>
      <c r="D2229" s="53">
        <v>931.66454044929787</v>
      </c>
      <c r="E2229" s="78">
        <v>2773.0587268187573</v>
      </c>
      <c r="F2229" s="84">
        <v>300</v>
      </c>
      <c r="G2229" s="53">
        <v>763.88590211602957</v>
      </c>
      <c r="H2229" s="78">
        <v>2546.286340386765</v>
      </c>
      <c r="I2229" s="84">
        <v>310.84999999999997</v>
      </c>
      <c r="J2229" s="53">
        <v>878.53838461478347</v>
      </c>
      <c r="K2229" s="78">
        <v>2826.2454065136999</v>
      </c>
      <c r="L2229" s="84">
        <v>315.60666666666663</v>
      </c>
      <c r="M2229" s="53">
        <v>858.02960906003693</v>
      </c>
      <c r="N2229" s="78">
        <v>2718.6675684714214</v>
      </c>
    </row>
    <row r="2230" spans="1:14" ht="19.5" customHeight="1" outlineLevel="1" x14ac:dyDescent="0.2">
      <c r="A2230" s="101">
        <v>22</v>
      </c>
      <c r="B2230" s="81" t="s">
        <v>29</v>
      </c>
      <c r="C2230" s="84">
        <v>19.48</v>
      </c>
      <c r="D2230" s="53">
        <v>37.575392816709773</v>
      </c>
      <c r="E2230" s="78">
        <v>1928.9216025005014</v>
      </c>
      <c r="F2230" s="84">
        <v>23.62</v>
      </c>
      <c r="G2230" s="53">
        <v>47.67675473946224</v>
      </c>
      <c r="H2230" s="78">
        <v>2018.4908865140658</v>
      </c>
      <c r="I2230" s="84">
        <v>30.41</v>
      </c>
      <c r="J2230" s="53">
        <v>69.478805910052699</v>
      </c>
      <c r="K2230" s="78">
        <v>2284.7354787916047</v>
      </c>
      <c r="L2230" s="84">
        <v>24.503333333333334</v>
      </c>
      <c r="M2230" s="53">
        <v>51.576984488741573</v>
      </c>
      <c r="N2230" s="78">
        <v>2104.896659858859</v>
      </c>
    </row>
    <row r="2231" spans="1:14" ht="19.5" customHeight="1" outlineLevel="1" x14ac:dyDescent="0.2">
      <c r="A2231" s="101">
        <v>23</v>
      </c>
      <c r="B2231" s="81" t="s">
        <v>30</v>
      </c>
      <c r="C2231" s="84">
        <v>41.85</v>
      </c>
      <c r="D2231" s="53">
        <v>102.39885802123551</v>
      </c>
      <c r="E2231" s="78">
        <v>2446.8066432792239</v>
      </c>
      <c r="F2231" s="84">
        <v>53.28</v>
      </c>
      <c r="G2231" s="53">
        <v>136.31839792100746</v>
      </c>
      <c r="H2231" s="78">
        <v>2558.5284895083978</v>
      </c>
      <c r="I2231" s="84">
        <v>50.949999999999996</v>
      </c>
      <c r="J2231" s="53">
        <v>116.91617859153816</v>
      </c>
      <c r="K2231" s="78">
        <v>2294.7238192647337</v>
      </c>
      <c r="L2231" s="84">
        <v>48.693333333333328</v>
      </c>
      <c r="M2231" s="53">
        <v>118.54447817792703</v>
      </c>
      <c r="N2231" s="78">
        <v>2434.5114631282936</v>
      </c>
    </row>
    <row r="2232" spans="1:14" ht="19.5" customHeight="1" outlineLevel="1" x14ac:dyDescent="0.2">
      <c r="A2232" s="101">
        <v>24</v>
      </c>
      <c r="B2232" s="81" t="s">
        <v>31</v>
      </c>
      <c r="C2232" s="84">
        <v>0.47</v>
      </c>
      <c r="D2232" s="53">
        <v>1.3959725812212607</v>
      </c>
      <c r="E2232" s="78">
        <v>2970.1544281303422</v>
      </c>
      <c r="F2232" s="84">
        <v>0.26</v>
      </c>
      <c r="G2232" s="53">
        <v>0.78665476894516306</v>
      </c>
      <c r="H2232" s="78">
        <v>3025.5952651737039</v>
      </c>
      <c r="I2232" s="84">
        <v>0.36</v>
      </c>
      <c r="J2232" s="53">
        <v>1.0924472283735136</v>
      </c>
      <c r="K2232" s="78">
        <v>3034.5756343708713</v>
      </c>
      <c r="L2232" s="84">
        <v>0.36333333333333329</v>
      </c>
      <c r="M2232" s="53">
        <v>1.0916915261799793</v>
      </c>
      <c r="N2232" s="78">
        <v>3004.6555766421452</v>
      </c>
    </row>
    <row r="2233" spans="1:14" ht="19.5" customHeight="1" outlineLevel="1" x14ac:dyDescent="0.2">
      <c r="A2233" s="101">
        <v>25</v>
      </c>
      <c r="B2233" s="81" t="s">
        <v>32</v>
      </c>
      <c r="C2233" s="84">
        <v>67.06</v>
      </c>
      <c r="D2233" s="53">
        <v>164.78603134052889</v>
      </c>
      <c r="E2233" s="78">
        <v>2457.2924446842958</v>
      </c>
      <c r="F2233" s="84">
        <v>74.650000000000006</v>
      </c>
      <c r="G2233" s="53">
        <v>175.95707183129545</v>
      </c>
      <c r="H2233" s="78">
        <v>2357.0940633797109</v>
      </c>
      <c r="I2233" s="84">
        <v>75.430000000000007</v>
      </c>
      <c r="J2233" s="53">
        <v>187.42222671788556</v>
      </c>
      <c r="K2233" s="78">
        <v>2484.7173103259383</v>
      </c>
      <c r="L2233" s="84">
        <v>72.38000000000001</v>
      </c>
      <c r="M2233" s="53">
        <v>176.05510996323665</v>
      </c>
      <c r="N2233" s="78">
        <v>2432.3723399176101</v>
      </c>
    </row>
    <row r="2234" spans="1:14" ht="19.5" customHeight="1" outlineLevel="1" x14ac:dyDescent="0.2">
      <c r="A2234" s="101">
        <v>26</v>
      </c>
      <c r="B2234" s="81" t="s">
        <v>33</v>
      </c>
      <c r="C2234" s="84">
        <v>3.16</v>
      </c>
      <c r="D2234" s="53">
        <v>9.3856879928918833</v>
      </c>
      <c r="E2234" s="78">
        <v>2970.1544281303422</v>
      </c>
      <c r="F2234" s="84">
        <v>1.65</v>
      </c>
      <c r="G2234" s="53">
        <v>4.9922321875366116</v>
      </c>
      <c r="H2234" s="78">
        <v>3025.5952651737043</v>
      </c>
      <c r="I2234" s="84">
        <v>1.18</v>
      </c>
      <c r="J2234" s="53">
        <v>3.5807992485576272</v>
      </c>
      <c r="K2234" s="78">
        <v>3034.5756343708708</v>
      </c>
      <c r="L2234" s="84">
        <v>1.9966666666666668</v>
      </c>
      <c r="M2234" s="53">
        <v>5.9862398096620408</v>
      </c>
      <c r="N2234" s="78">
        <v>2998.1167661078666</v>
      </c>
    </row>
    <row r="2235" spans="1:14" ht="19.5" customHeight="1" outlineLevel="1" x14ac:dyDescent="0.2">
      <c r="A2235" s="101">
        <v>27</v>
      </c>
      <c r="B2235" s="81" t="s">
        <v>34</v>
      </c>
      <c r="C2235" s="84">
        <v>3.69</v>
      </c>
      <c r="D2235" s="53">
        <v>10.840369298641521</v>
      </c>
      <c r="E2235" s="78">
        <v>2937.7694576264284</v>
      </c>
      <c r="F2235" s="84">
        <v>2.46</v>
      </c>
      <c r="G2235" s="53">
        <v>7.4429643523273112</v>
      </c>
      <c r="H2235" s="78">
        <v>3025.5952651737039</v>
      </c>
      <c r="I2235" s="84">
        <v>2.9699999999999998</v>
      </c>
      <c r="J2235" s="53">
        <v>8.5364828728826101</v>
      </c>
      <c r="K2235" s="78">
        <v>2874.2366575362325</v>
      </c>
      <c r="L2235" s="84">
        <v>3.0400000000000005</v>
      </c>
      <c r="M2235" s="53">
        <v>8.9399388412838139</v>
      </c>
      <c r="N2235" s="78">
        <v>2940.7693556854647</v>
      </c>
    </row>
    <row r="2236" spans="1:14" ht="19.5" customHeight="1" outlineLevel="1" x14ac:dyDescent="0.2">
      <c r="A2236" s="101">
        <v>28</v>
      </c>
      <c r="B2236" s="81" t="s">
        <v>35</v>
      </c>
      <c r="C2236" s="84">
        <v>2.85</v>
      </c>
      <c r="D2236" s="53">
        <v>8.1661887672728728</v>
      </c>
      <c r="E2236" s="78">
        <v>2865.3293920255692</v>
      </c>
      <c r="F2236" s="84">
        <v>2.77</v>
      </c>
      <c r="G2236" s="53">
        <v>8.3808988845311596</v>
      </c>
      <c r="H2236" s="78">
        <v>3025.5952651737039</v>
      </c>
      <c r="I2236" s="84">
        <v>2.7</v>
      </c>
      <c r="J2236" s="53">
        <v>8.1933542128013528</v>
      </c>
      <c r="K2236" s="78">
        <v>3034.5756343708708</v>
      </c>
      <c r="L2236" s="84">
        <v>2.7733333333333334</v>
      </c>
      <c r="M2236" s="53">
        <v>8.2468139548684629</v>
      </c>
      <c r="N2236" s="78">
        <v>2973.6108010343014</v>
      </c>
    </row>
    <row r="2237" spans="1:14" ht="19.5" customHeight="1" outlineLevel="1" x14ac:dyDescent="0.2">
      <c r="A2237" s="101">
        <v>29</v>
      </c>
      <c r="B2237" s="81" t="s">
        <v>36</v>
      </c>
      <c r="C2237" s="84">
        <v>0.28000000000000003</v>
      </c>
      <c r="D2237" s="53">
        <v>0.83164323987649591</v>
      </c>
      <c r="E2237" s="78">
        <v>2970.1544281303422</v>
      </c>
      <c r="F2237" s="84">
        <v>0.45</v>
      </c>
      <c r="G2237" s="53">
        <v>1.3490292238807289</v>
      </c>
      <c r="H2237" s="78">
        <v>2997.8427197349533</v>
      </c>
      <c r="I2237" s="84">
        <v>0.05</v>
      </c>
      <c r="J2237" s="53">
        <v>9.2202936568684155E-2</v>
      </c>
      <c r="K2237" s="78">
        <v>1844.058731373683</v>
      </c>
      <c r="L2237" s="84">
        <v>0.26</v>
      </c>
      <c r="M2237" s="53">
        <v>0.7576251334419698</v>
      </c>
      <c r="N2237" s="78">
        <v>2913.9428209306529</v>
      </c>
    </row>
    <row r="2238" spans="1:14" ht="19.5" customHeight="1" outlineLevel="1" x14ac:dyDescent="0.2">
      <c r="A2238" s="101">
        <v>30</v>
      </c>
      <c r="B2238" s="81" t="s">
        <v>37</v>
      </c>
      <c r="C2238" s="84">
        <v>0</v>
      </c>
      <c r="D2238" s="53">
        <v>0</v>
      </c>
      <c r="E2238" s="78">
        <v>0</v>
      </c>
      <c r="F2238" s="84">
        <v>0</v>
      </c>
      <c r="G2238" s="53">
        <v>0</v>
      </c>
      <c r="H2238" s="78">
        <v>0</v>
      </c>
      <c r="I2238" s="84">
        <v>0</v>
      </c>
      <c r="J2238" s="53">
        <v>0</v>
      </c>
      <c r="K2238" s="78">
        <v>0</v>
      </c>
      <c r="L2238" s="84">
        <v>0</v>
      </c>
      <c r="M2238" s="53">
        <v>0</v>
      </c>
      <c r="N2238" s="78">
        <v>0</v>
      </c>
    </row>
    <row r="2239" spans="1:14" ht="19.5" customHeight="1" outlineLevel="1" x14ac:dyDescent="0.2">
      <c r="A2239" s="101">
        <v>31</v>
      </c>
      <c r="B2239" s="81" t="s">
        <v>38</v>
      </c>
      <c r="C2239" s="84">
        <v>0</v>
      </c>
      <c r="D2239" s="53">
        <v>0</v>
      </c>
      <c r="E2239" s="78">
        <v>0</v>
      </c>
      <c r="F2239" s="84">
        <v>0</v>
      </c>
      <c r="G2239" s="53">
        <v>0</v>
      </c>
      <c r="H2239" s="78">
        <v>0</v>
      </c>
      <c r="I2239" s="84">
        <v>0</v>
      </c>
      <c r="J2239" s="53">
        <v>0</v>
      </c>
      <c r="K2239" s="78">
        <v>0</v>
      </c>
      <c r="L2239" s="84">
        <v>0</v>
      </c>
      <c r="M2239" s="53">
        <v>0</v>
      </c>
      <c r="N2239" s="78">
        <v>0</v>
      </c>
    </row>
    <row r="2240" spans="1:14" ht="19.5" customHeight="1" outlineLevel="1" x14ac:dyDescent="0.2">
      <c r="A2240" s="101">
        <v>32</v>
      </c>
      <c r="B2240" s="81" t="s">
        <v>39</v>
      </c>
      <c r="C2240" s="84">
        <v>0</v>
      </c>
      <c r="D2240" s="53">
        <v>0</v>
      </c>
      <c r="E2240" s="78">
        <v>0</v>
      </c>
      <c r="F2240" s="84">
        <v>0</v>
      </c>
      <c r="G2240" s="53">
        <v>0</v>
      </c>
      <c r="H2240" s="78">
        <v>0</v>
      </c>
      <c r="I2240" s="84">
        <v>0</v>
      </c>
      <c r="J2240" s="53">
        <v>0</v>
      </c>
      <c r="K2240" s="78">
        <v>0</v>
      </c>
      <c r="L2240" s="84">
        <v>0</v>
      </c>
      <c r="M2240" s="53">
        <v>0</v>
      </c>
      <c r="N2240" s="78">
        <v>0</v>
      </c>
    </row>
    <row r="2241" spans="1:14" ht="19.5" customHeight="1" outlineLevel="1" thickBot="1" x14ac:dyDescent="0.25">
      <c r="A2241" s="102">
        <v>33</v>
      </c>
      <c r="B2241" s="91" t="s">
        <v>40</v>
      </c>
      <c r="C2241" s="92">
        <v>0.44</v>
      </c>
      <c r="D2241" s="93">
        <v>1.3068679483773507</v>
      </c>
      <c r="E2241" s="94">
        <v>2970.1544281303422</v>
      </c>
      <c r="F2241" s="92">
        <v>0.37</v>
      </c>
      <c r="G2241" s="93">
        <v>1.1194702481142704</v>
      </c>
      <c r="H2241" s="94">
        <v>3025.5952651737039</v>
      </c>
      <c r="I2241" s="92">
        <v>0.48</v>
      </c>
      <c r="J2241" s="93">
        <v>1.4565963044980179</v>
      </c>
      <c r="K2241" s="94">
        <v>3034.5756343708708</v>
      </c>
      <c r="L2241" s="92">
        <v>0.43</v>
      </c>
      <c r="M2241" s="93">
        <v>1.2943115003298795</v>
      </c>
      <c r="N2241" s="94">
        <v>3010.026744953208</v>
      </c>
    </row>
    <row r="2242" spans="1:14" ht="19.5" customHeight="1" thickBot="1" x14ac:dyDescent="0.25">
      <c r="A2242" s="151" t="s">
        <v>41</v>
      </c>
      <c r="B2242" s="152"/>
      <c r="C2242" s="96">
        <v>5019.6499999999987</v>
      </c>
      <c r="D2242" s="97">
        <v>12708.843911120393</v>
      </c>
      <c r="E2242" s="98">
        <v>2531.8187345971128</v>
      </c>
      <c r="F2242" s="96">
        <v>5132.2399999999989</v>
      </c>
      <c r="G2242" s="97">
        <v>13065.107854527798</v>
      </c>
      <c r="H2242" s="98">
        <v>2545.6930803173273</v>
      </c>
      <c r="I2242" s="96">
        <v>4904.8</v>
      </c>
      <c r="J2242" s="97">
        <v>12880.263287534797</v>
      </c>
      <c r="K2242" s="98">
        <v>2626.0527009327184</v>
      </c>
      <c r="L2242" s="96">
        <v>5018.8966666666665</v>
      </c>
      <c r="M2242" s="97">
        <v>12884.738351060996</v>
      </c>
      <c r="N2242" s="98">
        <v>2567.2451948723783</v>
      </c>
    </row>
    <row r="2243" spans="1:14" ht="34.5" customHeight="1" x14ac:dyDescent="0.2">
      <c r="A2243" s="153" t="s">
        <v>247</v>
      </c>
      <c r="B2243" s="154"/>
      <c r="C2243" s="154"/>
      <c r="D2243" s="154"/>
      <c r="E2243" s="154"/>
      <c r="F2243" s="154"/>
      <c r="G2243" s="154"/>
      <c r="H2243" s="154"/>
      <c r="I2243" s="154"/>
      <c r="J2243" s="154"/>
      <c r="K2243" s="154"/>
      <c r="L2243" s="154"/>
      <c r="M2243" s="154"/>
      <c r="N2243" s="154"/>
    </row>
    <row r="2244" spans="1:14" ht="19.5" customHeight="1" thickBot="1" x14ac:dyDescent="0.25">
      <c r="A2244" s="50"/>
      <c r="B2244" s="51" t="s">
        <v>101</v>
      </c>
      <c r="C2244" s="52"/>
      <c r="D2244" s="52"/>
      <c r="E2244" s="52"/>
      <c r="F2244" s="52"/>
      <c r="G2244" s="52"/>
      <c r="H2244" s="52"/>
      <c r="I2244" s="52"/>
      <c r="J2244" s="52"/>
      <c r="K2244" s="155" t="s">
        <v>1</v>
      </c>
      <c r="L2244" s="154"/>
      <c r="M2244" s="154"/>
      <c r="N2244" s="154"/>
    </row>
    <row r="2245" spans="1:14" ht="19.5" customHeight="1" x14ac:dyDescent="0.2">
      <c r="A2245" s="156" t="s">
        <v>2</v>
      </c>
      <c r="B2245" s="158" t="s">
        <v>3</v>
      </c>
      <c r="C2245" s="148" t="s">
        <v>243</v>
      </c>
      <c r="D2245" s="149"/>
      <c r="E2245" s="150"/>
      <c r="F2245" s="148" t="s">
        <v>244</v>
      </c>
      <c r="G2245" s="149"/>
      <c r="H2245" s="150"/>
      <c r="I2245" s="148" t="s">
        <v>246</v>
      </c>
      <c r="J2245" s="149"/>
      <c r="K2245" s="150"/>
      <c r="L2245" s="148" t="s">
        <v>4</v>
      </c>
      <c r="M2245" s="149"/>
      <c r="N2245" s="150"/>
    </row>
    <row r="2246" spans="1:14" ht="19.5" customHeight="1" thickBot="1" x14ac:dyDescent="0.25">
      <c r="A2246" s="157"/>
      <c r="B2246" s="159"/>
      <c r="C2246" s="85" t="s">
        <v>5</v>
      </c>
      <c r="D2246" s="79" t="s">
        <v>6</v>
      </c>
      <c r="E2246" s="80" t="s">
        <v>7</v>
      </c>
      <c r="F2246" s="85" t="s">
        <v>5</v>
      </c>
      <c r="G2246" s="79" t="s">
        <v>6</v>
      </c>
      <c r="H2246" s="80" t="s">
        <v>7</v>
      </c>
      <c r="I2246" s="85" t="s">
        <v>5</v>
      </c>
      <c r="J2246" s="79" t="s">
        <v>6</v>
      </c>
      <c r="K2246" s="80" t="s">
        <v>7</v>
      </c>
      <c r="L2246" s="85" t="s">
        <v>5</v>
      </c>
      <c r="M2246" s="79" t="s">
        <v>6</v>
      </c>
      <c r="N2246" s="80" t="s">
        <v>7</v>
      </c>
    </row>
    <row r="2247" spans="1:14" ht="19.5" customHeight="1" outlineLevel="1" x14ac:dyDescent="0.2">
      <c r="A2247" s="100">
        <v>1</v>
      </c>
      <c r="B2247" s="86" t="s">
        <v>8</v>
      </c>
      <c r="C2247" s="87">
        <v>0</v>
      </c>
      <c r="D2247" s="88">
        <v>0</v>
      </c>
      <c r="E2247" s="89">
        <v>0</v>
      </c>
      <c r="F2247" s="87">
        <v>0</v>
      </c>
      <c r="G2247" s="88">
        <v>0</v>
      </c>
      <c r="H2247" s="89">
        <v>0</v>
      </c>
      <c r="I2247" s="87">
        <v>0</v>
      </c>
      <c r="J2247" s="88">
        <v>0</v>
      </c>
      <c r="K2247" s="89">
        <v>0</v>
      </c>
      <c r="L2247" s="87">
        <v>0</v>
      </c>
      <c r="M2247" s="88">
        <v>0</v>
      </c>
      <c r="N2247" s="89">
        <v>0</v>
      </c>
    </row>
    <row r="2248" spans="1:14" ht="19.5" customHeight="1" outlineLevel="1" x14ac:dyDescent="0.2">
      <c r="A2248" s="101">
        <v>2</v>
      </c>
      <c r="B2248" s="81" t="s">
        <v>9</v>
      </c>
      <c r="C2248" s="84">
        <v>0</v>
      </c>
      <c r="D2248" s="53">
        <v>0</v>
      </c>
      <c r="E2248" s="78">
        <v>0</v>
      </c>
      <c r="F2248" s="84">
        <v>0</v>
      </c>
      <c r="G2248" s="53">
        <v>0</v>
      </c>
      <c r="H2248" s="78">
        <v>0</v>
      </c>
      <c r="I2248" s="84">
        <v>0</v>
      </c>
      <c r="J2248" s="53">
        <v>0</v>
      </c>
      <c r="K2248" s="78">
        <v>0</v>
      </c>
      <c r="L2248" s="84">
        <v>0</v>
      </c>
      <c r="M2248" s="53">
        <v>0</v>
      </c>
      <c r="N2248" s="78">
        <v>0</v>
      </c>
    </row>
    <row r="2249" spans="1:14" ht="19.5" customHeight="1" outlineLevel="1" x14ac:dyDescent="0.2">
      <c r="A2249" s="101">
        <v>3</v>
      </c>
      <c r="B2249" s="81" t="s">
        <v>10</v>
      </c>
      <c r="C2249" s="84">
        <v>0</v>
      </c>
      <c r="D2249" s="53">
        <v>0</v>
      </c>
      <c r="E2249" s="78">
        <v>0</v>
      </c>
      <c r="F2249" s="84">
        <v>0</v>
      </c>
      <c r="G2249" s="53">
        <v>0</v>
      </c>
      <c r="H2249" s="78">
        <v>0</v>
      </c>
      <c r="I2249" s="84">
        <v>0</v>
      </c>
      <c r="J2249" s="53">
        <v>0</v>
      </c>
      <c r="K2249" s="78">
        <v>0</v>
      </c>
      <c r="L2249" s="84">
        <v>0</v>
      </c>
      <c r="M2249" s="53">
        <v>0</v>
      </c>
      <c r="N2249" s="78">
        <v>0</v>
      </c>
    </row>
    <row r="2250" spans="1:14" ht="19.5" customHeight="1" outlineLevel="1" x14ac:dyDescent="0.2">
      <c r="A2250" s="101">
        <v>4</v>
      </c>
      <c r="B2250" s="81" t="s">
        <v>11</v>
      </c>
      <c r="C2250" s="84">
        <v>55.730000000000004</v>
      </c>
      <c r="D2250" s="53">
        <v>130.69038391538237</v>
      </c>
      <c r="E2250" s="78">
        <v>2345.0634113651959</v>
      </c>
      <c r="F2250" s="84">
        <v>66.61</v>
      </c>
      <c r="G2250" s="53">
        <v>153.05095145706292</v>
      </c>
      <c r="H2250" s="78">
        <v>2297.7173315877935</v>
      </c>
      <c r="I2250" s="84">
        <v>83.37</v>
      </c>
      <c r="J2250" s="53">
        <v>195.30529436016946</v>
      </c>
      <c r="K2250" s="78">
        <v>2342.6327739015164</v>
      </c>
      <c r="L2250" s="84">
        <v>68.570000000000007</v>
      </c>
      <c r="M2250" s="53">
        <v>159.68220991087159</v>
      </c>
      <c r="N2250" s="78">
        <v>2328.7474101045873</v>
      </c>
    </row>
    <row r="2251" spans="1:14" ht="19.5" customHeight="1" outlineLevel="1" x14ac:dyDescent="0.2">
      <c r="A2251" s="101">
        <v>5</v>
      </c>
      <c r="B2251" s="81" t="s">
        <v>12</v>
      </c>
      <c r="C2251" s="84">
        <v>73.92</v>
      </c>
      <c r="D2251" s="53">
        <v>244.02867017569193</v>
      </c>
      <c r="E2251" s="78">
        <v>3301.2536549741872</v>
      </c>
      <c r="F2251" s="84">
        <v>72.260000000000005</v>
      </c>
      <c r="G2251" s="53">
        <v>221.0786894858937</v>
      </c>
      <c r="H2251" s="78">
        <v>3059.4891985316035</v>
      </c>
      <c r="I2251" s="84">
        <v>73.58</v>
      </c>
      <c r="J2251" s="53">
        <v>231.9731413333333</v>
      </c>
      <c r="K2251" s="78">
        <v>3152.6656881398926</v>
      </c>
      <c r="L2251" s="84">
        <v>73.25333333333333</v>
      </c>
      <c r="M2251" s="53">
        <v>232.36016699830631</v>
      </c>
      <c r="N2251" s="78">
        <v>3172.0081042724746</v>
      </c>
    </row>
    <row r="2252" spans="1:14" ht="19.5" customHeight="1" outlineLevel="1" x14ac:dyDescent="0.2">
      <c r="A2252" s="101">
        <v>6</v>
      </c>
      <c r="B2252" s="81" t="s">
        <v>13</v>
      </c>
      <c r="C2252" s="84">
        <v>14.42</v>
      </c>
      <c r="D2252" s="53">
        <v>38.036704098607096</v>
      </c>
      <c r="E2252" s="78">
        <v>2637.7742093347497</v>
      </c>
      <c r="F2252" s="84">
        <v>8.82</v>
      </c>
      <c r="G2252" s="53">
        <v>23.540356577971696</v>
      </c>
      <c r="H2252" s="78">
        <v>2668.9746687042739</v>
      </c>
      <c r="I2252" s="84">
        <v>9.2200000000000006</v>
      </c>
      <c r="J2252" s="53">
        <v>20.193029333333332</v>
      </c>
      <c r="K2252" s="78">
        <v>2190.1333333333332</v>
      </c>
      <c r="L2252" s="84">
        <v>10.82</v>
      </c>
      <c r="M2252" s="53">
        <v>27.256696669970708</v>
      </c>
      <c r="N2252" s="78">
        <v>2519.103204248679</v>
      </c>
    </row>
    <row r="2253" spans="1:14" ht="19.5" customHeight="1" outlineLevel="1" x14ac:dyDescent="0.2">
      <c r="A2253" s="101">
        <v>7</v>
      </c>
      <c r="B2253" s="81" t="s">
        <v>14</v>
      </c>
      <c r="C2253" s="84">
        <v>128.57</v>
      </c>
      <c r="D2253" s="53">
        <v>317.98813687014172</v>
      </c>
      <c r="E2253" s="78">
        <v>2473.2685453071613</v>
      </c>
      <c r="F2253" s="84">
        <v>120.53</v>
      </c>
      <c r="G2253" s="53">
        <v>292.58840178565242</v>
      </c>
      <c r="H2253" s="78">
        <v>2427.5151562735623</v>
      </c>
      <c r="I2253" s="84">
        <v>122.43</v>
      </c>
      <c r="J2253" s="53">
        <v>283.77435353692653</v>
      </c>
      <c r="K2253" s="78">
        <v>2317.8498206070935</v>
      </c>
      <c r="L2253" s="84">
        <v>123.84333333333332</v>
      </c>
      <c r="M2253" s="53">
        <v>298.11696406424022</v>
      </c>
      <c r="N2253" s="78">
        <v>2407.2104330544526</v>
      </c>
    </row>
    <row r="2254" spans="1:14" ht="19.5" customHeight="1" outlineLevel="1" x14ac:dyDescent="0.2">
      <c r="A2254" s="101">
        <v>8</v>
      </c>
      <c r="B2254" s="81" t="s">
        <v>15</v>
      </c>
      <c r="C2254" s="84">
        <v>1818.22</v>
      </c>
      <c r="D2254" s="53">
        <v>5185.5730226559244</v>
      </c>
      <c r="E2254" s="78">
        <v>2852.0052703500814</v>
      </c>
      <c r="F2254" s="84">
        <v>1794.11</v>
      </c>
      <c r="G2254" s="53">
        <v>4984.3006801379133</v>
      </c>
      <c r="H2254" s="78">
        <v>2778.1466466035604</v>
      </c>
      <c r="I2254" s="84">
        <v>1945.44</v>
      </c>
      <c r="J2254" s="53">
        <v>4922.0844324795453</v>
      </c>
      <c r="K2254" s="78">
        <v>2530.0623162264296</v>
      </c>
      <c r="L2254" s="84">
        <v>1852.5900000000001</v>
      </c>
      <c r="M2254" s="53">
        <v>5030.6527117577943</v>
      </c>
      <c r="N2254" s="78">
        <v>2715.4700779761274</v>
      </c>
    </row>
    <row r="2255" spans="1:14" ht="19.5" customHeight="1" outlineLevel="1" x14ac:dyDescent="0.2">
      <c r="A2255" s="101">
        <v>9</v>
      </c>
      <c r="B2255" s="81" t="s">
        <v>16</v>
      </c>
      <c r="C2255" s="84">
        <v>28.12</v>
      </c>
      <c r="D2255" s="53">
        <v>55.845864556149373</v>
      </c>
      <c r="E2255" s="78">
        <v>1985.9838035614998</v>
      </c>
      <c r="F2255" s="84">
        <v>24.189999999999998</v>
      </c>
      <c r="G2255" s="53">
        <v>63.10828809691597</v>
      </c>
      <c r="H2255" s="78">
        <v>2608.8585405918138</v>
      </c>
      <c r="I2255" s="84">
        <v>42.1</v>
      </c>
      <c r="J2255" s="53">
        <v>69.184738955087525</v>
      </c>
      <c r="K2255" s="78">
        <v>1643.3429680543354</v>
      </c>
      <c r="L2255" s="84">
        <v>31.47</v>
      </c>
      <c r="M2255" s="53">
        <v>62.712963869384282</v>
      </c>
      <c r="N2255" s="78">
        <v>1992.7856329642289</v>
      </c>
    </row>
    <row r="2256" spans="1:14" ht="19.5" customHeight="1" outlineLevel="1" x14ac:dyDescent="0.2">
      <c r="A2256" s="101">
        <v>10</v>
      </c>
      <c r="B2256" s="81" t="s">
        <v>17</v>
      </c>
      <c r="C2256" s="84">
        <v>0</v>
      </c>
      <c r="D2256" s="53">
        <v>0</v>
      </c>
      <c r="E2256" s="78">
        <v>0</v>
      </c>
      <c r="F2256" s="84">
        <v>0</v>
      </c>
      <c r="G2256" s="53">
        <v>0</v>
      </c>
      <c r="H2256" s="78">
        <v>0</v>
      </c>
      <c r="I2256" s="84">
        <v>0</v>
      </c>
      <c r="J2256" s="53">
        <v>0</v>
      </c>
      <c r="K2256" s="78">
        <v>0</v>
      </c>
      <c r="L2256" s="84">
        <v>0</v>
      </c>
      <c r="M2256" s="53">
        <v>0</v>
      </c>
      <c r="N2256" s="78">
        <v>0</v>
      </c>
    </row>
    <row r="2257" spans="1:14" ht="19.5" customHeight="1" outlineLevel="1" x14ac:dyDescent="0.2">
      <c r="A2257" s="101">
        <v>11</v>
      </c>
      <c r="B2257" s="81" t="s">
        <v>18</v>
      </c>
      <c r="C2257" s="84">
        <v>0</v>
      </c>
      <c r="D2257" s="53">
        <v>0</v>
      </c>
      <c r="E2257" s="78">
        <v>0</v>
      </c>
      <c r="F2257" s="84">
        <v>0</v>
      </c>
      <c r="G2257" s="53">
        <v>0</v>
      </c>
      <c r="H2257" s="78">
        <v>0</v>
      </c>
      <c r="I2257" s="84">
        <v>0</v>
      </c>
      <c r="J2257" s="53">
        <v>0</v>
      </c>
      <c r="K2257" s="78">
        <v>0</v>
      </c>
      <c r="L2257" s="84">
        <v>0</v>
      </c>
      <c r="M2257" s="53">
        <v>0</v>
      </c>
      <c r="N2257" s="78">
        <v>0</v>
      </c>
    </row>
    <row r="2258" spans="1:14" ht="19.5" customHeight="1" outlineLevel="1" x14ac:dyDescent="0.2">
      <c r="A2258" s="101">
        <v>12</v>
      </c>
      <c r="B2258" s="81" t="s">
        <v>19</v>
      </c>
      <c r="C2258" s="84">
        <v>0</v>
      </c>
      <c r="D2258" s="53">
        <v>0</v>
      </c>
      <c r="E2258" s="78">
        <v>0</v>
      </c>
      <c r="F2258" s="84">
        <v>0</v>
      </c>
      <c r="G2258" s="53">
        <v>0</v>
      </c>
      <c r="H2258" s="78">
        <v>0</v>
      </c>
      <c r="I2258" s="84">
        <v>0</v>
      </c>
      <c r="J2258" s="53">
        <v>0</v>
      </c>
      <c r="K2258" s="78">
        <v>0</v>
      </c>
      <c r="L2258" s="84">
        <v>0</v>
      </c>
      <c r="M2258" s="53">
        <v>0</v>
      </c>
      <c r="N2258" s="78">
        <v>0</v>
      </c>
    </row>
    <row r="2259" spans="1:14" ht="19.5" customHeight="1" outlineLevel="1" x14ac:dyDescent="0.2">
      <c r="A2259" s="101">
        <v>13</v>
      </c>
      <c r="B2259" s="81" t="s">
        <v>20</v>
      </c>
      <c r="C2259" s="84">
        <v>0</v>
      </c>
      <c r="D2259" s="53">
        <v>0</v>
      </c>
      <c r="E2259" s="78">
        <v>0</v>
      </c>
      <c r="F2259" s="84">
        <v>0</v>
      </c>
      <c r="G2259" s="53">
        <v>0</v>
      </c>
      <c r="H2259" s="78">
        <v>0</v>
      </c>
      <c r="I2259" s="84">
        <v>0</v>
      </c>
      <c r="J2259" s="53">
        <v>0</v>
      </c>
      <c r="K2259" s="78">
        <v>0</v>
      </c>
      <c r="L2259" s="84">
        <v>0</v>
      </c>
      <c r="M2259" s="53">
        <v>0</v>
      </c>
      <c r="N2259" s="78">
        <v>0</v>
      </c>
    </row>
    <row r="2260" spans="1:14" ht="19.5" customHeight="1" outlineLevel="1" x14ac:dyDescent="0.2">
      <c r="A2260" s="101">
        <v>14</v>
      </c>
      <c r="B2260" s="81" t="s">
        <v>21</v>
      </c>
      <c r="C2260" s="84">
        <v>0</v>
      </c>
      <c r="D2260" s="53">
        <v>0</v>
      </c>
      <c r="E2260" s="78">
        <v>0</v>
      </c>
      <c r="F2260" s="84">
        <v>0</v>
      </c>
      <c r="G2260" s="53">
        <v>0</v>
      </c>
      <c r="H2260" s="78">
        <v>0</v>
      </c>
      <c r="I2260" s="84">
        <v>0</v>
      </c>
      <c r="J2260" s="53">
        <v>0</v>
      </c>
      <c r="K2260" s="78">
        <v>0</v>
      </c>
      <c r="L2260" s="84">
        <v>0</v>
      </c>
      <c r="M2260" s="53">
        <v>0</v>
      </c>
      <c r="N2260" s="78">
        <v>0</v>
      </c>
    </row>
    <row r="2261" spans="1:14" ht="19.5" customHeight="1" outlineLevel="1" x14ac:dyDescent="0.2">
      <c r="A2261" s="101">
        <v>15</v>
      </c>
      <c r="B2261" s="81" t="s">
        <v>22</v>
      </c>
      <c r="C2261" s="84">
        <v>0</v>
      </c>
      <c r="D2261" s="53">
        <v>0</v>
      </c>
      <c r="E2261" s="78">
        <v>0</v>
      </c>
      <c r="F2261" s="84">
        <v>0</v>
      </c>
      <c r="G2261" s="53">
        <v>0</v>
      </c>
      <c r="H2261" s="78">
        <v>0</v>
      </c>
      <c r="I2261" s="84">
        <v>0</v>
      </c>
      <c r="J2261" s="53">
        <v>0</v>
      </c>
      <c r="K2261" s="78">
        <v>0</v>
      </c>
      <c r="L2261" s="84">
        <v>0</v>
      </c>
      <c r="M2261" s="53">
        <v>0</v>
      </c>
      <c r="N2261" s="78">
        <v>0</v>
      </c>
    </row>
    <row r="2262" spans="1:14" ht="19.5" customHeight="1" outlineLevel="1" x14ac:dyDescent="0.2">
      <c r="A2262" s="101">
        <v>16</v>
      </c>
      <c r="B2262" s="81" t="s">
        <v>23</v>
      </c>
      <c r="C2262" s="84">
        <v>0.1</v>
      </c>
      <c r="D2262" s="53">
        <v>0.18870655961778884</v>
      </c>
      <c r="E2262" s="78">
        <v>1887.0655961778884</v>
      </c>
      <c r="F2262" s="84">
        <v>0.05</v>
      </c>
      <c r="G2262" s="53">
        <v>9.8992440623851347E-2</v>
      </c>
      <c r="H2262" s="78">
        <v>1979.848812477027</v>
      </c>
      <c r="I2262" s="84">
        <v>0.1</v>
      </c>
      <c r="J2262" s="53">
        <v>0.20750458836755606</v>
      </c>
      <c r="K2262" s="78">
        <v>2075.0458836755606</v>
      </c>
      <c r="L2262" s="84">
        <v>8.3333333333333329E-2</v>
      </c>
      <c r="M2262" s="53">
        <v>0.16506786286973207</v>
      </c>
      <c r="N2262" s="78">
        <v>1980.8143544367849</v>
      </c>
    </row>
    <row r="2263" spans="1:14" ht="19.5" customHeight="1" outlineLevel="1" x14ac:dyDescent="0.2">
      <c r="A2263" s="101">
        <v>17</v>
      </c>
      <c r="B2263" s="81" t="s">
        <v>24</v>
      </c>
      <c r="C2263" s="84">
        <v>0</v>
      </c>
      <c r="D2263" s="53">
        <v>0</v>
      </c>
      <c r="E2263" s="78">
        <v>0</v>
      </c>
      <c r="F2263" s="84">
        <v>0</v>
      </c>
      <c r="G2263" s="53">
        <v>0</v>
      </c>
      <c r="H2263" s="78">
        <v>0</v>
      </c>
      <c r="I2263" s="84">
        <v>0</v>
      </c>
      <c r="J2263" s="53">
        <v>0</v>
      </c>
      <c r="K2263" s="78">
        <v>0</v>
      </c>
      <c r="L2263" s="84">
        <v>0</v>
      </c>
      <c r="M2263" s="53">
        <v>0</v>
      </c>
      <c r="N2263" s="78">
        <v>0</v>
      </c>
    </row>
    <row r="2264" spans="1:14" ht="19.5" customHeight="1" outlineLevel="1" x14ac:dyDescent="0.2">
      <c r="A2264" s="101">
        <v>18</v>
      </c>
      <c r="B2264" s="81" t="s">
        <v>25</v>
      </c>
      <c r="C2264" s="84">
        <v>0</v>
      </c>
      <c r="D2264" s="53">
        <v>0</v>
      </c>
      <c r="E2264" s="78">
        <v>0</v>
      </c>
      <c r="F2264" s="84">
        <v>0</v>
      </c>
      <c r="G2264" s="53">
        <v>0</v>
      </c>
      <c r="H2264" s="78">
        <v>0</v>
      </c>
      <c r="I2264" s="84">
        <v>0</v>
      </c>
      <c r="J2264" s="53">
        <v>0</v>
      </c>
      <c r="K2264" s="78">
        <v>0</v>
      </c>
      <c r="L2264" s="84">
        <v>0</v>
      </c>
      <c r="M2264" s="53">
        <v>0</v>
      </c>
      <c r="N2264" s="78">
        <v>0</v>
      </c>
    </row>
    <row r="2265" spans="1:14" ht="19.5" customHeight="1" outlineLevel="1" x14ac:dyDescent="0.2">
      <c r="A2265" s="101">
        <v>19</v>
      </c>
      <c r="B2265" s="81" t="s">
        <v>26</v>
      </c>
      <c r="C2265" s="84">
        <v>0</v>
      </c>
      <c r="D2265" s="53">
        <v>0</v>
      </c>
      <c r="E2265" s="78">
        <v>0</v>
      </c>
      <c r="F2265" s="84">
        <v>0.32</v>
      </c>
      <c r="G2265" s="53">
        <v>0.85407189398536765</v>
      </c>
      <c r="H2265" s="78">
        <v>2668.9746687042739</v>
      </c>
      <c r="I2265" s="84">
        <v>0.63</v>
      </c>
      <c r="J2265" s="53">
        <v>1.5797011021245269</v>
      </c>
      <c r="K2265" s="78">
        <v>2507.4620668643283</v>
      </c>
      <c r="L2265" s="84">
        <v>0.47499999999999998</v>
      </c>
      <c r="M2265" s="53">
        <v>1.2168864980549472</v>
      </c>
      <c r="N2265" s="78">
        <v>2561.8663116946259</v>
      </c>
    </row>
    <row r="2266" spans="1:14" ht="19.5" customHeight="1" outlineLevel="1" x14ac:dyDescent="0.2">
      <c r="A2266" s="101">
        <v>20</v>
      </c>
      <c r="B2266" s="81" t="s">
        <v>27</v>
      </c>
      <c r="C2266" s="84">
        <v>1287.0899999999999</v>
      </c>
      <c r="D2266" s="53">
        <v>3438.332475369717</v>
      </c>
      <c r="E2266" s="78">
        <v>2671.4001937469152</v>
      </c>
      <c r="F2266" s="84">
        <v>1329.07</v>
      </c>
      <c r="G2266" s="53">
        <v>3881.6519645373137</v>
      </c>
      <c r="H2266" s="78">
        <v>2920.5775200232597</v>
      </c>
      <c r="I2266" s="84">
        <v>1434.15</v>
      </c>
      <c r="J2266" s="53">
        <v>3958.2190171790717</v>
      </c>
      <c r="K2266" s="78">
        <v>2759.975607278926</v>
      </c>
      <c r="L2266" s="84">
        <v>1350.1033333333332</v>
      </c>
      <c r="M2266" s="53">
        <v>3759.4011523620343</v>
      </c>
      <c r="N2266" s="78">
        <v>2784.5284575961109</v>
      </c>
    </row>
    <row r="2267" spans="1:14" ht="19.5" customHeight="1" outlineLevel="1" x14ac:dyDescent="0.2">
      <c r="A2267" s="101">
        <v>21</v>
      </c>
      <c r="B2267" s="81" t="s">
        <v>28</v>
      </c>
      <c r="C2267" s="84">
        <v>1262.07</v>
      </c>
      <c r="D2267" s="53">
        <v>3679.2399392100456</v>
      </c>
      <c r="E2267" s="78">
        <v>2915.2423710333387</v>
      </c>
      <c r="F2267" s="84">
        <v>1289.7</v>
      </c>
      <c r="G2267" s="53">
        <v>3659.7715982733844</v>
      </c>
      <c r="H2267" s="78">
        <v>2837.6921751363761</v>
      </c>
      <c r="I2267" s="84">
        <v>1334.97</v>
      </c>
      <c r="J2267" s="53">
        <v>3489.7689052434762</v>
      </c>
      <c r="K2267" s="78">
        <v>2614.1178492726249</v>
      </c>
      <c r="L2267" s="84">
        <v>1295.58</v>
      </c>
      <c r="M2267" s="53">
        <v>3609.5934809089686</v>
      </c>
      <c r="N2267" s="78">
        <v>2786.0830523078225</v>
      </c>
    </row>
    <row r="2268" spans="1:14" ht="19.5" customHeight="1" outlineLevel="1" x14ac:dyDescent="0.2">
      <c r="A2268" s="101">
        <v>22</v>
      </c>
      <c r="B2268" s="81" t="s">
        <v>29</v>
      </c>
      <c r="C2268" s="84">
        <v>458.72</v>
      </c>
      <c r="D2268" s="53">
        <v>777.55473917337315</v>
      </c>
      <c r="E2268" s="78">
        <v>1695.0530588885881</v>
      </c>
      <c r="F2268" s="84">
        <v>506.21</v>
      </c>
      <c r="G2268" s="53">
        <v>980.01321380328295</v>
      </c>
      <c r="H2268" s="78">
        <v>1935.981536918044</v>
      </c>
      <c r="I2268" s="84">
        <v>522.4</v>
      </c>
      <c r="J2268" s="53">
        <v>1010.1398829280067</v>
      </c>
      <c r="K2268" s="78">
        <v>1933.6521495559089</v>
      </c>
      <c r="L2268" s="84">
        <v>495.77666666666664</v>
      </c>
      <c r="M2268" s="53">
        <v>922.56927863488761</v>
      </c>
      <c r="N2268" s="78">
        <v>1860.8565926221236</v>
      </c>
    </row>
    <row r="2269" spans="1:14" ht="19.5" customHeight="1" outlineLevel="1" x14ac:dyDescent="0.2">
      <c r="A2269" s="101">
        <v>23</v>
      </c>
      <c r="B2269" s="81" t="s">
        <v>30</v>
      </c>
      <c r="C2269" s="84">
        <v>401.08</v>
      </c>
      <c r="D2269" s="53">
        <v>1014.8555364561404</v>
      </c>
      <c r="E2269" s="78">
        <v>2530.3070122073909</v>
      </c>
      <c r="F2269" s="84">
        <v>416.01</v>
      </c>
      <c r="G2269" s="53">
        <v>966.87994096154091</v>
      </c>
      <c r="H2269" s="78">
        <v>2324.1747577258743</v>
      </c>
      <c r="I2269" s="84">
        <v>415.37</v>
      </c>
      <c r="J2269" s="53">
        <v>1073.6112520712159</v>
      </c>
      <c r="K2269" s="78">
        <v>2584.7106244341571</v>
      </c>
      <c r="L2269" s="84">
        <v>410.82</v>
      </c>
      <c r="M2269" s="53">
        <v>1018.4489098296323</v>
      </c>
      <c r="N2269" s="78">
        <v>2479.0636040836189</v>
      </c>
    </row>
    <row r="2270" spans="1:14" ht="19.5" customHeight="1" outlineLevel="1" x14ac:dyDescent="0.2">
      <c r="A2270" s="101">
        <v>24</v>
      </c>
      <c r="B2270" s="81" t="s">
        <v>31</v>
      </c>
      <c r="C2270" s="84">
        <v>427.73</v>
      </c>
      <c r="D2270" s="53">
        <v>545.2719854818971</v>
      </c>
      <c r="E2270" s="78">
        <v>1274.8041649683144</v>
      </c>
      <c r="F2270" s="84">
        <v>397.46</v>
      </c>
      <c r="G2270" s="53">
        <v>658.12218534004501</v>
      </c>
      <c r="H2270" s="78">
        <v>1655.8199198411037</v>
      </c>
      <c r="I2270" s="84">
        <v>378.43</v>
      </c>
      <c r="J2270" s="53">
        <v>724.40988654596742</v>
      </c>
      <c r="K2270" s="78">
        <v>1914.2506845280961</v>
      </c>
      <c r="L2270" s="84">
        <v>401.20666666666671</v>
      </c>
      <c r="M2270" s="53">
        <v>642.60135245596985</v>
      </c>
      <c r="N2270" s="78">
        <v>1601.6716715972727</v>
      </c>
    </row>
    <row r="2271" spans="1:14" ht="19.5" customHeight="1" outlineLevel="1" x14ac:dyDescent="0.2">
      <c r="A2271" s="101">
        <v>25</v>
      </c>
      <c r="B2271" s="81" t="s">
        <v>32</v>
      </c>
      <c r="C2271" s="84">
        <v>339.92</v>
      </c>
      <c r="D2271" s="53">
        <v>708.41203923312821</v>
      </c>
      <c r="E2271" s="78">
        <v>2084.0551872003066</v>
      </c>
      <c r="F2271" s="84">
        <v>388.14</v>
      </c>
      <c r="G2271" s="53">
        <v>806.9002462370496</v>
      </c>
      <c r="H2271" s="78">
        <v>2078.8896950508829</v>
      </c>
      <c r="I2271" s="84">
        <v>382.32</v>
      </c>
      <c r="J2271" s="53">
        <v>784.58159327593285</v>
      </c>
      <c r="K2271" s="78">
        <v>2052.1594299956396</v>
      </c>
      <c r="L2271" s="84">
        <v>370.12666666666661</v>
      </c>
      <c r="M2271" s="53">
        <v>766.63129291537018</v>
      </c>
      <c r="N2271" s="78">
        <v>2071.2673848107052</v>
      </c>
    </row>
    <row r="2272" spans="1:14" ht="19.5" customHeight="1" outlineLevel="1" x14ac:dyDescent="0.2">
      <c r="A2272" s="101">
        <v>26</v>
      </c>
      <c r="B2272" s="81" t="s">
        <v>33</v>
      </c>
      <c r="C2272" s="84">
        <v>158.26</v>
      </c>
      <c r="D2272" s="53">
        <v>205.02275976624236</v>
      </c>
      <c r="E2272" s="78">
        <v>1295.4806000647186</v>
      </c>
      <c r="F2272" s="84">
        <v>145.26999999999998</v>
      </c>
      <c r="G2272" s="53">
        <v>189.93678421142664</v>
      </c>
      <c r="H2272" s="78">
        <v>1307.4742494074942</v>
      </c>
      <c r="I2272" s="84">
        <v>166.89999999999998</v>
      </c>
      <c r="J2272" s="53">
        <v>267.90996935200974</v>
      </c>
      <c r="K2272" s="78">
        <v>1605.2125185860384</v>
      </c>
      <c r="L2272" s="84">
        <v>156.80999999999997</v>
      </c>
      <c r="M2272" s="53">
        <v>220.95650444322624</v>
      </c>
      <c r="N2272" s="78">
        <v>1409.0715161228638</v>
      </c>
    </row>
    <row r="2273" spans="1:14" ht="19.5" customHeight="1" outlineLevel="1" x14ac:dyDescent="0.2">
      <c r="A2273" s="101">
        <v>27</v>
      </c>
      <c r="B2273" s="81" t="s">
        <v>34</v>
      </c>
      <c r="C2273" s="84">
        <v>116.87</v>
      </c>
      <c r="D2273" s="53">
        <v>120.01266957479682</v>
      </c>
      <c r="E2273" s="78">
        <v>1026.8903018293558</v>
      </c>
      <c r="F2273" s="84">
        <v>112.93</v>
      </c>
      <c r="G2273" s="53">
        <v>116.44460515866085</v>
      </c>
      <c r="H2273" s="78">
        <v>1031.121979621543</v>
      </c>
      <c r="I2273" s="84">
        <v>106.65</v>
      </c>
      <c r="J2273" s="53">
        <v>109.98148339362209</v>
      </c>
      <c r="K2273" s="78">
        <v>1031.2375376804696</v>
      </c>
      <c r="L2273" s="84">
        <v>112.15000000000002</v>
      </c>
      <c r="M2273" s="53">
        <v>115.47958604235991</v>
      </c>
      <c r="N2273" s="78">
        <v>1029.6886851748541</v>
      </c>
    </row>
    <row r="2274" spans="1:14" ht="19.5" customHeight="1" outlineLevel="1" x14ac:dyDescent="0.2">
      <c r="A2274" s="101">
        <v>28</v>
      </c>
      <c r="B2274" s="81" t="s">
        <v>35</v>
      </c>
      <c r="C2274" s="84">
        <v>135.31</v>
      </c>
      <c r="D2274" s="53">
        <v>264.05235466666664</v>
      </c>
      <c r="E2274" s="78">
        <v>1951.4622324046015</v>
      </c>
      <c r="F2274" s="84">
        <v>155.69999999999999</v>
      </c>
      <c r="G2274" s="53">
        <v>350.92226000000005</v>
      </c>
      <c r="H2274" s="78">
        <v>2253.8359666024412</v>
      </c>
      <c r="I2274" s="84">
        <v>193.9</v>
      </c>
      <c r="J2274" s="53">
        <v>441.51889214273183</v>
      </c>
      <c r="K2274" s="78">
        <v>2277.0443122368838</v>
      </c>
      <c r="L2274" s="84">
        <v>161.63666666666666</v>
      </c>
      <c r="M2274" s="53">
        <v>352.16450226979947</v>
      </c>
      <c r="N2274" s="78">
        <v>2178.7414299754564</v>
      </c>
    </row>
    <row r="2275" spans="1:14" ht="19.5" customHeight="1" outlineLevel="1" x14ac:dyDescent="0.2">
      <c r="A2275" s="101">
        <v>29</v>
      </c>
      <c r="B2275" s="81" t="s">
        <v>36</v>
      </c>
      <c r="C2275" s="84">
        <v>547.72</v>
      </c>
      <c r="D2275" s="53">
        <v>1297.7804053088323</v>
      </c>
      <c r="E2275" s="78">
        <v>2369.423072571446</v>
      </c>
      <c r="F2275" s="84">
        <v>576.84</v>
      </c>
      <c r="G2275" s="53">
        <v>1415.4173064324439</v>
      </c>
      <c r="H2275" s="78">
        <v>2453.7433368567436</v>
      </c>
      <c r="I2275" s="84">
        <v>650.6</v>
      </c>
      <c r="J2275" s="53">
        <v>1421.3206254606794</v>
      </c>
      <c r="K2275" s="78">
        <v>2184.630534061911</v>
      </c>
      <c r="L2275" s="84">
        <v>591.71999999999991</v>
      </c>
      <c r="M2275" s="53">
        <v>1378.1727790673185</v>
      </c>
      <c r="N2275" s="78">
        <v>2329.0961587698889</v>
      </c>
    </row>
    <row r="2276" spans="1:14" ht="19.5" customHeight="1" outlineLevel="1" x14ac:dyDescent="0.2">
      <c r="A2276" s="101">
        <v>30</v>
      </c>
      <c r="B2276" s="81" t="s">
        <v>37</v>
      </c>
      <c r="C2276" s="84">
        <v>283.84999999999997</v>
      </c>
      <c r="D2276" s="53">
        <v>500.41602905109119</v>
      </c>
      <c r="E2276" s="78">
        <v>1762.9594118410823</v>
      </c>
      <c r="F2276" s="84">
        <v>307.81</v>
      </c>
      <c r="G2276" s="53">
        <v>626.84401139895635</v>
      </c>
      <c r="H2276" s="78">
        <v>2036.4640895323621</v>
      </c>
      <c r="I2276" s="84">
        <v>308.95000000000005</v>
      </c>
      <c r="J2276" s="53">
        <v>459.31462423179931</v>
      </c>
      <c r="K2276" s="78">
        <v>1486.695660242108</v>
      </c>
      <c r="L2276" s="84">
        <v>300.20333333333332</v>
      </c>
      <c r="M2276" s="53">
        <v>528.85822156061568</v>
      </c>
      <c r="N2276" s="78">
        <v>1761.6667199807321</v>
      </c>
    </row>
    <row r="2277" spans="1:14" ht="19.5" customHeight="1" outlineLevel="1" x14ac:dyDescent="0.2">
      <c r="A2277" s="101">
        <v>31</v>
      </c>
      <c r="B2277" s="81" t="s">
        <v>38</v>
      </c>
      <c r="C2277" s="84">
        <v>510.69</v>
      </c>
      <c r="D2277" s="53">
        <v>1482.8398982229878</v>
      </c>
      <c r="E2277" s="78">
        <v>2903.6008111045599</v>
      </c>
      <c r="F2277" s="84">
        <v>506.75</v>
      </c>
      <c r="G2277" s="53">
        <v>1485.926808724832</v>
      </c>
      <c r="H2277" s="78">
        <v>2932.2679994569944</v>
      </c>
      <c r="I2277" s="84">
        <v>508.23</v>
      </c>
      <c r="J2277" s="53">
        <v>1521.7949364191854</v>
      </c>
      <c r="K2277" s="78">
        <v>2994.3036350061693</v>
      </c>
      <c r="L2277" s="84">
        <v>508.55666666666667</v>
      </c>
      <c r="M2277" s="53">
        <v>1496.8538811223352</v>
      </c>
      <c r="N2277" s="78">
        <v>2943.3374473949189</v>
      </c>
    </row>
    <row r="2278" spans="1:14" ht="19.5" customHeight="1" outlineLevel="1" x14ac:dyDescent="0.2">
      <c r="A2278" s="101">
        <v>32</v>
      </c>
      <c r="B2278" s="81" t="s">
        <v>39</v>
      </c>
      <c r="C2278" s="84">
        <v>765.3</v>
      </c>
      <c r="D2278" s="53">
        <v>1980.5512616867347</v>
      </c>
      <c r="E2278" s="78">
        <v>2587.9410187988169</v>
      </c>
      <c r="F2278" s="84">
        <v>763.35</v>
      </c>
      <c r="G2278" s="53">
        <v>2125.7663685057978</v>
      </c>
      <c r="H2278" s="78">
        <v>2784.7859677812244</v>
      </c>
      <c r="I2278" s="84">
        <v>763.33</v>
      </c>
      <c r="J2278" s="53">
        <v>1947.6881299918114</v>
      </c>
      <c r="K2278" s="78">
        <v>2551.5676443894663</v>
      </c>
      <c r="L2278" s="84">
        <v>763.99333333333334</v>
      </c>
      <c r="M2278" s="53">
        <v>2018.0019200614479</v>
      </c>
      <c r="N2278" s="78">
        <v>2641.3868184645344</v>
      </c>
    </row>
    <row r="2279" spans="1:14" ht="19.5" customHeight="1" outlineLevel="1" thickBot="1" x14ac:dyDescent="0.25">
      <c r="A2279" s="102">
        <v>33</v>
      </c>
      <c r="B2279" s="91" t="s">
        <v>40</v>
      </c>
      <c r="C2279" s="92">
        <v>659.36</v>
      </c>
      <c r="D2279" s="93">
        <v>1975.9422690483407</v>
      </c>
      <c r="E2279" s="94">
        <v>2996.7578698258017</v>
      </c>
      <c r="F2279" s="92">
        <v>703.41</v>
      </c>
      <c r="G2279" s="93">
        <v>1909.1481349045364</v>
      </c>
      <c r="H2279" s="94">
        <v>2714.1327744907471</v>
      </c>
      <c r="I2279" s="92">
        <v>701.46</v>
      </c>
      <c r="J2279" s="93">
        <v>2172.187930002468</v>
      </c>
      <c r="K2279" s="94">
        <v>3096.6668519979303</v>
      </c>
      <c r="L2279" s="92">
        <v>688.07666666666671</v>
      </c>
      <c r="M2279" s="93">
        <v>2019.0927779851147</v>
      </c>
      <c r="N2279" s="94">
        <v>2934.4008826319468</v>
      </c>
    </row>
    <row r="2280" spans="1:14" ht="19.5" customHeight="1" thickBot="1" x14ac:dyDescent="0.25">
      <c r="A2280" s="151" t="s">
        <v>41</v>
      </c>
      <c r="B2280" s="152"/>
      <c r="C2280" s="96">
        <v>9473.0500000000011</v>
      </c>
      <c r="D2280" s="97">
        <v>23962.635851081508</v>
      </c>
      <c r="E2280" s="98">
        <v>2529.558679736886</v>
      </c>
      <c r="F2280" s="96">
        <v>9685.5400000000009</v>
      </c>
      <c r="G2280" s="97">
        <v>24912.36586036528</v>
      </c>
      <c r="H2280" s="98">
        <v>2572.1194543995766</v>
      </c>
      <c r="I2280" s="96">
        <v>10144.529999999999</v>
      </c>
      <c r="J2280" s="97">
        <v>25106.749323926866</v>
      </c>
      <c r="K2280" s="98">
        <v>2474.9051285694723</v>
      </c>
      <c r="L2280" s="96">
        <v>9767.7066666666669</v>
      </c>
      <c r="M2280" s="97">
        <v>24660.583678457886</v>
      </c>
      <c r="N2280" s="98">
        <v>2524.7055956967606</v>
      </c>
    </row>
    <row r="2281" spans="1:14" ht="34.5" customHeight="1" x14ac:dyDescent="0.2">
      <c r="A2281" s="153" t="s">
        <v>247</v>
      </c>
      <c r="B2281" s="154"/>
      <c r="C2281" s="154"/>
      <c r="D2281" s="154"/>
      <c r="E2281" s="154"/>
      <c r="F2281" s="154"/>
      <c r="G2281" s="154"/>
      <c r="H2281" s="154"/>
      <c r="I2281" s="154"/>
      <c r="J2281" s="154"/>
      <c r="K2281" s="154"/>
      <c r="L2281" s="154"/>
      <c r="M2281" s="154"/>
      <c r="N2281" s="154"/>
    </row>
    <row r="2282" spans="1:14" ht="19.5" customHeight="1" thickBot="1" x14ac:dyDescent="0.25">
      <c r="A2282" s="50"/>
      <c r="B2282" s="51" t="s">
        <v>102</v>
      </c>
      <c r="C2282" s="52"/>
      <c r="D2282" s="52"/>
      <c r="E2282" s="52"/>
      <c r="F2282" s="52"/>
      <c r="G2282" s="52"/>
      <c r="H2282" s="52"/>
      <c r="I2282" s="52"/>
      <c r="J2282" s="52"/>
      <c r="K2282" s="155" t="s">
        <v>1</v>
      </c>
      <c r="L2282" s="154"/>
      <c r="M2282" s="154"/>
      <c r="N2282" s="154"/>
    </row>
    <row r="2283" spans="1:14" ht="19.5" customHeight="1" x14ac:dyDescent="0.2">
      <c r="A2283" s="156" t="s">
        <v>2</v>
      </c>
      <c r="B2283" s="158" t="s">
        <v>3</v>
      </c>
      <c r="C2283" s="148" t="s">
        <v>243</v>
      </c>
      <c r="D2283" s="149"/>
      <c r="E2283" s="150"/>
      <c r="F2283" s="148" t="s">
        <v>244</v>
      </c>
      <c r="G2283" s="149"/>
      <c r="H2283" s="150"/>
      <c r="I2283" s="148" t="s">
        <v>246</v>
      </c>
      <c r="J2283" s="149"/>
      <c r="K2283" s="150"/>
      <c r="L2283" s="148" t="s">
        <v>4</v>
      </c>
      <c r="M2283" s="149"/>
      <c r="N2283" s="150"/>
    </row>
    <row r="2284" spans="1:14" ht="19.5" customHeight="1" thickBot="1" x14ac:dyDescent="0.25">
      <c r="A2284" s="157"/>
      <c r="B2284" s="159"/>
      <c r="C2284" s="85" t="s">
        <v>5</v>
      </c>
      <c r="D2284" s="79" t="s">
        <v>6</v>
      </c>
      <c r="E2284" s="80" t="s">
        <v>7</v>
      </c>
      <c r="F2284" s="85" t="s">
        <v>5</v>
      </c>
      <c r="G2284" s="79" t="s">
        <v>6</v>
      </c>
      <c r="H2284" s="80" t="s">
        <v>7</v>
      </c>
      <c r="I2284" s="85" t="s">
        <v>5</v>
      </c>
      <c r="J2284" s="79" t="s">
        <v>6</v>
      </c>
      <c r="K2284" s="80" t="s">
        <v>7</v>
      </c>
      <c r="L2284" s="85" t="s">
        <v>5</v>
      </c>
      <c r="M2284" s="79" t="s">
        <v>6</v>
      </c>
      <c r="N2284" s="80" t="s">
        <v>7</v>
      </c>
    </row>
    <row r="2285" spans="1:14" ht="19.5" customHeight="1" outlineLevel="1" x14ac:dyDescent="0.2">
      <c r="A2285" s="100">
        <v>1</v>
      </c>
      <c r="B2285" s="86" t="s">
        <v>8</v>
      </c>
      <c r="C2285" s="87">
        <v>0</v>
      </c>
      <c r="D2285" s="88">
        <v>0</v>
      </c>
      <c r="E2285" s="89">
        <v>0</v>
      </c>
      <c r="F2285" s="87">
        <v>0</v>
      </c>
      <c r="G2285" s="88">
        <v>0</v>
      </c>
      <c r="H2285" s="89">
        <v>0</v>
      </c>
      <c r="I2285" s="87">
        <v>2.15</v>
      </c>
      <c r="J2285" s="88">
        <v>5.4075408323126855</v>
      </c>
      <c r="K2285" s="89">
        <v>2515.13527084311</v>
      </c>
      <c r="L2285" s="87">
        <v>2.15</v>
      </c>
      <c r="M2285" s="88">
        <v>5.4075408323126855</v>
      </c>
      <c r="N2285" s="89">
        <v>2515.13527084311</v>
      </c>
    </row>
    <row r="2286" spans="1:14" ht="19.5" customHeight="1" outlineLevel="1" x14ac:dyDescent="0.2">
      <c r="A2286" s="101">
        <v>2</v>
      </c>
      <c r="B2286" s="81" t="s">
        <v>9</v>
      </c>
      <c r="C2286" s="84">
        <v>135.77000000000001</v>
      </c>
      <c r="D2286" s="53">
        <v>293.05229795083983</v>
      </c>
      <c r="E2286" s="78">
        <v>2158.446622603225</v>
      </c>
      <c r="F2286" s="84">
        <v>144.92000000000002</v>
      </c>
      <c r="G2286" s="53">
        <v>312.30704984367884</v>
      </c>
      <c r="H2286" s="78">
        <v>2155.0307055180706</v>
      </c>
      <c r="I2286" s="84">
        <v>141.11000000000001</v>
      </c>
      <c r="J2286" s="53">
        <v>344.77407826618401</v>
      </c>
      <c r="K2286" s="78">
        <v>2443.3001081864077</v>
      </c>
      <c r="L2286" s="84">
        <v>140.60000000000002</v>
      </c>
      <c r="M2286" s="53">
        <v>316.71114202023426</v>
      </c>
      <c r="N2286" s="78">
        <v>2252.5685776688065</v>
      </c>
    </row>
    <row r="2287" spans="1:14" ht="19.5" customHeight="1" outlineLevel="1" x14ac:dyDescent="0.2">
      <c r="A2287" s="101">
        <v>3</v>
      </c>
      <c r="B2287" s="81" t="s">
        <v>10</v>
      </c>
      <c r="C2287" s="84">
        <v>0</v>
      </c>
      <c r="D2287" s="53">
        <v>0</v>
      </c>
      <c r="E2287" s="78">
        <v>0</v>
      </c>
      <c r="F2287" s="84">
        <v>0</v>
      </c>
      <c r="G2287" s="53">
        <v>0</v>
      </c>
      <c r="H2287" s="78">
        <v>0</v>
      </c>
      <c r="I2287" s="84">
        <v>0</v>
      </c>
      <c r="J2287" s="53">
        <v>0</v>
      </c>
      <c r="K2287" s="78">
        <v>0</v>
      </c>
      <c r="L2287" s="84">
        <v>0</v>
      </c>
      <c r="M2287" s="53">
        <v>0</v>
      </c>
      <c r="N2287" s="78">
        <v>0</v>
      </c>
    </row>
    <row r="2288" spans="1:14" ht="19.5" customHeight="1" outlineLevel="1" x14ac:dyDescent="0.2">
      <c r="A2288" s="101">
        <v>4</v>
      </c>
      <c r="B2288" s="81" t="s">
        <v>11</v>
      </c>
      <c r="C2288" s="84">
        <v>5.4</v>
      </c>
      <c r="D2288" s="53">
        <v>12.059498890799354</v>
      </c>
      <c r="E2288" s="78">
        <v>2233.2405353332133</v>
      </c>
      <c r="F2288" s="84">
        <v>5.33</v>
      </c>
      <c r="G2288" s="53">
        <v>12.516249622956625</v>
      </c>
      <c r="H2288" s="78">
        <v>2348.2644695978661</v>
      </c>
      <c r="I2288" s="84">
        <v>6.2299999999999995</v>
      </c>
      <c r="J2288" s="53">
        <v>12.796600567062697</v>
      </c>
      <c r="K2288" s="78">
        <v>2054.0289834771584</v>
      </c>
      <c r="L2288" s="84">
        <v>5.6533333333333333</v>
      </c>
      <c r="M2288" s="53">
        <v>12.457449693606227</v>
      </c>
      <c r="N2288" s="78">
        <v>2203.5583184444977</v>
      </c>
    </row>
    <row r="2289" spans="1:14" ht="19.5" customHeight="1" outlineLevel="1" x14ac:dyDescent="0.2">
      <c r="A2289" s="101">
        <v>5</v>
      </c>
      <c r="B2289" s="81" t="s">
        <v>12</v>
      </c>
      <c r="C2289" s="84">
        <v>144.74</v>
      </c>
      <c r="D2289" s="53">
        <v>362.22173769846711</v>
      </c>
      <c r="E2289" s="78">
        <v>2502.5683135171139</v>
      </c>
      <c r="F2289" s="84">
        <v>135.57</v>
      </c>
      <c r="G2289" s="53">
        <v>341.19064667673024</v>
      </c>
      <c r="H2289" s="78">
        <v>2516.7120061719424</v>
      </c>
      <c r="I2289" s="84">
        <v>119.96</v>
      </c>
      <c r="J2289" s="53">
        <v>276.97142555028279</v>
      </c>
      <c r="K2289" s="78">
        <v>2308.8648345305337</v>
      </c>
      <c r="L2289" s="84">
        <v>133.42333333333332</v>
      </c>
      <c r="M2289" s="53">
        <v>326.79460330849338</v>
      </c>
      <c r="N2289" s="78">
        <v>2449.3062430996083</v>
      </c>
    </row>
    <row r="2290" spans="1:14" ht="19.5" customHeight="1" outlineLevel="1" x14ac:dyDescent="0.2">
      <c r="A2290" s="101">
        <v>6</v>
      </c>
      <c r="B2290" s="81" t="s">
        <v>13</v>
      </c>
      <c r="C2290" s="84">
        <v>381.77</v>
      </c>
      <c r="D2290" s="53">
        <v>1089.3767479999999</v>
      </c>
      <c r="E2290" s="78">
        <v>2853.4896613144037</v>
      </c>
      <c r="F2290" s="84">
        <v>384.01</v>
      </c>
      <c r="G2290" s="53">
        <v>1182.5211080618494</v>
      </c>
      <c r="H2290" s="78">
        <v>3079.401859487642</v>
      </c>
      <c r="I2290" s="84">
        <v>408.83000000000004</v>
      </c>
      <c r="J2290" s="53">
        <v>1159.7802503045948</v>
      </c>
      <c r="K2290" s="78">
        <v>2836.8276552713714</v>
      </c>
      <c r="L2290" s="84">
        <v>391.53666666666669</v>
      </c>
      <c r="M2290" s="53">
        <v>1143.892702122148</v>
      </c>
      <c r="N2290" s="78">
        <v>2921.5468167020913</v>
      </c>
    </row>
    <row r="2291" spans="1:14" ht="19.5" customHeight="1" outlineLevel="1" x14ac:dyDescent="0.2">
      <c r="A2291" s="101">
        <v>7</v>
      </c>
      <c r="B2291" s="81" t="s">
        <v>14</v>
      </c>
      <c r="C2291" s="84">
        <v>0.16</v>
      </c>
      <c r="D2291" s="53">
        <v>0.32177052584952243</v>
      </c>
      <c r="E2291" s="78">
        <v>2011.0657865595151</v>
      </c>
      <c r="F2291" s="84">
        <v>1.27</v>
      </c>
      <c r="G2291" s="53">
        <v>3.5567173190983179</v>
      </c>
      <c r="H2291" s="78">
        <v>2800.5648181876518</v>
      </c>
      <c r="I2291" s="84">
        <v>0.4</v>
      </c>
      <c r="J2291" s="53">
        <v>1.1373551105667659</v>
      </c>
      <c r="K2291" s="78">
        <v>2843.3877764169147</v>
      </c>
      <c r="L2291" s="84">
        <v>0.61</v>
      </c>
      <c r="M2291" s="53">
        <v>1.6719476518382022</v>
      </c>
      <c r="N2291" s="78">
        <v>2740.8977898986918</v>
      </c>
    </row>
    <row r="2292" spans="1:14" ht="19.5" customHeight="1" outlineLevel="1" x14ac:dyDescent="0.2">
      <c r="A2292" s="101">
        <v>8</v>
      </c>
      <c r="B2292" s="81" t="s">
        <v>15</v>
      </c>
      <c r="C2292" s="84">
        <v>0</v>
      </c>
      <c r="D2292" s="53">
        <v>0</v>
      </c>
      <c r="E2292" s="78">
        <v>0</v>
      </c>
      <c r="F2292" s="84">
        <v>0.1</v>
      </c>
      <c r="G2292" s="53">
        <v>0.22</v>
      </c>
      <c r="H2292" s="78">
        <v>2200</v>
      </c>
      <c r="I2292" s="84">
        <v>0</v>
      </c>
      <c r="J2292" s="53">
        <v>0</v>
      </c>
      <c r="K2292" s="78">
        <v>0</v>
      </c>
      <c r="L2292" s="84">
        <v>0.1</v>
      </c>
      <c r="M2292" s="53">
        <v>0.22</v>
      </c>
      <c r="N2292" s="78">
        <v>2200</v>
      </c>
    </row>
    <row r="2293" spans="1:14" ht="19.5" customHeight="1" outlineLevel="1" x14ac:dyDescent="0.2">
      <c r="A2293" s="101">
        <v>9</v>
      </c>
      <c r="B2293" s="81" t="s">
        <v>16</v>
      </c>
      <c r="C2293" s="84">
        <v>0</v>
      </c>
      <c r="D2293" s="53">
        <v>0</v>
      </c>
      <c r="E2293" s="78">
        <v>0</v>
      </c>
      <c r="F2293" s="84">
        <v>0</v>
      </c>
      <c r="G2293" s="53">
        <v>0</v>
      </c>
      <c r="H2293" s="78">
        <v>0</v>
      </c>
      <c r="I2293" s="84">
        <v>0</v>
      </c>
      <c r="J2293" s="53">
        <v>0</v>
      </c>
      <c r="K2293" s="78">
        <v>0</v>
      </c>
      <c r="L2293" s="84">
        <v>0</v>
      </c>
      <c r="M2293" s="53">
        <v>0</v>
      </c>
      <c r="N2293" s="78">
        <v>0</v>
      </c>
    </row>
    <row r="2294" spans="1:14" ht="19.5" customHeight="1" outlineLevel="1" x14ac:dyDescent="0.2">
      <c r="A2294" s="101">
        <v>10</v>
      </c>
      <c r="B2294" s="81" t="s">
        <v>17</v>
      </c>
      <c r="C2294" s="84">
        <v>0</v>
      </c>
      <c r="D2294" s="53">
        <v>0</v>
      </c>
      <c r="E2294" s="78">
        <v>0</v>
      </c>
      <c r="F2294" s="84">
        <v>0</v>
      </c>
      <c r="G2294" s="53">
        <v>0</v>
      </c>
      <c r="H2294" s="78">
        <v>0</v>
      </c>
      <c r="I2294" s="84">
        <v>0</v>
      </c>
      <c r="J2294" s="53">
        <v>0</v>
      </c>
      <c r="K2294" s="78">
        <v>0</v>
      </c>
      <c r="L2294" s="84">
        <v>0</v>
      </c>
      <c r="M2294" s="53">
        <v>0</v>
      </c>
      <c r="N2294" s="78">
        <v>0</v>
      </c>
    </row>
    <row r="2295" spans="1:14" ht="19.5" customHeight="1" outlineLevel="1" x14ac:dyDescent="0.2">
      <c r="A2295" s="101">
        <v>11</v>
      </c>
      <c r="B2295" s="81" t="s">
        <v>18</v>
      </c>
      <c r="C2295" s="84">
        <v>0</v>
      </c>
      <c r="D2295" s="53">
        <v>0</v>
      </c>
      <c r="E2295" s="78">
        <v>0</v>
      </c>
      <c r="F2295" s="84">
        <v>0.04</v>
      </c>
      <c r="G2295" s="53">
        <v>0.08</v>
      </c>
      <c r="H2295" s="78">
        <v>2000</v>
      </c>
      <c r="I2295" s="84">
        <v>0.33</v>
      </c>
      <c r="J2295" s="53">
        <v>0.486495511968634</v>
      </c>
      <c r="K2295" s="78">
        <v>1474.2288241473757</v>
      </c>
      <c r="L2295" s="84">
        <v>0.185</v>
      </c>
      <c r="M2295" s="53">
        <v>0.28324775598431701</v>
      </c>
      <c r="N2295" s="78">
        <v>1531.0689512665783</v>
      </c>
    </row>
    <row r="2296" spans="1:14" ht="19.5" customHeight="1" outlineLevel="1" x14ac:dyDescent="0.2">
      <c r="A2296" s="101">
        <v>12</v>
      </c>
      <c r="B2296" s="81" t="s">
        <v>19</v>
      </c>
      <c r="C2296" s="84">
        <v>0</v>
      </c>
      <c r="D2296" s="53">
        <v>0</v>
      </c>
      <c r="E2296" s="78">
        <v>0</v>
      </c>
      <c r="F2296" s="84">
        <v>0.02</v>
      </c>
      <c r="G2296" s="53">
        <v>0.04</v>
      </c>
      <c r="H2296" s="78">
        <v>2000</v>
      </c>
      <c r="I2296" s="84">
        <v>0</v>
      </c>
      <c r="J2296" s="53">
        <v>0</v>
      </c>
      <c r="K2296" s="78">
        <v>0</v>
      </c>
      <c r="L2296" s="84">
        <v>0.02</v>
      </c>
      <c r="M2296" s="53">
        <v>0.04</v>
      </c>
      <c r="N2296" s="78">
        <v>2000</v>
      </c>
    </row>
    <row r="2297" spans="1:14" ht="19.5" customHeight="1" outlineLevel="1" x14ac:dyDescent="0.2">
      <c r="A2297" s="101">
        <v>13</v>
      </c>
      <c r="B2297" s="81" t="s">
        <v>20</v>
      </c>
      <c r="C2297" s="84">
        <v>0</v>
      </c>
      <c r="D2297" s="53">
        <v>0</v>
      </c>
      <c r="E2297" s="78">
        <v>0</v>
      </c>
      <c r="F2297" s="84">
        <v>0</v>
      </c>
      <c r="G2297" s="53">
        <v>0</v>
      </c>
      <c r="H2297" s="78">
        <v>0</v>
      </c>
      <c r="I2297" s="84">
        <v>0</v>
      </c>
      <c r="J2297" s="53">
        <v>0</v>
      </c>
      <c r="K2297" s="78">
        <v>0</v>
      </c>
      <c r="L2297" s="84">
        <v>0</v>
      </c>
      <c r="M2297" s="53">
        <v>0</v>
      </c>
      <c r="N2297" s="78">
        <v>0</v>
      </c>
    </row>
    <row r="2298" spans="1:14" ht="19.5" customHeight="1" outlineLevel="1" x14ac:dyDescent="0.2">
      <c r="A2298" s="101">
        <v>14</v>
      </c>
      <c r="B2298" s="81" t="s">
        <v>21</v>
      </c>
      <c r="C2298" s="84">
        <v>1.2</v>
      </c>
      <c r="D2298" s="53">
        <v>1.98</v>
      </c>
      <c r="E2298" s="78">
        <v>1650</v>
      </c>
      <c r="F2298" s="84">
        <v>0</v>
      </c>
      <c r="G2298" s="53">
        <v>0</v>
      </c>
      <c r="H2298" s="78">
        <v>0</v>
      </c>
      <c r="I2298" s="84">
        <v>0</v>
      </c>
      <c r="J2298" s="53">
        <v>0</v>
      </c>
      <c r="K2298" s="78">
        <v>0</v>
      </c>
      <c r="L2298" s="84">
        <v>1.2</v>
      </c>
      <c r="M2298" s="53">
        <v>1.98</v>
      </c>
      <c r="N2298" s="78">
        <v>1650</v>
      </c>
    </row>
    <row r="2299" spans="1:14" ht="19.5" customHeight="1" outlineLevel="1" x14ac:dyDescent="0.2">
      <c r="A2299" s="101">
        <v>15</v>
      </c>
      <c r="B2299" s="81" t="s">
        <v>22</v>
      </c>
      <c r="C2299" s="84">
        <v>0</v>
      </c>
      <c r="D2299" s="53">
        <v>0</v>
      </c>
      <c r="E2299" s="78">
        <v>0</v>
      </c>
      <c r="F2299" s="84">
        <v>0</v>
      </c>
      <c r="G2299" s="53">
        <v>0</v>
      </c>
      <c r="H2299" s="78">
        <v>0</v>
      </c>
      <c r="I2299" s="84">
        <v>0</v>
      </c>
      <c r="J2299" s="53">
        <v>0</v>
      </c>
      <c r="K2299" s="78">
        <v>0</v>
      </c>
      <c r="L2299" s="84">
        <v>0</v>
      </c>
      <c r="M2299" s="53">
        <v>0</v>
      </c>
      <c r="N2299" s="78">
        <v>0</v>
      </c>
    </row>
    <row r="2300" spans="1:14" ht="19.5" customHeight="1" outlineLevel="1" x14ac:dyDescent="0.2">
      <c r="A2300" s="101">
        <v>16</v>
      </c>
      <c r="B2300" s="81" t="s">
        <v>23</v>
      </c>
      <c r="C2300" s="84">
        <v>1.6</v>
      </c>
      <c r="D2300" s="53">
        <v>4.3964007677788475</v>
      </c>
      <c r="E2300" s="78">
        <v>2747.7504798617797</v>
      </c>
      <c r="F2300" s="84">
        <v>1.42</v>
      </c>
      <c r="G2300" s="53">
        <v>3.9856745515285015</v>
      </c>
      <c r="H2300" s="78">
        <v>2806.8130644566913</v>
      </c>
      <c r="I2300" s="84">
        <v>0</v>
      </c>
      <c r="J2300" s="53">
        <v>0</v>
      </c>
      <c r="K2300" s="78">
        <v>0</v>
      </c>
      <c r="L2300" s="84">
        <v>1.51</v>
      </c>
      <c r="M2300" s="53">
        <v>4.1910376596536745</v>
      </c>
      <c r="N2300" s="78">
        <v>2775.5216289097179</v>
      </c>
    </row>
    <row r="2301" spans="1:14" ht="19.5" customHeight="1" outlineLevel="1" x14ac:dyDescent="0.2">
      <c r="A2301" s="101">
        <v>17</v>
      </c>
      <c r="B2301" s="81" t="s">
        <v>24</v>
      </c>
      <c r="C2301" s="84">
        <v>2.17</v>
      </c>
      <c r="D2301" s="53">
        <v>5.6881134357304699</v>
      </c>
      <c r="E2301" s="78">
        <v>2621.2504312121982</v>
      </c>
      <c r="F2301" s="84">
        <v>0.78</v>
      </c>
      <c r="G2301" s="53">
        <v>2.1893141902762197</v>
      </c>
      <c r="H2301" s="78">
        <v>2806.8130644566918</v>
      </c>
      <c r="I2301" s="84">
        <v>0</v>
      </c>
      <c r="J2301" s="53">
        <v>0</v>
      </c>
      <c r="K2301" s="78">
        <v>0</v>
      </c>
      <c r="L2301" s="84">
        <v>1.4750000000000001</v>
      </c>
      <c r="M2301" s="53">
        <v>3.9387138130033446</v>
      </c>
      <c r="N2301" s="78">
        <v>2670.3144494937928</v>
      </c>
    </row>
    <row r="2302" spans="1:14" ht="19.5" customHeight="1" outlineLevel="1" x14ac:dyDescent="0.2">
      <c r="A2302" s="101">
        <v>18</v>
      </c>
      <c r="B2302" s="81" t="s">
        <v>25</v>
      </c>
      <c r="C2302" s="84">
        <v>8.43</v>
      </c>
      <c r="D2302" s="53">
        <v>18.742416802298493</v>
      </c>
      <c r="E2302" s="78">
        <v>2223.29973929994</v>
      </c>
      <c r="F2302" s="84">
        <v>11.49</v>
      </c>
      <c r="G2302" s="53">
        <v>26.827386158579436</v>
      </c>
      <c r="H2302" s="78">
        <v>2334.8464889973397</v>
      </c>
      <c r="I2302" s="84">
        <v>10.080000000000002</v>
      </c>
      <c r="J2302" s="53">
        <v>27.188140209337167</v>
      </c>
      <c r="K2302" s="78">
        <v>2697.2361318786866</v>
      </c>
      <c r="L2302" s="84">
        <v>10.000000000000002</v>
      </c>
      <c r="M2302" s="53">
        <v>24.252647723405033</v>
      </c>
      <c r="N2302" s="78">
        <v>2425.264772340503</v>
      </c>
    </row>
    <row r="2303" spans="1:14" ht="19.5" customHeight="1" outlineLevel="1" x14ac:dyDescent="0.2">
      <c r="A2303" s="101">
        <v>19</v>
      </c>
      <c r="B2303" s="81" t="s">
        <v>26</v>
      </c>
      <c r="C2303" s="84">
        <v>0</v>
      </c>
      <c r="D2303" s="53">
        <v>0</v>
      </c>
      <c r="E2303" s="78">
        <v>0</v>
      </c>
      <c r="F2303" s="84">
        <v>0</v>
      </c>
      <c r="G2303" s="53">
        <v>0</v>
      </c>
      <c r="H2303" s="78">
        <v>0</v>
      </c>
      <c r="I2303" s="84">
        <v>0.05</v>
      </c>
      <c r="J2303" s="53">
        <v>0.125</v>
      </c>
      <c r="K2303" s="78">
        <v>2500</v>
      </c>
      <c r="L2303" s="84">
        <v>0.05</v>
      </c>
      <c r="M2303" s="53">
        <v>0.125</v>
      </c>
      <c r="N2303" s="78">
        <v>2500</v>
      </c>
    </row>
    <row r="2304" spans="1:14" ht="19.5" customHeight="1" outlineLevel="1" x14ac:dyDescent="0.2">
      <c r="A2304" s="101">
        <v>20</v>
      </c>
      <c r="B2304" s="81" t="s">
        <v>27</v>
      </c>
      <c r="C2304" s="84">
        <v>0.27</v>
      </c>
      <c r="D2304" s="53">
        <v>0.61560382499657806</v>
      </c>
      <c r="E2304" s="78">
        <v>2280.0141666539926</v>
      </c>
      <c r="F2304" s="84">
        <v>0.53</v>
      </c>
      <c r="G2304" s="53">
        <v>1.1225883771247516</v>
      </c>
      <c r="H2304" s="78">
        <v>2118.0912775938709</v>
      </c>
      <c r="I2304" s="84">
        <v>0.56999999999999995</v>
      </c>
      <c r="J2304" s="53">
        <v>0.84031042976400405</v>
      </c>
      <c r="K2304" s="78">
        <v>1474.2288241473757</v>
      </c>
      <c r="L2304" s="84">
        <v>0.45666666666666672</v>
      </c>
      <c r="M2304" s="53">
        <v>0.85950087729511127</v>
      </c>
      <c r="N2304" s="78">
        <v>1882.118709405353</v>
      </c>
    </row>
    <row r="2305" spans="1:14" ht="19.5" customHeight="1" outlineLevel="1" x14ac:dyDescent="0.2">
      <c r="A2305" s="101">
        <v>21</v>
      </c>
      <c r="B2305" s="81" t="s">
        <v>28</v>
      </c>
      <c r="C2305" s="84">
        <v>6.84</v>
      </c>
      <c r="D2305" s="53">
        <v>15.907717847908906</v>
      </c>
      <c r="E2305" s="78">
        <v>2325.6897438463311</v>
      </c>
      <c r="F2305" s="84">
        <v>4.46</v>
      </c>
      <c r="G2305" s="53">
        <v>9.7553907871938979</v>
      </c>
      <c r="H2305" s="78">
        <v>2187.3073513887662</v>
      </c>
      <c r="I2305" s="84">
        <v>4.99</v>
      </c>
      <c r="J2305" s="53">
        <v>9.3592033945770776</v>
      </c>
      <c r="K2305" s="78">
        <v>1875.5918626406969</v>
      </c>
      <c r="L2305" s="84">
        <v>5.43</v>
      </c>
      <c r="M2305" s="53">
        <v>11.674104009893293</v>
      </c>
      <c r="N2305" s="78">
        <v>2149.927073645174</v>
      </c>
    </row>
    <row r="2306" spans="1:14" ht="19.5" customHeight="1" outlineLevel="1" x14ac:dyDescent="0.2">
      <c r="A2306" s="101">
        <v>22</v>
      </c>
      <c r="B2306" s="81" t="s">
        <v>29</v>
      </c>
      <c r="C2306" s="84">
        <v>808.61</v>
      </c>
      <c r="D2306" s="53">
        <v>1448.6629824930515</v>
      </c>
      <c r="E2306" s="78">
        <v>1791.5472013616595</v>
      </c>
      <c r="F2306" s="84">
        <v>853.11999999999989</v>
      </c>
      <c r="G2306" s="53">
        <v>2127.2173763240298</v>
      </c>
      <c r="H2306" s="78">
        <v>2493.4562269364565</v>
      </c>
      <c r="I2306" s="84">
        <v>868.32999999999993</v>
      </c>
      <c r="J2306" s="53">
        <v>1549.4171389394382</v>
      </c>
      <c r="K2306" s="78">
        <v>1784.3643994097156</v>
      </c>
      <c r="L2306" s="84">
        <v>843.35333333333335</v>
      </c>
      <c r="M2306" s="53">
        <v>1708.4324992521731</v>
      </c>
      <c r="N2306" s="78">
        <v>2025.7612458821211</v>
      </c>
    </row>
    <row r="2307" spans="1:14" ht="19.5" customHeight="1" outlineLevel="1" x14ac:dyDescent="0.2">
      <c r="A2307" s="101">
        <v>23</v>
      </c>
      <c r="B2307" s="81" t="s">
        <v>30</v>
      </c>
      <c r="C2307" s="84">
        <v>365.65</v>
      </c>
      <c r="D2307" s="53">
        <v>767.48445189453514</v>
      </c>
      <c r="E2307" s="78">
        <v>2098.9592558308086</v>
      </c>
      <c r="F2307" s="84">
        <v>374.58</v>
      </c>
      <c r="G2307" s="53">
        <v>892.07527358415837</v>
      </c>
      <c r="H2307" s="78">
        <v>2381.5347151053406</v>
      </c>
      <c r="I2307" s="84">
        <v>401.83000000000004</v>
      </c>
      <c r="J2307" s="53">
        <v>876.87402145029273</v>
      </c>
      <c r="K2307" s="78">
        <v>2182.2014818462849</v>
      </c>
      <c r="L2307" s="84">
        <v>380.68666666666667</v>
      </c>
      <c r="M2307" s="53">
        <v>845.47791564299541</v>
      </c>
      <c r="N2307" s="78">
        <v>2220.9286262796932</v>
      </c>
    </row>
    <row r="2308" spans="1:14" ht="19.5" customHeight="1" outlineLevel="1" x14ac:dyDescent="0.2">
      <c r="A2308" s="101">
        <v>24</v>
      </c>
      <c r="B2308" s="81" t="s">
        <v>31</v>
      </c>
      <c r="C2308" s="84">
        <v>1601.94</v>
      </c>
      <c r="D2308" s="53">
        <v>3325.6500770000002</v>
      </c>
      <c r="E2308" s="78">
        <v>2076.0141309911733</v>
      </c>
      <c r="F2308" s="84">
        <v>1589.4499999999998</v>
      </c>
      <c r="G2308" s="53">
        <v>2854.3659352329805</v>
      </c>
      <c r="H2308" s="78">
        <v>1795.8198969662342</v>
      </c>
      <c r="I2308" s="84">
        <v>1577.74</v>
      </c>
      <c r="J2308" s="53">
        <v>2331.5684041916838</v>
      </c>
      <c r="K2308" s="78">
        <v>1477.7900060793818</v>
      </c>
      <c r="L2308" s="84">
        <v>1589.71</v>
      </c>
      <c r="M2308" s="53">
        <v>2837.1948054748882</v>
      </c>
      <c r="N2308" s="78">
        <v>1784.7247645639065</v>
      </c>
    </row>
    <row r="2309" spans="1:14" ht="19.5" customHeight="1" outlineLevel="1" x14ac:dyDescent="0.2">
      <c r="A2309" s="101">
        <v>25</v>
      </c>
      <c r="B2309" s="81" t="s">
        <v>32</v>
      </c>
      <c r="C2309" s="84">
        <v>42.65</v>
      </c>
      <c r="D2309" s="53">
        <v>102.99967507468767</v>
      </c>
      <c r="E2309" s="78">
        <v>2414.9982432517627</v>
      </c>
      <c r="F2309" s="84">
        <v>30.029999999999998</v>
      </c>
      <c r="G2309" s="53">
        <v>79.622962822714527</v>
      </c>
      <c r="H2309" s="78">
        <v>2651.4473134437076</v>
      </c>
      <c r="I2309" s="84">
        <v>65.510000000000005</v>
      </c>
      <c r="J2309" s="53">
        <v>187.98742102089028</v>
      </c>
      <c r="K2309" s="78">
        <v>2869.5988554555074</v>
      </c>
      <c r="L2309" s="84">
        <v>46.063333333333333</v>
      </c>
      <c r="M2309" s="53">
        <v>123.53668630609748</v>
      </c>
      <c r="N2309" s="78">
        <v>2681.8876830327263</v>
      </c>
    </row>
    <row r="2310" spans="1:14" ht="19.5" customHeight="1" outlineLevel="1" x14ac:dyDescent="0.2">
      <c r="A2310" s="101">
        <v>26</v>
      </c>
      <c r="B2310" s="81" t="s">
        <v>33</v>
      </c>
      <c r="C2310" s="84">
        <v>365.29</v>
      </c>
      <c r="D2310" s="53">
        <v>806.60547571539576</v>
      </c>
      <c r="E2310" s="78">
        <v>2208.1236160732451</v>
      </c>
      <c r="F2310" s="84">
        <v>359.66999999999996</v>
      </c>
      <c r="G2310" s="53">
        <v>924.15567718310467</v>
      </c>
      <c r="H2310" s="78">
        <v>2569.4544365198785</v>
      </c>
      <c r="I2310" s="84">
        <v>361.34999999999997</v>
      </c>
      <c r="J2310" s="53">
        <v>824.29709104382766</v>
      </c>
      <c r="K2310" s="78">
        <v>2281.1597925662868</v>
      </c>
      <c r="L2310" s="84">
        <v>362.1033333333333</v>
      </c>
      <c r="M2310" s="53">
        <v>851.68608131410929</v>
      </c>
      <c r="N2310" s="78">
        <v>2352.0525853046811</v>
      </c>
    </row>
    <row r="2311" spans="1:14" ht="19.5" customHeight="1" outlineLevel="1" x14ac:dyDescent="0.2">
      <c r="A2311" s="101">
        <v>27</v>
      </c>
      <c r="B2311" s="81" t="s">
        <v>34</v>
      </c>
      <c r="C2311" s="84">
        <v>64.87</v>
      </c>
      <c r="D2311" s="53">
        <v>135.89427360872037</v>
      </c>
      <c r="E2311" s="78">
        <v>2094.8708741902319</v>
      </c>
      <c r="F2311" s="84">
        <v>77.67</v>
      </c>
      <c r="G2311" s="53">
        <v>154.40378200000001</v>
      </c>
      <c r="H2311" s="78">
        <v>1987.9462083172396</v>
      </c>
      <c r="I2311" s="84">
        <v>162.29</v>
      </c>
      <c r="J2311" s="53">
        <v>327.38733830327709</v>
      </c>
      <c r="K2311" s="78">
        <v>2017.2982827239948</v>
      </c>
      <c r="L2311" s="84">
        <v>101.61000000000001</v>
      </c>
      <c r="M2311" s="53">
        <v>205.89513130399914</v>
      </c>
      <c r="N2311" s="78">
        <v>2026.32744123609</v>
      </c>
    </row>
    <row r="2312" spans="1:14" ht="19.5" customHeight="1" outlineLevel="1" x14ac:dyDescent="0.2">
      <c r="A2312" s="101">
        <v>28</v>
      </c>
      <c r="B2312" s="81" t="s">
        <v>35</v>
      </c>
      <c r="C2312" s="84">
        <v>0</v>
      </c>
      <c r="D2312" s="53">
        <v>0</v>
      </c>
      <c r="E2312" s="78">
        <v>0</v>
      </c>
      <c r="F2312" s="84">
        <v>0.11</v>
      </c>
      <c r="G2312" s="53">
        <v>0.23824428941443293</v>
      </c>
      <c r="H2312" s="78">
        <v>2165.8571764948447</v>
      </c>
      <c r="I2312" s="84">
        <v>11.2</v>
      </c>
      <c r="J2312" s="53">
        <v>19.044306892149255</v>
      </c>
      <c r="K2312" s="78">
        <v>1700.3845439418978</v>
      </c>
      <c r="L2312" s="84">
        <v>5.6549999999999994</v>
      </c>
      <c r="M2312" s="53">
        <v>9.6412755907818433</v>
      </c>
      <c r="N2312" s="78">
        <v>1704.9116871409096</v>
      </c>
    </row>
    <row r="2313" spans="1:14" ht="19.5" customHeight="1" outlineLevel="1" x14ac:dyDescent="0.2">
      <c r="A2313" s="101">
        <v>29</v>
      </c>
      <c r="B2313" s="81" t="s">
        <v>36</v>
      </c>
      <c r="C2313" s="84">
        <v>27.19</v>
      </c>
      <c r="D2313" s="53">
        <v>66.428700270769838</v>
      </c>
      <c r="E2313" s="78">
        <v>2443.1298371007665</v>
      </c>
      <c r="F2313" s="84">
        <v>32.01</v>
      </c>
      <c r="G2313" s="53">
        <v>65.943698849318253</v>
      </c>
      <c r="H2313" s="78">
        <v>2060.0968087884494</v>
      </c>
      <c r="I2313" s="84">
        <v>91.59</v>
      </c>
      <c r="J2313" s="53">
        <v>144.21918150435408</v>
      </c>
      <c r="K2313" s="78">
        <v>1574.6171143613285</v>
      </c>
      <c r="L2313" s="84">
        <v>50.263333333333343</v>
      </c>
      <c r="M2313" s="53">
        <v>92.197193541480715</v>
      </c>
      <c r="N2313" s="78">
        <v>1834.2833120528023</v>
      </c>
    </row>
    <row r="2314" spans="1:14" ht="19.5" customHeight="1" outlineLevel="1" x14ac:dyDescent="0.2">
      <c r="A2314" s="101">
        <v>30</v>
      </c>
      <c r="B2314" s="81" t="s">
        <v>37</v>
      </c>
      <c r="C2314" s="84">
        <v>4.95</v>
      </c>
      <c r="D2314" s="53">
        <v>10.166309391117821</v>
      </c>
      <c r="E2314" s="78">
        <v>2053.7998769934989</v>
      </c>
      <c r="F2314" s="84">
        <v>5.12</v>
      </c>
      <c r="G2314" s="53">
        <v>11.649084332761909</v>
      </c>
      <c r="H2314" s="78">
        <v>2275.2117837425603</v>
      </c>
      <c r="I2314" s="84">
        <v>5.12</v>
      </c>
      <c r="J2314" s="53">
        <v>9.930388156583561</v>
      </c>
      <c r="K2314" s="78">
        <v>1939.5289368327269</v>
      </c>
      <c r="L2314" s="84">
        <v>5.0633333333333335</v>
      </c>
      <c r="M2314" s="53">
        <v>10.581927293487764</v>
      </c>
      <c r="N2314" s="78">
        <v>2089.9132245202959</v>
      </c>
    </row>
    <row r="2315" spans="1:14" ht="19.5" customHeight="1" outlineLevel="1" x14ac:dyDescent="0.2">
      <c r="A2315" s="101">
        <v>31</v>
      </c>
      <c r="B2315" s="81" t="s">
        <v>38</v>
      </c>
      <c r="C2315" s="84">
        <v>2.8</v>
      </c>
      <c r="D2315" s="53">
        <v>6.9727828785258454</v>
      </c>
      <c r="E2315" s="78">
        <v>2490.2795994735161</v>
      </c>
      <c r="F2315" s="84">
        <v>1.45</v>
      </c>
      <c r="G2315" s="53">
        <v>3.8003569837936988</v>
      </c>
      <c r="H2315" s="78">
        <v>2620.9358508922064</v>
      </c>
      <c r="I2315" s="84">
        <v>1.61</v>
      </c>
      <c r="J2315" s="53">
        <v>4.2702559614835565</v>
      </c>
      <c r="K2315" s="78">
        <v>2652.3328953314012</v>
      </c>
      <c r="L2315" s="84">
        <v>1.9533333333333334</v>
      </c>
      <c r="M2315" s="53">
        <v>5.0144652746010339</v>
      </c>
      <c r="N2315" s="78">
        <v>2567.1323931404613</v>
      </c>
    </row>
    <row r="2316" spans="1:14" ht="19.5" customHeight="1" outlineLevel="1" x14ac:dyDescent="0.2">
      <c r="A2316" s="101">
        <v>32</v>
      </c>
      <c r="B2316" s="81" t="s">
        <v>39</v>
      </c>
      <c r="C2316" s="84">
        <v>0</v>
      </c>
      <c r="D2316" s="53">
        <v>0</v>
      </c>
      <c r="E2316" s="78">
        <v>0</v>
      </c>
      <c r="F2316" s="84">
        <v>0</v>
      </c>
      <c r="G2316" s="53">
        <v>0</v>
      </c>
      <c r="H2316" s="78">
        <v>0</v>
      </c>
      <c r="I2316" s="84">
        <v>0</v>
      </c>
      <c r="J2316" s="53">
        <v>0</v>
      </c>
      <c r="K2316" s="78">
        <v>0</v>
      </c>
      <c r="L2316" s="84">
        <v>0</v>
      </c>
      <c r="M2316" s="53">
        <v>0</v>
      </c>
      <c r="N2316" s="78">
        <v>0</v>
      </c>
    </row>
    <row r="2317" spans="1:14" ht="19.5" customHeight="1" outlineLevel="1" thickBot="1" x14ac:dyDescent="0.25">
      <c r="A2317" s="102">
        <v>33</v>
      </c>
      <c r="B2317" s="91" t="s">
        <v>40</v>
      </c>
      <c r="C2317" s="92">
        <v>34.590000000000003</v>
      </c>
      <c r="D2317" s="93">
        <v>97.315281835212147</v>
      </c>
      <c r="E2317" s="94">
        <v>2813.393519375893</v>
      </c>
      <c r="F2317" s="92">
        <v>38.24</v>
      </c>
      <c r="G2317" s="93">
        <v>84.389772535226314</v>
      </c>
      <c r="H2317" s="94">
        <v>2206.8455160885542</v>
      </c>
      <c r="I2317" s="92">
        <v>39.090000000000003</v>
      </c>
      <c r="J2317" s="93">
        <v>92.868348654827159</v>
      </c>
      <c r="K2317" s="94">
        <v>2375.7571925000552</v>
      </c>
      <c r="L2317" s="92">
        <v>37.306666666666672</v>
      </c>
      <c r="M2317" s="93">
        <v>91.524467675088545</v>
      </c>
      <c r="N2317" s="94">
        <v>2453.3005988676341</v>
      </c>
    </row>
    <row r="2318" spans="1:14" ht="19.5" customHeight="1" thickBot="1" x14ac:dyDescent="0.25">
      <c r="A2318" s="151" t="s">
        <v>41</v>
      </c>
      <c r="B2318" s="152"/>
      <c r="C2318" s="96">
        <v>4006.8900000000003</v>
      </c>
      <c r="D2318" s="97">
        <v>8572.542315906685</v>
      </c>
      <c r="E2318" s="98">
        <v>2139.45037570452</v>
      </c>
      <c r="F2318" s="96">
        <v>4051.39</v>
      </c>
      <c r="G2318" s="97">
        <v>9094.1742897265176</v>
      </c>
      <c r="H2318" s="98">
        <v>2244.7047284330856</v>
      </c>
      <c r="I2318" s="96">
        <v>4280.3600000000006</v>
      </c>
      <c r="J2318" s="97">
        <v>8206.73029629546</v>
      </c>
      <c r="K2318" s="98">
        <v>1917.2990814547045</v>
      </c>
      <c r="L2318" s="96">
        <v>4112.88</v>
      </c>
      <c r="M2318" s="97">
        <v>8624.4823006428869</v>
      </c>
      <c r="N2318" s="98">
        <v>2096.9447930994552</v>
      </c>
    </row>
    <row r="2319" spans="1:14" ht="34.5" customHeight="1" x14ac:dyDescent="0.2">
      <c r="A2319" s="153" t="s">
        <v>247</v>
      </c>
      <c r="B2319" s="154"/>
      <c r="C2319" s="154"/>
      <c r="D2319" s="154"/>
      <c r="E2319" s="154"/>
      <c r="F2319" s="154"/>
      <c r="G2319" s="154"/>
      <c r="H2319" s="154"/>
      <c r="I2319" s="154"/>
      <c r="J2319" s="154"/>
      <c r="K2319" s="154"/>
      <c r="L2319" s="154"/>
      <c r="M2319" s="154"/>
      <c r="N2319" s="154"/>
    </row>
    <row r="2320" spans="1:14" ht="19.5" customHeight="1" thickBot="1" x14ac:dyDescent="0.25">
      <c r="A2320" s="50"/>
      <c r="B2320" s="51" t="s">
        <v>103</v>
      </c>
      <c r="C2320" s="52"/>
      <c r="D2320" s="52"/>
      <c r="E2320" s="52"/>
      <c r="F2320" s="52"/>
      <c r="G2320" s="52"/>
      <c r="H2320" s="52"/>
      <c r="I2320" s="52"/>
      <c r="J2320" s="52"/>
      <c r="K2320" s="155" t="s">
        <v>1</v>
      </c>
      <c r="L2320" s="154"/>
      <c r="M2320" s="154"/>
      <c r="N2320" s="154"/>
    </row>
    <row r="2321" spans="1:14" ht="19.5" customHeight="1" x14ac:dyDescent="0.2">
      <c r="A2321" s="156" t="s">
        <v>2</v>
      </c>
      <c r="B2321" s="158" t="s">
        <v>3</v>
      </c>
      <c r="C2321" s="148" t="s">
        <v>243</v>
      </c>
      <c r="D2321" s="149"/>
      <c r="E2321" s="150"/>
      <c r="F2321" s="148" t="s">
        <v>244</v>
      </c>
      <c r="G2321" s="149"/>
      <c r="H2321" s="150"/>
      <c r="I2321" s="148" t="s">
        <v>246</v>
      </c>
      <c r="J2321" s="149"/>
      <c r="K2321" s="150"/>
      <c r="L2321" s="148" t="s">
        <v>4</v>
      </c>
      <c r="M2321" s="149"/>
      <c r="N2321" s="150"/>
    </row>
    <row r="2322" spans="1:14" ht="19.5" customHeight="1" thickBot="1" x14ac:dyDescent="0.25">
      <c r="A2322" s="157"/>
      <c r="B2322" s="159"/>
      <c r="C2322" s="85" t="s">
        <v>5</v>
      </c>
      <c r="D2322" s="79" t="s">
        <v>6</v>
      </c>
      <c r="E2322" s="80" t="s">
        <v>7</v>
      </c>
      <c r="F2322" s="85" t="s">
        <v>5</v>
      </c>
      <c r="G2322" s="79" t="s">
        <v>6</v>
      </c>
      <c r="H2322" s="80" t="s">
        <v>7</v>
      </c>
      <c r="I2322" s="85" t="s">
        <v>5</v>
      </c>
      <c r="J2322" s="79" t="s">
        <v>6</v>
      </c>
      <c r="K2322" s="80" t="s">
        <v>7</v>
      </c>
      <c r="L2322" s="85" t="s">
        <v>5</v>
      </c>
      <c r="M2322" s="79" t="s">
        <v>6</v>
      </c>
      <c r="N2322" s="80" t="s">
        <v>7</v>
      </c>
    </row>
    <row r="2323" spans="1:14" ht="19.5" customHeight="1" outlineLevel="1" x14ac:dyDescent="0.2">
      <c r="A2323" s="100">
        <v>1</v>
      </c>
      <c r="B2323" s="86" t="s">
        <v>8</v>
      </c>
      <c r="C2323" s="87">
        <v>413.9</v>
      </c>
      <c r="D2323" s="88">
        <v>232.2565144750522</v>
      </c>
      <c r="E2323" s="89">
        <v>561.14161506415121</v>
      </c>
      <c r="F2323" s="87">
        <v>377.55</v>
      </c>
      <c r="G2323" s="88">
        <v>224.24756282831169</v>
      </c>
      <c r="H2323" s="89">
        <v>593.95460953068914</v>
      </c>
      <c r="I2323" s="87">
        <v>340.27000000000004</v>
      </c>
      <c r="J2323" s="88">
        <v>218.51186493470493</v>
      </c>
      <c r="K2323" s="89">
        <v>642.1719955761746</v>
      </c>
      <c r="L2323" s="87">
        <v>377.24</v>
      </c>
      <c r="M2323" s="88">
        <v>225.00531407935628</v>
      </c>
      <c r="N2323" s="89">
        <v>596.45136803985872</v>
      </c>
    </row>
    <row r="2324" spans="1:14" ht="19.5" customHeight="1" outlineLevel="1" x14ac:dyDescent="0.2">
      <c r="A2324" s="101">
        <v>2</v>
      </c>
      <c r="B2324" s="81" t="s">
        <v>9</v>
      </c>
      <c r="C2324" s="84">
        <v>57.01</v>
      </c>
      <c r="D2324" s="53">
        <v>40.891469792217848</v>
      </c>
      <c r="E2324" s="78">
        <v>717.26837032481751</v>
      </c>
      <c r="F2324" s="84">
        <v>50.940000000000005</v>
      </c>
      <c r="G2324" s="53">
        <v>39.01204118198369</v>
      </c>
      <c r="H2324" s="78">
        <v>765.84297569657804</v>
      </c>
      <c r="I2324" s="84">
        <v>33.76</v>
      </c>
      <c r="J2324" s="53">
        <v>25.013913560669387</v>
      </c>
      <c r="K2324" s="78">
        <v>740.93345855063353</v>
      </c>
      <c r="L2324" s="84">
        <v>47.236666666666672</v>
      </c>
      <c r="M2324" s="53">
        <v>34.97247484495697</v>
      </c>
      <c r="N2324" s="78">
        <v>740.36711971541092</v>
      </c>
    </row>
    <row r="2325" spans="1:14" ht="19.5" customHeight="1" outlineLevel="1" x14ac:dyDescent="0.2">
      <c r="A2325" s="101">
        <v>3</v>
      </c>
      <c r="B2325" s="81" t="s">
        <v>10</v>
      </c>
      <c r="C2325" s="84">
        <v>69.180000000000007</v>
      </c>
      <c r="D2325" s="53">
        <v>37.51761358633776</v>
      </c>
      <c r="E2325" s="78">
        <v>542.31878557874757</v>
      </c>
      <c r="F2325" s="84">
        <v>43.129999999999995</v>
      </c>
      <c r="G2325" s="53">
        <v>24.399398738106399</v>
      </c>
      <c r="H2325" s="78">
        <v>565.71756870174829</v>
      </c>
      <c r="I2325" s="84">
        <v>53.76</v>
      </c>
      <c r="J2325" s="53">
        <v>30.249429699986436</v>
      </c>
      <c r="K2325" s="78">
        <v>562.67540364558101</v>
      </c>
      <c r="L2325" s="84">
        <v>55.356666666666662</v>
      </c>
      <c r="M2325" s="53">
        <v>30.722147341476866</v>
      </c>
      <c r="N2325" s="78">
        <v>554.9855002374336</v>
      </c>
    </row>
    <row r="2326" spans="1:14" ht="19.5" customHeight="1" outlineLevel="1" x14ac:dyDescent="0.2">
      <c r="A2326" s="101">
        <v>4</v>
      </c>
      <c r="B2326" s="81" t="s">
        <v>11</v>
      </c>
      <c r="C2326" s="84">
        <v>27.880000000000003</v>
      </c>
      <c r="D2326" s="53">
        <v>17.276213998860957</v>
      </c>
      <c r="E2326" s="78">
        <v>619.66334285727953</v>
      </c>
      <c r="F2326" s="84">
        <v>21.64</v>
      </c>
      <c r="G2326" s="53">
        <v>13.591576902559789</v>
      </c>
      <c r="H2326" s="78">
        <v>628.07656666172772</v>
      </c>
      <c r="I2326" s="84">
        <v>18.57</v>
      </c>
      <c r="J2326" s="53">
        <v>11.776114700949694</v>
      </c>
      <c r="K2326" s="78">
        <v>634.14726445609551</v>
      </c>
      <c r="L2326" s="84">
        <v>22.696666666666669</v>
      </c>
      <c r="M2326" s="53">
        <v>14.214635200790147</v>
      </c>
      <c r="N2326" s="78">
        <v>626.2873491315969</v>
      </c>
    </row>
    <row r="2327" spans="1:14" ht="19.5" customHeight="1" outlineLevel="1" x14ac:dyDescent="0.2">
      <c r="A2327" s="101">
        <v>5</v>
      </c>
      <c r="B2327" s="81" t="s">
        <v>12</v>
      </c>
      <c r="C2327" s="84">
        <v>33.81</v>
      </c>
      <c r="D2327" s="53">
        <v>35.15574670845205</v>
      </c>
      <c r="E2327" s="78">
        <v>1039.8032152751271</v>
      </c>
      <c r="F2327" s="84">
        <v>22.78</v>
      </c>
      <c r="G2327" s="53">
        <v>18.131918503516172</v>
      </c>
      <c r="H2327" s="78">
        <v>795.95779207709268</v>
      </c>
      <c r="I2327" s="84">
        <v>20.48</v>
      </c>
      <c r="J2327" s="53">
        <v>25.092261466066777</v>
      </c>
      <c r="K2327" s="78">
        <v>1225.2080793977918</v>
      </c>
      <c r="L2327" s="84">
        <v>25.69</v>
      </c>
      <c r="M2327" s="53">
        <v>26.126642226011665</v>
      </c>
      <c r="N2327" s="78">
        <v>1016.9965833402749</v>
      </c>
    </row>
    <row r="2328" spans="1:14" ht="19.5" customHeight="1" outlineLevel="1" x14ac:dyDescent="0.2">
      <c r="A2328" s="101">
        <v>6</v>
      </c>
      <c r="B2328" s="81" t="s">
        <v>13</v>
      </c>
      <c r="C2328" s="84">
        <v>21.91</v>
      </c>
      <c r="D2328" s="53">
        <v>14.332579813801132</v>
      </c>
      <c r="E2328" s="78">
        <v>654.15699743501284</v>
      </c>
      <c r="F2328" s="84">
        <v>12.469999999999999</v>
      </c>
      <c r="G2328" s="53">
        <v>11.247663418958227</v>
      </c>
      <c r="H2328" s="78">
        <v>901.97782028534311</v>
      </c>
      <c r="I2328" s="84">
        <v>12.73</v>
      </c>
      <c r="J2328" s="53">
        <v>12.300793058630653</v>
      </c>
      <c r="K2328" s="78">
        <v>966.28382235904564</v>
      </c>
      <c r="L2328" s="84">
        <v>15.703333333333333</v>
      </c>
      <c r="M2328" s="53">
        <v>12.627012097130004</v>
      </c>
      <c r="N2328" s="78">
        <v>804.09756509000238</v>
      </c>
    </row>
    <row r="2329" spans="1:14" ht="19.5" customHeight="1" outlineLevel="1" x14ac:dyDescent="0.2">
      <c r="A2329" s="101">
        <v>7</v>
      </c>
      <c r="B2329" s="81" t="s">
        <v>14</v>
      </c>
      <c r="C2329" s="84">
        <v>17.41</v>
      </c>
      <c r="D2329" s="53">
        <v>11.675703849195312</v>
      </c>
      <c r="E2329" s="78">
        <v>670.63204188370548</v>
      </c>
      <c r="F2329" s="84">
        <v>9.43</v>
      </c>
      <c r="G2329" s="53">
        <v>5.9310081404849431</v>
      </c>
      <c r="H2329" s="78">
        <v>628.95102232077875</v>
      </c>
      <c r="I2329" s="84">
        <v>7.4700000000000006</v>
      </c>
      <c r="J2329" s="53">
        <v>4.1076179384880023</v>
      </c>
      <c r="K2329" s="78">
        <v>549.88191947630548</v>
      </c>
      <c r="L2329" s="84">
        <v>11.436666666666667</v>
      </c>
      <c r="M2329" s="53">
        <v>7.2381099760560863</v>
      </c>
      <c r="N2329" s="78">
        <v>632.88632842227503</v>
      </c>
    </row>
    <row r="2330" spans="1:14" ht="19.5" customHeight="1" outlineLevel="1" x14ac:dyDescent="0.2">
      <c r="A2330" s="101">
        <v>8</v>
      </c>
      <c r="B2330" s="81" t="s">
        <v>15</v>
      </c>
      <c r="C2330" s="84">
        <v>24.36</v>
      </c>
      <c r="D2330" s="53">
        <v>17.080024592926311</v>
      </c>
      <c r="E2330" s="78">
        <v>701.15043484919181</v>
      </c>
      <c r="F2330" s="84">
        <v>25.599999999999998</v>
      </c>
      <c r="G2330" s="53">
        <v>16.029005143127346</v>
      </c>
      <c r="H2330" s="78">
        <v>626.13301340341195</v>
      </c>
      <c r="I2330" s="84">
        <v>14</v>
      </c>
      <c r="J2330" s="53">
        <v>5.3938972115280261</v>
      </c>
      <c r="K2330" s="78">
        <v>385.27837225200182</v>
      </c>
      <c r="L2330" s="84">
        <v>21.319999999999997</v>
      </c>
      <c r="M2330" s="53">
        <v>12.834308982527228</v>
      </c>
      <c r="N2330" s="78">
        <v>601.98447385212148</v>
      </c>
    </row>
    <row r="2331" spans="1:14" ht="19.5" customHeight="1" outlineLevel="1" x14ac:dyDescent="0.2">
      <c r="A2331" s="101">
        <v>9</v>
      </c>
      <c r="B2331" s="81" t="s">
        <v>16</v>
      </c>
      <c r="C2331" s="84">
        <v>17.509999999999998</v>
      </c>
      <c r="D2331" s="53">
        <v>10.781683996653083</v>
      </c>
      <c r="E2331" s="78">
        <v>615.74437445191802</v>
      </c>
      <c r="F2331" s="84">
        <v>10.99</v>
      </c>
      <c r="G2331" s="53">
        <v>6.681893975626771</v>
      </c>
      <c r="H2331" s="78">
        <v>607.99763199515655</v>
      </c>
      <c r="I2331" s="84">
        <v>8.09</v>
      </c>
      <c r="J2331" s="53">
        <v>5.0884931841225622</v>
      </c>
      <c r="K2331" s="78">
        <v>628.98556046014369</v>
      </c>
      <c r="L2331" s="84">
        <v>12.196666666666667</v>
      </c>
      <c r="M2331" s="53">
        <v>7.5173570521341384</v>
      </c>
      <c r="N2331" s="78">
        <v>616.34520788200086</v>
      </c>
    </row>
    <row r="2332" spans="1:14" ht="19.5" customHeight="1" outlineLevel="1" x14ac:dyDescent="0.2">
      <c r="A2332" s="101">
        <v>10</v>
      </c>
      <c r="B2332" s="81" t="s">
        <v>17</v>
      </c>
      <c r="C2332" s="84">
        <v>16.63</v>
      </c>
      <c r="D2332" s="53">
        <v>9.7403765681021603</v>
      </c>
      <c r="E2332" s="78">
        <v>585.71115863512694</v>
      </c>
      <c r="F2332" s="84">
        <v>4.8</v>
      </c>
      <c r="G2332" s="53">
        <v>3.3506063614682766</v>
      </c>
      <c r="H2332" s="78">
        <v>698.04299197255762</v>
      </c>
      <c r="I2332" s="84">
        <v>7.21</v>
      </c>
      <c r="J2332" s="53">
        <v>5.0119395207696105</v>
      </c>
      <c r="K2332" s="78">
        <v>695.13724282518876</v>
      </c>
      <c r="L2332" s="84">
        <v>9.5466666666666669</v>
      </c>
      <c r="M2332" s="53">
        <v>6.0343074834466819</v>
      </c>
      <c r="N2332" s="78">
        <v>632.08528108729206</v>
      </c>
    </row>
    <row r="2333" spans="1:14" ht="19.5" customHeight="1" outlineLevel="1" x14ac:dyDescent="0.2">
      <c r="A2333" s="101">
        <v>11</v>
      </c>
      <c r="B2333" s="81" t="s">
        <v>18</v>
      </c>
      <c r="C2333" s="84">
        <v>37.159999999999997</v>
      </c>
      <c r="D2333" s="53">
        <v>32.136580609212615</v>
      </c>
      <c r="E2333" s="78">
        <v>864.81648571616302</v>
      </c>
      <c r="F2333" s="84">
        <v>33.840000000000003</v>
      </c>
      <c r="G2333" s="53">
        <v>30.520741814424738</v>
      </c>
      <c r="H2333" s="78">
        <v>901.91317418512813</v>
      </c>
      <c r="I2333" s="84">
        <v>37.799999999999997</v>
      </c>
      <c r="J2333" s="53">
        <v>36.940449959857389</v>
      </c>
      <c r="K2333" s="78">
        <v>977.26058094860821</v>
      </c>
      <c r="L2333" s="84">
        <v>36.266666666666666</v>
      </c>
      <c r="M2333" s="53">
        <v>33.199257461164912</v>
      </c>
      <c r="N2333" s="78">
        <v>915.42070205417951</v>
      </c>
    </row>
    <row r="2334" spans="1:14" ht="19.5" customHeight="1" outlineLevel="1" x14ac:dyDescent="0.2">
      <c r="A2334" s="101">
        <v>12</v>
      </c>
      <c r="B2334" s="81" t="s">
        <v>19</v>
      </c>
      <c r="C2334" s="84">
        <v>26.950000000000003</v>
      </c>
      <c r="D2334" s="53">
        <v>25.73665536448598</v>
      </c>
      <c r="E2334" s="78">
        <v>954.97793560244816</v>
      </c>
      <c r="F2334" s="84">
        <v>24.34</v>
      </c>
      <c r="G2334" s="53">
        <v>25.401067415112088</v>
      </c>
      <c r="H2334" s="78">
        <v>1043.5935667671358</v>
      </c>
      <c r="I2334" s="84">
        <v>28.259999999999998</v>
      </c>
      <c r="J2334" s="53">
        <v>23.93308</v>
      </c>
      <c r="K2334" s="78">
        <v>846.88888888888903</v>
      </c>
      <c r="L2334" s="84">
        <v>26.516666666666669</v>
      </c>
      <c r="M2334" s="53">
        <v>25.023600926532691</v>
      </c>
      <c r="N2334" s="78">
        <v>943.69330961154071</v>
      </c>
    </row>
    <row r="2335" spans="1:14" ht="19.5" customHeight="1" outlineLevel="1" x14ac:dyDescent="0.2">
      <c r="A2335" s="101">
        <v>13</v>
      </c>
      <c r="B2335" s="81" t="s">
        <v>20</v>
      </c>
      <c r="C2335" s="84">
        <v>33.07</v>
      </c>
      <c r="D2335" s="53">
        <v>21.435027999999999</v>
      </c>
      <c r="E2335" s="78">
        <v>648.17139401270026</v>
      </c>
      <c r="F2335" s="84">
        <v>22.380000000000003</v>
      </c>
      <c r="G2335" s="53">
        <v>17.233457192411926</v>
      </c>
      <c r="H2335" s="78">
        <v>770.03830171635047</v>
      </c>
      <c r="I2335" s="84">
        <v>45.620000000000005</v>
      </c>
      <c r="J2335" s="53">
        <v>53.165137895806495</v>
      </c>
      <c r="K2335" s="78">
        <v>1165.3910104297784</v>
      </c>
      <c r="L2335" s="84">
        <v>33.690000000000005</v>
      </c>
      <c r="M2335" s="53">
        <v>30.611207696072807</v>
      </c>
      <c r="N2335" s="78">
        <v>908.61406043552404</v>
      </c>
    </row>
    <row r="2336" spans="1:14" ht="19.5" customHeight="1" outlineLevel="1" x14ac:dyDescent="0.2">
      <c r="A2336" s="101">
        <v>14</v>
      </c>
      <c r="B2336" s="81" t="s">
        <v>21</v>
      </c>
      <c r="C2336" s="84">
        <v>69.900000000000006</v>
      </c>
      <c r="D2336" s="53">
        <v>86.793272917863945</v>
      </c>
      <c r="E2336" s="78">
        <v>1241.6777241468374</v>
      </c>
      <c r="F2336" s="84">
        <v>66.650000000000006</v>
      </c>
      <c r="G2336" s="53">
        <v>84.263511891946109</v>
      </c>
      <c r="H2336" s="78">
        <v>1264.268745565583</v>
      </c>
      <c r="I2336" s="84">
        <v>147.17000000000002</v>
      </c>
      <c r="J2336" s="53">
        <v>181.04998790529191</v>
      </c>
      <c r="K2336" s="78">
        <v>1230.2098790873949</v>
      </c>
      <c r="L2336" s="84">
        <v>94.573333333333338</v>
      </c>
      <c r="M2336" s="53">
        <v>117.36892423836731</v>
      </c>
      <c r="N2336" s="78">
        <v>1241.036136737283</v>
      </c>
    </row>
    <row r="2337" spans="1:14" ht="19.5" customHeight="1" outlineLevel="1" x14ac:dyDescent="0.2">
      <c r="A2337" s="101">
        <v>15</v>
      </c>
      <c r="B2337" s="81" t="s">
        <v>22</v>
      </c>
      <c r="C2337" s="84">
        <v>81.460000000000008</v>
      </c>
      <c r="D2337" s="53">
        <v>88.549660291623098</v>
      </c>
      <c r="E2337" s="78">
        <v>1087.0324121240251</v>
      </c>
      <c r="F2337" s="84">
        <v>62.87</v>
      </c>
      <c r="G2337" s="53">
        <v>80.834237460951854</v>
      </c>
      <c r="H2337" s="78">
        <v>1285.7362408295191</v>
      </c>
      <c r="I2337" s="84">
        <v>79.300000000000011</v>
      </c>
      <c r="J2337" s="53">
        <v>102.55611188034565</v>
      </c>
      <c r="K2337" s="78">
        <v>1293.2674890333624</v>
      </c>
      <c r="L2337" s="84">
        <v>74.543333333333337</v>
      </c>
      <c r="M2337" s="53">
        <v>90.646669877640207</v>
      </c>
      <c r="N2337" s="78">
        <v>1216.0265153732532</v>
      </c>
    </row>
    <row r="2338" spans="1:14" ht="19.5" customHeight="1" outlineLevel="1" x14ac:dyDescent="0.2">
      <c r="A2338" s="101">
        <v>16</v>
      </c>
      <c r="B2338" s="81" t="s">
        <v>23</v>
      </c>
      <c r="C2338" s="84">
        <v>65.849999999999994</v>
      </c>
      <c r="D2338" s="53">
        <v>101.84305229588445</v>
      </c>
      <c r="E2338" s="78">
        <v>1546.5915306892098</v>
      </c>
      <c r="F2338" s="84">
        <v>69.649999999999991</v>
      </c>
      <c r="G2338" s="53">
        <v>100.90542107305851</v>
      </c>
      <c r="H2338" s="78">
        <v>1448.7497641501582</v>
      </c>
      <c r="I2338" s="84">
        <v>74.17</v>
      </c>
      <c r="J2338" s="53">
        <v>117.19831506926793</v>
      </c>
      <c r="K2338" s="78">
        <v>1580.1309838110817</v>
      </c>
      <c r="L2338" s="84">
        <v>69.89</v>
      </c>
      <c r="M2338" s="53">
        <v>106.64892947940363</v>
      </c>
      <c r="N2338" s="78">
        <v>1525.954063233705</v>
      </c>
    </row>
    <row r="2339" spans="1:14" ht="19.5" customHeight="1" outlineLevel="1" x14ac:dyDescent="0.2">
      <c r="A2339" s="101">
        <v>17</v>
      </c>
      <c r="B2339" s="81" t="s">
        <v>24</v>
      </c>
      <c r="C2339" s="84">
        <v>57.16</v>
      </c>
      <c r="D2339" s="53">
        <v>45.578536948009216</v>
      </c>
      <c r="E2339" s="78">
        <v>797.38518103585045</v>
      </c>
      <c r="F2339" s="84">
        <v>36.42</v>
      </c>
      <c r="G2339" s="53">
        <v>25.508470756865954</v>
      </c>
      <c r="H2339" s="78">
        <v>700.39732995238751</v>
      </c>
      <c r="I2339" s="84">
        <v>28.64</v>
      </c>
      <c r="J2339" s="53">
        <v>21.216657899975651</v>
      </c>
      <c r="K2339" s="78">
        <v>740.8050942728928</v>
      </c>
      <c r="L2339" s="84">
        <v>40.74</v>
      </c>
      <c r="M2339" s="53">
        <v>30.76788853495027</v>
      </c>
      <c r="N2339" s="78">
        <v>755.22554086770424</v>
      </c>
    </row>
    <row r="2340" spans="1:14" ht="19.5" customHeight="1" outlineLevel="1" x14ac:dyDescent="0.2">
      <c r="A2340" s="101">
        <v>18</v>
      </c>
      <c r="B2340" s="81" t="s">
        <v>25</v>
      </c>
      <c r="C2340" s="84">
        <v>42.3</v>
      </c>
      <c r="D2340" s="53">
        <v>25.627144561544071</v>
      </c>
      <c r="E2340" s="78">
        <v>605.84266102941069</v>
      </c>
      <c r="F2340" s="84">
        <v>28.75</v>
      </c>
      <c r="G2340" s="53">
        <v>17.706883999999999</v>
      </c>
      <c r="H2340" s="78">
        <v>615.89161739130429</v>
      </c>
      <c r="I2340" s="84">
        <v>22.09</v>
      </c>
      <c r="J2340" s="53">
        <v>21.571777845331376</v>
      </c>
      <c r="K2340" s="78">
        <v>976.54041853016645</v>
      </c>
      <c r="L2340" s="84">
        <v>31.046666666666667</v>
      </c>
      <c r="M2340" s="53">
        <v>21.635268802291819</v>
      </c>
      <c r="N2340" s="78">
        <v>696.86285598964412</v>
      </c>
    </row>
    <row r="2341" spans="1:14" ht="19.5" customHeight="1" outlineLevel="1" x14ac:dyDescent="0.2">
      <c r="A2341" s="101">
        <v>19</v>
      </c>
      <c r="B2341" s="81" t="s">
        <v>26</v>
      </c>
      <c r="C2341" s="84">
        <v>4.7200000000000006</v>
      </c>
      <c r="D2341" s="53">
        <v>3.0683993761522936</v>
      </c>
      <c r="E2341" s="78">
        <v>650.08461359158764</v>
      </c>
      <c r="F2341" s="84">
        <v>5.29</v>
      </c>
      <c r="G2341" s="53">
        <v>4.8912350850214992</v>
      </c>
      <c r="H2341" s="78">
        <v>924.61910869971621</v>
      </c>
      <c r="I2341" s="84">
        <v>6.35</v>
      </c>
      <c r="J2341" s="53">
        <v>5.5772070955225335</v>
      </c>
      <c r="K2341" s="78">
        <v>878.30033000354865</v>
      </c>
      <c r="L2341" s="84">
        <v>5.4533333333333331</v>
      </c>
      <c r="M2341" s="53">
        <v>4.512280518898776</v>
      </c>
      <c r="N2341" s="78">
        <v>827.4353029765482</v>
      </c>
    </row>
    <row r="2342" spans="1:14" ht="19.5" customHeight="1" outlineLevel="1" x14ac:dyDescent="0.2">
      <c r="A2342" s="101">
        <v>20</v>
      </c>
      <c r="B2342" s="81" t="s">
        <v>27</v>
      </c>
      <c r="C2342" s="84">
        <v>5.98</v>
      </c>
      <c r="D2342" s="53">
        <v>6.020664</v>
      </c>
      <c r="E2342" s="78">
        <v>1006.7999999999998</v>
      </c>
      <c r="F2342" s="84">
        <v>4.01</v>
      </c>
      <c r="G2342" s="53">
        <v>4.07416</v>
      </c>
      <c r="H2342" s="78">
        <v>1016</v>
      </c>
      <c r="I2342" s="84">
        <v>6.92</v>
      </c>
      <c r="J2342" s="53">
        <v>6.0841743452140884</v>
      </c>
      <c r="K2342" s="78">
        <v>879.21594584018612</v>
      </c>
      <c r="L2342" s="84">
        <v>5.6366666666666667</v>
      </c>
      <c r="M2342" s="53">
        <v>5.3929994484046953</v>
      </c>
      <c r="N2342" s="78">
        <v>956.77104347806539</v>
      </c>
    </row>
    <row r="2343" spans="1:14" ht="19.5" customHeight="1" outlineLevel="1" x14ac:dyDescent="0.2">
      <c r="A2343" s="101">
        <v>21</v>
      </c>
      <c r="B2343" s="81" t="s">
        <v>28</v>
      </c>
      <c r="C2343" s="84">
        <v>8.27</v>
      </c>
      <c r="D2343" s="53">
        <v>7.5842587774513062</v>
      </c>
      <c r="E2343" s="78">
        <v>917.08086789012168</v>
      </c>
      <c r="F2343" s="84">
        <v>6.09</v>
      </c>
      <c r="G2343" s="53">
        <v>5.7586324266795188</v>
      </c>
      <c r="H2343" s="78">
        <v>945.58824740221985</v>
      </c>
      <c r="I2343" s="84">
        <v>4.84</v>
      </c>
      <c r="J2343" s="53">
        <v>5.0646909835181564</v>
      </c>
      <c r="K2343" s="78">
        <v>1046.4237569252391</v>
      </c>
      <c r="L2343" s="84">
        <v>6.3999999999999995</v>
      </c>
      <c r="M2343" s="53">
        <v>6.1358607292163283</v>
      </c>
      <c r="N2343" s="78">
        <v>958.72823894005126</v>
      </c>
    </row>
    <row r="2344" spans="1:14" ht="19.5" customHeight="1" outlineLevel="1" x14ac:dyDescent="0.2">
      <c r="A2344" s="101">
        <v>22</v>
      </c>
      <c r="B2344" s="81" t="s">
        <v>29</v>
      </c>
      <c r="C2344" s="84">
        <v>6.6099999999999994</v>
      </c>
      <c r="D2344" s="53">
        <v>6.5068019323265931</v>
      </c>
      <c r="E2344" s="78">
        <v>984.38758431567237</v>
      </c>
      <c r="F2344" s="84">
        <v>14.45</v>
      </c>
      <c r="G2344" s="53">
        <v>17.204945977821723</v>
      </c>
      <c r="H2344" s="78">
        <v>1190.6537008873165</v>
      </c>
      <c r="I2344" s="84">
        <v>15.41</v>
      </c>
      <c r="J2344" s="53">
        <v>19.375977412112032</v>
      </c>
      <c r="K2344" s="78">
        <v>1257.363881383</v>
      </c>
      <c r="L2344" s="84">
        <v>12.156666666666666</v>
      </c>
      <c r="M2344" s="53">
        <v>14.362575107420115</v>
      </c>
      <c r="N2344" s="78">
        <v>1181.4566855569055</v>
      </c>
    </row>
    <row r="2345" spans="1:14" ht="19.5" customHeight="1" outlineLevel="1" x14ac:dyDescent="0.2">
      <c r="A2345" s="101">
        <v>23</v>
      </c>
      <c r="B2345" s="81" t="s">
        <v>30</v>
      </c>
      <c r="C2345" s="84">
        <v>15.799999999999999</v>
      </c>
      <c r="D2345" s="53">
        <v>24.294362493394175</v>
      </c>
      <c r="E2345" s="78">
        <v>1537.6178793287454</v>
      </c>
      <c r="F2345" s="84">
        <v>15.49</v>
      </c>
      <c r="G2345" s="53">
        <v>22.007488426348509</v>
      </c>
      <c r="H2345" s="78">
        <v>1420.7545788475472</v>
      </c>
      <c r="I2345" s="84">
        <v>18.02</v>
      </c>
      <c r="J2345" s="53">
        <v>21.434789523425408</v>
      </c>
      <c r="K2345" s="78">
        <v>1189.4999735530193</v>
      </c>
      <c r="L2345" s="84">
        <v>16.436666666666667</v>
      </c>
      <c r="M2345" s="53">
        <v>22.578880147722696</v>
      </c>
      <c r="N2345" s="78">
        <v>1373.6897270973045</v>
      </c>
    </row>
    <row r="2346" spans="1:14" ht="19.5" customHeight="1" outlineLevel="1" x14ac:dyDescent="0.2">
      <c r="A2346" s="101">
        <v>24</v>
      </c>
      <c r="B2346" s="81" t="s">
        <v>31</v>
      </c>
      <c r="C2346" s="84">
        <v>19.25</v>
      </c>
      <c r="D2346" s="53">
        <v>22.12563033510266</v>
      </c>
      <c r="E2346" s="78">
        <v>1149.3833940313068</v>
      </c>
      <c r="F2346" s="84">
        <v>19.670000000000002</v>
      </c>
      <c r="G2346" s="53">
        <v>23.766182782324147</v>
      </c>
      <c r="H2346" s="78">
        <v>1208.2451846631493</v>
      </c>
      <c r="I2346" s="84">
        <v>19.510000000000002</v>
      </c>
      <c r="J2346" s="53">
        <v>24.672335090008364</v>
      </c>
      <c r="K2346" s="78">
        <v>1264.5994408000186</v>
      </c>
      <c r="L2346" s="84">
        <v>19.47666666666667</v>
      </c>
      <c r="M2346" s="53">
        <v>23.521382735811724</v>
      </c>
      <c r="N2346" s="78">
        <v>1207.6698306937387</v>
      </c>
    </row>
    <row r="2347" spans="1:14" ht="19.5" customHeight="1" outlineLevel="1" x14ac:dyDescent="0.2">
      <c r="A2347" s="101">
        <v>25</v>
      </c>
      <c r="B2347" s="81" t="s">
        <v>32</v>
      </c>
      <c r="C2347" s="84">
        <v>3.15</v>
      </c>
      <c r="D2347" s="53">
        <v>3.4985956534053022</v>
      </c>
      <c r="E2347" s="78">
        <v>1110.6652867953339</v>
      </c>
      <c r="F2347" s="84">
        <v>11.82</v>
      </c>
      <c r="G2347" s="53">
        <v>13.903262634567021</v>
      </c>
      <c r="H2347" s="78">
        <v>1176.2489538550778</v>
      </c>
      <c r="I2347" s="84">
        <v>12.41</v>
      </c>
      <c r="J2347" s="53">
        <v>15.687120238527275</v>
      </c>
      <c r="K2347" s="78">
        <v>1264.0709297765734</v>
      </c>
      <c r="L2347" s="84">
        <v>9.1266666666666669</v>
      </c>
      <c r="M2347" s="53">
        <v>11.0296595088332</v>
      </c>
      <c r="N2347" s="78">
        <v>1208.5090769357048</v>
      </c>
    </row>
    <row r="2348" spans="1:14" ht="19.5" customHeight="1" outlineLevel="1" x14ac:dyDescent="0.2">
      <c r="A2348" s="101">
        <v>26</v>
      </c>
      <c r="B2348" s="81" t="s">
        <v>33</v>
      </c>
      <c r="C2348" s="84">
        <v>10.5</v>
      </c>
      <c r="D2348" s="53">
        <v>12.663311244178354</v>
      </c>
      <c r="E2348" s="78">
        <v>1206.0296423027005</v>
      </c>
      <c r="F2348" s="84">
        <v>13.41</v>
      </c>
      <c r="G2348" s="53">
        <v>13.023070998814088</v>
      </c>
      <c r="H2348" s="78">
        <v>971.14623406518183</v>
      </c>
      <c r="I2348" s="84">
        <v>10.17</v>
      </c>
      <c r="J2348" s="53">
        <v>12.382182321466392</v>
      </c>
      <c r="K2348" s="78">
        <v>1217.5203855915822</v>
      </c>
      <c r="L2348" s="84">
        <v>11.36</v>
      </c>
      <c r="M2348" s="53">
        <v>12.689521521486279</v>
      </c>
      <c r="N2348" s="78">
        <v>1117.0353452012569</v>
      </c>
    </row>
    <row r="2349" spans="1:14" ht="19.5" customHeight="1" outlineLevel="1" x14ac:dyDescent="0.2">
      <c r="A2349" s="101">
        <v>27</v>
      </c>
      <c r="B2349" s="81" t="s">
        <v>34</v>
      </c>
      <c r="C2349" s="84">
        <v>7.51</v>
      </c>
      <c r="D2349" s="53">
        <v>7.8052350015611545</v>
      </c>
      <c r="E2349" s="78">
        <v>1039.3122505407664</v>
      </c>
      <c r="F2349" s="84">
        <v>7.46</v>
      </c>
      <c r="G2349" s="53">
        <v>8.5237149726041253</v>
      </c>
      <c r="H2349" s="78">
        <v>1142.5891384187835</v>
      </c>
      <c r="I2349" s="84">
        <v>6.09</v>
      </c>
      <c r="J2349" s="53">
        <v>7.5964694456568145</v>
      </c>
      <c r="K2349" s="78">
        <v>1247.3677250668004</v>
      </c>
      <c r="L2349" s="84">
        <v>7.02</v>
      </c>
      <c r="M2349" s="53">
        <v>7.9751398066073653</v>
      </c>
      <c r="N2349" s="78">
        <v>1136.0598015110209</v>
      </c>
    </row>
    <row r="2350" spans="1:14" ht="19.5" customHeight="1" outlineLevel="1" x14ac:dyDescent="0.2">
      <c r="A2350" s="101">
        <v>28</v>
      </c>
      <c r="B2350" s="81" t="s">
        <v>35</v>
      </c>
      <c r="C2350" s="84">
        <v>12.45</v>
      </c>
      <c r="D2350" s="53">
        <v>12.755429529119874</v>
      </c>
      <c r="E2350" s="78">
        <v>1024.5324922987852</v>
      </c>
      <c r="F2350" s="84">
        <v>26.71</v>
      </c>
      <c r="G2350" s="53">
        <v>20.572969691177267</v>
      </c>
      <c r="H2350" s="78">
        <v>770.23473197968053</v>
      </c>
      <c r="I2350" s="84">
        <v>15.16</v>
      </c>
      <c r="J2350" s="53">
        <v>18.528562986034583</v>
      </c>
      <c r="K2350" s="78">
        <v>1222.2007246724659</v>
      </c>
      <c r="L2350" s="84">
        <v>18.106666666666666</v>
      </c>
      <c r="M2350" s="53">
        <v>17.285654068777244</v>
      </c>
      <c r="N2350" s="78">
        <v>954.65688892363278</v>
      </c>
    </row>
    <row r="2351" spans="1:14" ht="19.5" customHeight="1" outlineLevel="1" x14ac:dyDescent="0.2">
      <c r="A2351" s="101">
        <v>29</v>
      </c>
      <c r="B2351" s="81" t="s">
        <v>36</v>
      </c>
      <c r="C2351" s="84">
        <v>28.009999999999998</v>
      </c>
      <c r="D2351" s="53">
        <v>30.329945932621445</v>
      </c>
      <c r="E2351" s="78">
        <v>1082.8256312967314</v>
      </c>
      <c r="F2351" s="84">
        <v>29.57</v>
      </c>
      <c r="G2351" s="53">
        <v>29.026906386602924</v>
      </c>
      <c r="H2351" s="78">
        <v>981.63362822465081</v>
      </c>
      <c r="I2351" s="84">
        <v>28.53</v>
      </c>
      <c r="J2351" s="53">
        <v>23.625958744876812</v>
      </c>
      <c r="K2351" s="78">
        <v>828.10931457682477</v>
      </c>
      <c r="L2351" s="84">
        <v>28.703333333333333</v>
      </c>
      <c r="M2351" s="53">
        <v>27.660937021367062</v>
      </c>
      <c r="N2351" s="78">
        <v>963.68378892232249</v>
      </c>
    </row>
    <row r="2352" spans="1:14" ht="19.5" customHeight="1" outlineLevel="1" x14ac:dyDescent="0.2">
      <c r="A2352" s="101">
        <v>30</v>
      </c>
      <c r="B2352" s="81" t="s">
        <v>37</v>
      </c>
      <c r="C2352" s="84">
        <v>5.83</v>
      </c>
      <c r="D2352" s="53">
        <v>6.8212402550541409</v>
      </c>
      <c r="E2352" s="78">
        <v>1170.0240574706932</v>
      </c>
      <c r="F2352" s="84">
        <v>4.87</v>
      </c>
      <c r="G2352" s="53">
        <v>5.8841540493095374</v>
      </c>
      <c r="H2352" s="78">
        <v>1208.2451846631493</v>
      </c>
      <c r="I2352" s="84">
        <v>4.41</v>
      </c>
      <c r="J2352" s="53">
        <v>5.5768835339280818</v>
      </c>
      <c r="K2352" s="78">
        <v>1264.5994408000186</v>
      </c>
      <c r="L2352" s="84">
        <v>5.0366666666666662</v>
      </c>
      <c r="M2352" s="53">
        <v>6.0940926127639203</v>
      </c>
      <c r="N2352" s="78">
        <v>1209.9455882390314</v>
      </c>
    </row>
    <row r="2353" spans="1:14" ht="19.5" customHeight="1" outlineLevel="1" x14ac:dyDescent="0.2">
      <c r="A2353" s="101">
        <v>31</v>
      </c>
      <c r="B2353" s="81" t="s">
        <v>38</v>
      </c>
      <c r="C2353" s="84">
        <v>3.39</v>
      </c>
      <c r="D2353" s="53">
        <v>3.9663815548256496</v>
      </c>
      <c r="E2353" s="78">
        <v>1170.0240574706932</v>
      </c>
      <c r="F2353" s="84">
        <v>2.86</v>
      </c>
      <c r="G2353" s="53">
        <v>3.4493813027570757</v>
      </c>
      <c r="H2353" s="78">
        <v>1206.0773785863901</v>
      </c>
      <c r="I2353" s="84">
        <v>3.56</v>
      </c>
      <c r="J2353" s="53">
        <v>4.501974009248066</v>
      </c>
      <c r="K2353" s="78">
        <v>1264.5994408000186</v>
      </c>
      <c r="L2353" s="84">
        <v>3.27</v>
      </c>
      <c r="M2353" s="53">
        <v>3.9725789556102638</v>
      </c>
      <c r="N2353" s="78">
        <v>1214.8559497279093</v>
      </c>
    </row>
    <row r="2354" spans="1:14" ht="19.5" customHeight="1" outlineLevel="1" x14ac:dyDescent="0.2">
      <c r="A2354" s="101">
        <v>32</v>
      </c>
      <c r="B2354" s="81" t="s">
        <v>39</v>
      </c>
      <c r="C2354" s="84">
        <v>0.82</v>
      </c>
      <c r="D2354" s="53">
        <v>0.95941972712596824</v>
      </c>
      <c r="E2354" s="78">
        <v>1170.0240574706932</v>
      </c>
      <c r="F2354" s="84">
        <v>0.31</v>
      </c>
      <c r="G2354" s="53">
        <v>0.37455600724557625</v>
      </c>
      <c r="H2354" s="78">
        <v>1208.2451846631493</v>
      </c>
      <c r="I2354" s="84">
        <v>0.26</v>
      </c>
      <c r="J2354" s="53">
        <v>0.31567821100609261</v>
      </c>
      <c r="K2354" s="78">
        <v>1214.1469654080486</v>
      </c>
      <c r="L2354" s="84">
        <v>0.46333333333333332</v>
      </c>
      <c r="M2354" s="53">
        <v>0.54988464845921248</v>
      </c>
      <c r="N2354" s="78">
        <v>1186.8013995522572</v>
      </c>
    </row>
    <row r="2355" spans="1:14" ht="19.5" customHeight="1" outlineLevel="1" thickBot="1" x14ac:dyDescent="0.25">
      <c r="A2355" s="102">
        <v>33</v>
      </c>
      <c r="B2355" s="91" t="s">
        <v>40</v>
      </c>
      <c r="C2355" s="92">
        <v>25.009999999999998</v>
      </c>
      <c r="D2355" s="93">
        <v>18.741391150522293</v>
      </c>
      <c r="E2355" s="94">
        <v>749.35590365942801</v>
      </c>
      <c r="F2355" s="92">
        <v>18.420000000000002</v>
      </c>
      <c r="G2355" s="93">
        <v>16.634819751395614</v>
      </c>
      <c r="H2355" s="94">
        <v>903.084677057308</v>
      </c>
      <c r="I2355" s="92">
        <v>13.9</v>
      </c>
      <c r="J2355" s="93">
        <v>15.124085521235521</v>
      </c>
      <c r="K2355" s="94">
        <v>1088.0637065637065</v>
      </c>
      <c r="L2355" s="92">
        <v>19.11</v>
      </c>
      <c r="M2355" s="93">
        <v>16.833432141051144</v>
      </c>
      <c r="N2355" s="94">
        <v>880.87033705134195</v>
      </c>
    </row>
    <row r="2356" spans="1:14" ht="19.5" customHeight="1" thickBot="1" x14ac:dyDescent="0.25">
      <c r="A2356" s="151" t="s">
        <v>41</v>
      </c>
      <c r="B2356" s="152"/>
      <c r="C2356" s="96">
        <v>1270.75</v>
      </c>
      <c r="D2356" s="97">
        <v>1021.5489253330632</v>
      </c>
      <c r="E2356" s="98">
        <v>803.8944917041614</v>
      </c>
      <c r="F2356" s="96">
        <v>1104.6599999999996</v>
      </c>
      <c r="G2356" s="97">
        <v>934.09194729158298</v>
      </c>
      <c r="H2356" s="98">
        <v>845.59226123113285</v>
      </c>
      <c r="I2356" s="96">
        <v>1144.9300000000003</v>
      </c>
      <c r="J2356" s="97">
        <v>1085.7259331935722</v>
      </c>
      <c r="K2356" s="98">
        <v>948.29023013946005</v>
      </c>
      <c r="L2356" s="96">
        <v>1173.4466666666667</v>
      </c>
      <c r="M2356" s="97">
        <v>1013.7889352727394</v>
      </c>
      <c r="N2356" s="98">
        <v>863.94121187675569</v>
      </c>
    </row>
    <row r="2357" spans="1:14" ht="34.5" customHeight="1" x14ac:dyDescent="0.2">
      <c r="A2357" s="153" t="s">
        <v>247</v>
      </c>
      <c r="B2357" s="154"/>
      <c r="C2357" s="154"/>
      <c r="D2357" s="154"/>
      <c r="E2357" s="154"/>
      <c r="F2357" s="154"/>
      <c r="G2357" s="154"/>
      <c r="H2357" s="154"/>
      <c r="I2357" s="154"/>
      <c r="J2357" s="154"/>
      <c r="K2357" s="154"/>
      <c r="L2357" s="154"/>
      <c r="M2357" s="154"/>
      <c r="N2357" s="154"/>
    </row>
    <row r="2358" spans="1:14" ht="19.5" customHeight="1" thickBot="1" x14ac:dyDescent="0.25">
      <c r="A2358" s="50"/>
      <c r="B2358" s="51" t="s">
        <v>104</v>
      </c>
      <c r="C2358" s="52"/>
      <c r="D2358" s="52"/>
      <c r="E2358" s="52"/>
      <c r="F2358" s="52"/>
      <c r="G2358" s="52"/>
      <c r="H2358" s="52"/>
      <c r="I2358" s="52"/>
      <c r="J2358" s="52"/>
      <c r="K2358" s="155" t="s">
        <v>1</v>
      </c>
      <c r="L2358" s="154"/>
      <c r="M2358" s="154"/>
      <c r="N2358" s="154"/>
    </row>
    <row r="2359" spans="1:14" ht="19.5" customHeight="1" x14ac:dyDescent="0.2">
      <c r="A2359" s="156" t="s">
        <v>2</v>
      </c>
      <c r="B2359" s="158" t="s">
        <v>3</v>
      </c>
      <c r="C2359" s="148" t="s">
        <v>243</v>
      </c>
      <c r="D2359" s="149"/>
      <c r="E2359" s="150"/>
      <c r="F2359" s="148" t="s">
        <v>244</v>
      </c>
      <c r="G2359" s="149"/>
      <c r="H2359" s="150"/>
      <c r="I2359" s="148" t="s">
        <v>246</v>
      </c>
      <c r="J2359" s="149"/>
      <c r="K2359" s="150"/>
      <c r="L2359" s="148" t="s">
        <v>4</v>
      </c>
      <c r="M2359" s="149"/>
      <c r="N2359" s="150"/>
    </row>
    <row r="2360" spans="1:14" ht="19.5" customHeight="1" thickBot="1" x14ac:dyDescent="0.25">
      <c r="A2360" s="157"/>
      <c r="B2360" s="159"/>
      <c r="C2360" s="85" t="s">
        <v>5</v>
      </c>
      <c r="D2360" s="79" t="s">
        <v>6</v>
      </c>
      <c r="E2360" s="80" t="s">
        <v>7</v>
      </c>
      <c r="F2360" s="85" t="s">
        <v>5</v>
      </c>
      <c r="G2360" s="79" t="s">
        <v>6</v>
      </c>
      <c r="H2360" s="80" t="s">
        <v>7</v>
      </c>
      <c r="I2360" s="85" t="s">
        <v>5</v>
      </c>
      <c r="J2360" s="79" t="s">
        <v>6</v>
      </c>
      <c r="K2360" s="80" t="s">
        <v>7</v>
      </c>
      <c r="L2360" s="85" t="s">
        <v>5</v>
      </c>
      <c r="M2360" s="79" t="s">
        <v>6</v>
      </c>
      <c r="N2360" s="80" t="s">
        <v>7</v>
      </c>
    </row>
    <row r="2361" spans="1:14" ht="19.5" customHeight="1" outlineLevel="1" x14ac:dyDescent="0.2">
      <c r="A2361" s="100">
        <v>1</v>
      </c>
      <c r="B2361" s="86" t="s">
        <v>8</v>
      </c>
      <c r="C2361" s="87">
        <v>7.46</v>
      </c>
      <c r="D2361" s="88">
        <v>4.8609359999999997</v>
      </c>
      <c r="E2361" s="89">
        <v>651.59999999999991</v>
      </c>
      <c r="F2361" s="87">
        <v>9</v>
      </c>
      <c r="G2361" s="88">
        <v>4.8379400000000015</v>
      </c>
      <c r="H2361" s="89">
        <v>537.548888888889</v>
      </c>
      <c r="I2361" s="87">
        <v>34.1</v>
      </c>
      <c r="J2361" s="88">
        <v>19.437000000000005</v>
      </c>
      <c r="K2361" s="89">
        <v>570.00000000000011</v>
      </c>
      <c r="L2361" s="87">
        <v>16.853333333333335</v>
      </c>
      <c r="M2361" s="88">
        <v>9.7119586666666695</v>
      </c>
      <c r="N2361" s="89">
        <v>576.26337025316468</v>
      </c>
    </row>
    <row r="2362" spans="1:14" ht="19.5" customHeight="1" outlineLevel="1" x14ac:dyDescent="0.2">
      <c r="A2362" s="101">
        <v>2</v>
      </c>
      <c r="B2362" s="81" t="s">
        <v>9</v>
      </c>
      <c r="C2362" s="84">
        <v>17.14</v>
      </c>
      <c r="D2362" s="53">
        <v>11.725932451071762</v>
      </c>
      <c r="E2362" s="78">
        <v>684.12674743709226</v>
      </c>
      <c r="F2362" s="84">
        <v>10.08</v>
      </c>
      <c r="G2362" s="53">
        <v>6.8703210997830801</v>
      </c>
      <c r="H2362" s="78">
        <v>681.57947418482934</v>
      </c>
      <c r="I2362" s="84">
        <v>9.08</v>
      </c>
      <c r="J2362" s="53">
        <v>5.6840799999999998</v>
      </c>
      <c r="K2362" s="78">
        <v>626</v>
      </c>
      <c r="L2362" s="84">
        <v>12.1</v>
      </c>
      <c r="M2362" s="53">
        <v>8.0934445169516138</v>
      </c>
      <c r="N2362" s="78">
        <v>668.87971214476147</v>
      </c>
    </row>
    <row r="2363" spans="1:14" ht="19.5" customHeight="1" outlineLevel="1" x14ac:dyDescent="0.2">
      <c r="A2363" s="101">
        <v>3</v>
      </c>
      <c r="B2363" s="81" t="s">
        <v>10</v>
      </c>
      <c r="C2363" s="84">
        <v>168.26</v>
      </c>
      <c r="D2363" s="53">
        <v>75.332080000000005</v>
      </c>
      <c r="E2363" s="78">
        <v>447.71234993462502</v>
      </c>
      <c r="F2363" s="84">
        <v>168.47</v>
      </c>
      <c r="G2363" s="53">
        <v>84.020379999999989</v>
      </c>
      <c r="H2363" s="78">
        <v>498.72606398765356</v>
      </c>
      <c r="I2363" s="84">
        <v>266.02999999999997</v>
      </c>
      <c r="J2363" s="53">
        <v>99.872305364367122</v>
      </c>
      <c r="K2363" s="78">
        <v>375.41745428849049</v>
      </c>
      <c r="L2363" s="84">
        <v>200.92</v>
      </c>
      <c r="M2363" s="53">
        <v>86.408255121455724</v>
      </c>
      <c r="N2363" s="78">
        <v>430.06298587226621</v>
      </c>
    </row>
    <row r="2364" spans="1:14" ht="19.5" customHeight="1" outlineLevel="1" x14ac:dyDescent="0.2">
      <c r="A2364" s="101">
        <v>4</v>
      </c>
      <c r="B2364" s="81" t="s">
        <v>11</v>
      </c>
      <c r="C2364" s="84">
        <v>111.41</v>
      </c>
      <c r="D2364" s="53">
        <v>68.4209252357265</v>
      </c>
      <c r="E2364" s="78">
        <v>614.13630047326546</v>
      </c>
      <c r="F2364" s="84">
        <v>115.49</v>
      </c>
      <c r="G2364" s="53">
        <v>59.458757978490603</v>
      </c>
      <c r="H2364" s="78">
        <v>514.83901617880861</v>
      </c>
      <c r="I2364" s="84">
        <v>95.44</v>
      </c>
      <c r="J2364" s="53">
        <v>56.423948160112026</v>
      </c>
      <c r="K2364" s="78">
        <v>591.19811567594331</v>
      </c>
      <c r="L2364" s="84">
        <v>107.44666666666666</v>
      </c>
      <c r="M2364" s="53">
        <v>61.434543791443041</v>
      </c>
      <c r="N2364" s="78">
        <v>571.76779603626346</v>
      </c>
    </row>
    <row r="2365" spans="1:14" ht="19.5" customHeight="1" outlineLevel="1" x14ac:dyDescent="0.2">
      <c r="A2365" s="101">
        <v>5</v>
      </c>
      <c r="B2365" s="81" t="s">
        <v>12</v>
      </c>
      <c r="C2365" s="84">
        <v>97.54</v>
      </c>
      <c r="D2365" s="53">
        <v>61.705428894147481</v>
      </c>
      <c r="E2365" s="78">
        <v>632.6166587466422</v>
      </c>
      <c r="F2365" s="84">
        <v>53.94</v>
      </c>
      <c r="G2365" s="53">
        <v>36.648708610169493</v>
      </c>
      <c r="H2365" s="78">
        <v>679.4347165400352</v>
      </c>
      <c r="I2365" s="84">
        <v>46.01</v>
      </c>
      <c r="J2365" s="53">
        <v>35.406777085181901</v>
      </c>
      <c r="K2365" s="78">
        <v>769.54525288376226</v>
      </c>
      <c r="L2365" s="84">
        <v>65.83</v>
      </c>
      <c r="M2365" s="53">
        <v>44.586971529832965</v>
      </c>
      <c r="N2365" s="78">
        <v>677.30474752898328</v>
      </c>
    </row>
    <row r="2366" spans="1:14" ht="19.5" customHeight="1" outlineLevel="1" x14ac:dyDescent="0.2">
      <c r="A2366" s="101">
        <v>6</v>
      </c>
      <c r="B2366" s="81" t="s">
        <v>13</v>
      </c>
      <c r="C2366" s="84">
        <v>97.63</v>
      </c>
      <c r="D2366" s="53">
        <v>63.694195999999991</v>
      </c>
      <c r="E2366" s="78">
        <v>652.40393321724866</v>
      </c>
      <c r="F2366" s="84">
        <v>63.89</v>
      </c>
      <c r="G2366" s="53">
        <v>43.827096000000012</v>
      </c>
      <c r="H2366" s="78">
        <v>685.97739865393669</v>
      </c>
      <c r="I2366" s="84">
        <v>52.78</v>
      </c>
      <c r="J2366" s="53">
        <v>37.496359200000001</v>
      </c>
      <c r="K2366" s="78">
        <v>710.42741947707464</v>
      </c>
      <c r="L2366" s="84">
        <v>71.433333333333323</v>
      </c>
      <c r="M2366" s="53">
        <v>48.339217066666663</v>
      </c>
      <c r="N2366" s="78">
        <v>676.7039253383108</v>
      </c>
    </row>
    <row r="2367" spans="1:14" ht="19.5" customHeight="1" outlineLevel="1" x14ac:dyDescent="0.2">
      <c r="A2367" s="101">
        <v>7</v>
      </c>
      <c r="B2367" s="81" t="s">
        <v>14</v>
      </c>
      <c r="C2367" s="84">
        <v>9.18</v>
      </c>
      <c r="D2367" s="53">
        <v>5.6076865110974925</v>
      </c>
      <c r="E2367" s="78">
        <v>610.85909706944358</v>
      </c>
      <c r="F2367" s="84">
        <v>5.47</v>
      </c>
      <c r="G2367" s="53">
        <v>3.5194940523283464</v>
      </c>
      <c r="H2367" s="78">
        <v>643.41755984064832</v>
      </c>
      <c r="I2367" s="84">
        <v>6.3</v>
      </c>
      <c r="J2367" s="53">
        <v>3.5907342955366381</v>
      </c>
      <c r="K2367" s="78">
        <v>569.95782468835523</v>
      </c>
      <c r="L2367" s="84">
        <v>6.9833333333333334</v>
      </c>
      <c r="M2367" s="53">
        <v>4.2393049529874922</v>
      </c>
      <c r="N2367" s="78">
        <v>607.06037512947387</v>
      </c>
    </row>
    <row r="2368" spans="1:14" ht="19.5" customHeight="1" outlineLevel="1" x14ac:dyDescent="0.2">
      <c r="A2368" s="101">
        <v>8</v>
      </c>
      <c r="B2368" s="81" t="s">
        <v>15</v>
      </c>
      <c r="C2368" s="84">
        <v>69.099999999999994</v>
      </c>
      <c r="D2368" s="53">
        <v>41.720957642524489</v>
      </c>
      <c r="E2368" s="78">
        <v>603.77652159948616</v>
      </c>
      <c r="F2368" s="84">
        <v>55.32</v>
      </c>
      <c r="G2368" s="53">
        <v>32.951218468842733</v>
      </c>
      <c r="H2368" s="78">
        <v>595.64747774480713</v>
      </c>
      <c r="I2368" s="84">
        <v>38.46</v>
      </c>
      <c r="J2368" s="53">
        <v>8.6875164462982291</v>
      </c>
      <c r="K2368" s="78">
        <v>225.88446298227322</v>
      </c>
      <c r="L2368" s="84">
        <v>54.293333333333329</v>
      </c>
      <c r="M2368" s="53">
        <v>27.786564185888484</v>
      </c>
      <c r="N2368" s="78">
        <v>511.78593171454725</v>
      </c>
    </row>
    <row r="2369" spans="1:14" ht="19.5" customHeight="1" outlineLevel="1" x14ac:dyDescent="0.2">
      <c r="A2369" s="101">
        <v>9</v>
      </c>
      <c r="B2369" s="81" t="s">
        <v>16</v>
      </c>
      <c r="C2369" s="84">
        <v>27.22</v>
      </c>
      <c r="D2369" s="53">
        <v>15.149504666926374</v>
      </c>
      <c r="E2369" s="78">
        <v>556.55784962991822</v>
      </c>
      <c r="F2369" s="84">
        <v>26.75</v>
      </c>
      <c r="G2369" s="53">
        <v>8.4967283105022826</v>
      </c>
      <c r="H2369" s="78">
        <v>317.63470319634706</v>
      </c>
      <c r="I2369" s="84">
        <v>26.11</v>
      </c>
      <c r="J2369" s="53">
        <v>14.693413289256195</v>
      </c>
      <c r="K2369" s="78">
        <v>562.75041322314041</v>
      </c>
      <c r="L2369" s="84">
        <v>26.693333333333332</v>
      </c>
      <c r="M2369" s="53">
        <v>12.779882088894951</v>
      </c>
      <c r="N2369" s="78">
        <v>478.76681152203861</v>
      </c>
    </row>
    <row r="2370" spans="1:14" ht="19.5" customHeight="1" outlineLevel="1" x14ac:dyDescent="0.2">
      <c r="A2370" s="101">
        <v>10</v>
      </c>
      <c r="B2370" s="81" t="s">
        <v>17</v>
      </c>
      <c r="C2370" s="84">
        <v>19</v>
      </c>
      <c r="D2370" s="53">
        <v>6.7604831372549015</v>
      </c>
      <c r="E2370" s="78">
        <v>355.81490196078431</v>
      </c>
      <c r="F2370" s="84">
        <v>5.9499999999999993</v>
      </c>
      <c r="G2370" s="53">
        <v>3.8432256338028168</v>
      </c>
      <c r="H2370" s="78">
        <v>645.92027458870882</v>
      </c>
      <c r="I2370" s="84">
        <v>10.57</v>
      </c>
      <c r="J2370" s="53">
        <v>3.3839264999999994</v>
      </c>
      <c r="K2370" s="78">
        <v>320.14441816461681</v>
      </c>
      <c r="L2370" s="84">
        <v>11.839999999999998</v>
      </c>
      <c r="M2370" s="53">
        <v>4.6625450903525723</v>
      </c>
      <c r="N2370" s="78">
        <v>393.79603803653492</v>
      </c>
    </row>
    <row r="2371" spans="1:14" ht="19.5" customHeight="1" outlineLevel="1" x14ac:dyDescent="0.2">
      <c r="A2371" s="101">
        <v>11</v>
      </c>
      <c r="B2371" s="81" t="s">
        <v>18</v>
      </c>
      <c r="C2371" s="84">
        <v>14.6</v>
      </c>
      <c r="D2371" s="53">
        <v>12.356847017196241</v>
      </c>
      <c r="E2371" s="78">
        <v>846.35938473946862</v>
      </c>
      <c r="F2371" s="84">
        <v>15.91</v>
      </c>
      <c r="G2371" s="53">
        <v>15.300284633778583</v>
      </c>
      <c r="H2371" s="78">
        <v>961.67722399613967</v>
      </c>
      <c r="I2371" s="84">
        <v>15.02</v>
      </c>
      <c r="J2371" s="53">
        <v>12.570884994933415</v>
      </c>
      <c r="K2371" s="78">
        <v>836.94307556147896</v>
      </c>
      <c r="L2371" s="84">
        <v>15.176666666666668</v>
      </c>
      <c r="M2371" s="53">
        <v>13.409338881969413</v>
      </c>
      <c r="N2371" s="78">
        <v>883.54967375155366</v>
      </c>
    </row>
    <row r="2372" spans="1:14" ht="19.5" customHeight="1" outlineLevel="1" x14ac:dyDescent="0.2">
      <c r="A2372" s="101">
        <v>12</v>
      </c>
      <c r="B2372" s="81" t="s">
        <v>19</v>
      </c>
      <c r="C2372" s="84">
        <v>19.489999999999998</v>
      </c>
      <c r="D2372" s="53">
        <v>21.941095999999998</v>
      </c>
      <c r="E2372" s="78">
        <v>1125.7617239610056</v>
      </c>
      <c r="F2372" s="84">
        <v>16.84</v>
      </c>
      <c r="G2372" s="53">
        <v>17.864375167167164</v>
      </c>
      <c r="H2372" s="78">
        <v>1060.8298792854609</v>
      </c>
      <c r="I2372" s="84">
        <v>20.18</v>
      </c>
      <c r="J2372" s="53">
        <v>15.675077629629627</v>
      </c>
      <c r="K2372" s="78">
        <v>776.76301435231051</v>
      </c>
      <c r="L2372" s="84">
        <v>18.836666666666666</v>
      </c>
      <c r="M2372" s="53">
        <v>18.493516265598931</v>
      </c>
      <c r="N2372" s="78">
        <v>981.78284899658092</v>
      </c>
    </row>
    <row r="2373" spans="1:14" ht="19.5" customHeight="1" outlineLevel="1" x14ac:dyDescent="0.2">
      <c r="A2373" s="101">
        <v>13</v>
      </c>
      <c r="B2373" s="81" t="s">
        <v>20</v>
      </c>
      <c r="C2373" s="84">
        <v>29.860000000000003</v>
      </c>
      <c r="D2373" s="53">
        <v>10.921300000000002</v>
      </c>
      <c r="E2373" s="78">
        <v>365.75016744809113</v>
      </c>
      <c r="F2373" s="84">
        <v>20.260000000000002</v>
      </c>
      <c r="G2373" s="53">
        <v>9.9922319999999996</v>
      </c>
      <c r="H2373" s="78">
        <v>493.2</v>
      </c>
      <c r="I2373" s="84">
        <v>6.6</v>
      </c>
      <c r="J2373" s="53">
        <v>5.816209367591366</v>
      </c>
      <c r="K2373" s="78">
        <v>881.24384357444944</v>
      </c>
      <c r="L2373" s="84">
        <v>18.90666666666667</v>
      </c>
      <c r="M2373" s="53">
        <v>8.9099137891971232</v>
      </c>
      <c r="N2373" s="78">
        <v>471.25778151606784</v>
      </c>
    </row>
    <row r="2374" spans="1:14" ht="19.5" customHeight="1" outlineLevel="1" x14ac:dyDescent="0.2">
      <c r="A2374" s="101">
        <v>14</v>
      </c>
      <c r="B2374" s="81" t="s">
        <v>21</v>
      </c>
      <c r="C2374" s="84">
        <v>1</v>
      </c>
      <c r="D2374" s="53">
        <v>0.9</v>
      </c>
      <c r="E2374" s="78">
        <v>900</v>
      </c>
      <c r="F2374" s="84">
        <v>1.2</v>
      </c>
      <c r="G2374" s="53">
        <v>1.55</v>
      </c>
      <c r="H2374" s="78">
        <v>1291.6666666666667</v>
      </c>
      <c r="I2374" s="84">
        <v>1.6</v>
      </c>
      <c r="J2374" s="53">
        <v>1.5829746948130132</v>
      </c>
      <c r="K2374" s="78">
        <v>989.35918425813327</v>
      </c>
      <c r="L2374" s="84">
        <v>1.2666666666666668</v>
      </c>
      <c r="M2374" s="53">
        <v>1.3443248982710045</v>
      </c>
      <c r="N2374" s="78">
        <v>1061.3091302139508</v>
      </c>
    </row>
    <row r="2375" spans="1:14" ht="19.5" customHeight="1" outlineLevel="1" x14ac:dyDescent="0.2">
      <c r="A2375" s="101">
        <v>15</v>
      </c>
      <c r="B2375" s="81" t="s">
        <v>22</v>
      </c>
      <c r="C2375" s="84">
        <v>72.990000000000009</v>
      </c>
      <c r="D2375" s="53">
        <v>92.305957386077765</v>
      </c>
      <c r="E2375" s="78">
        <v>1264.6384078103542</v>
      </c>
      <c r="F2375" s="84">
        <v>59.32</v>
      </c>
      <c r="G2375" s="53">
        <v>86.1691</v>
      </c>
      <c r="H2375" s="78">
        <v>1452.6146325016859</v>
      </c>
      <c r="I2375" s="84">
        <v>141.91</v>
      </c>
      <c r="J2375" s="53">
        <v>206.56276</v>
      </c>
      <c r="K2375" s="78">
        <v>1455.5898809104362</v>
      </c>
      <c r="L2375" s="84">
        <v>91.40666666666668</v>
      </c>
      <c r="M2375" s="53">
        <v>128.34593912869261</v>
      </c>
      <c r="N2375" s="78">
        <v>1404.1201129971475</v>
      </c>
    </row>
    <row r="2376" spans="1:14" ht="19.5" customHeight="1" outlineLevel="1" x14ac:dyDescent="0.2">
      <c r="A2376" s="101">
        <v>16</v>
      </c>
      <c r="B2376" s="81" t="s">
        <v>23</v>
      </c>
      <c r="C2376" s="84">
        <v>128.1</v>
      </c>
      <c r="D2376" s="53">
        <v>155.63280410384581</v>
      </c>
      <c r="E2376" s="78">
        <v>1214.9321163454006</v>
      </c>
      <c r="F2376" s="84">
        <v>141.6</v>
      </c>
      <c r="G2376" s="53">
        <v>203.40962633976099</v>
      </c>
      <c r="H2376" s="78">
        <v>1436.5086605915324</v>
      </c>
      <c r="I2376" s="84">
        <v>156.94</v>
      </c>
      <c r="J2376" s="53">
        <v>215.7732996672697</v>
      </c>
      <c r="K2376" s="78">
        <v>1374.8776581322143</v>
      </c>
      <c r="L2376" s="84">
        <v>142.21333333333334</v>
      </c>
      <c r="M2376" s="53">
        <v>191.60524337029219</v>
      </c>
      <c r="N2376" s="78">
        <v>1347.3085742332564</v>
      </c>
    </row>
    <row r="2377" spans="1:14" ht="19.5" customHeight="1" outlineLevel="1" x14ac:dyDescent="0.2">
      <c r="A2377" s="101">
        <v>17</v>
      </c>
      <c r="B2377" s="81" t="s">
        <v>24</v>
      </c>
      <c r="C2377" s="84">
        <v>15.77</v>
      </c>
      <c r="D2377" s="53">
        <v>10.674155211335128</v>
      </c>
      <c r="E2377" s="78">
        <v>676.8646297612637</v>
      </c>
      <c r="F2377" s="84">
        <v>7.8000000000000007</v>
      </c>
      <c r="G2377" s="53">
        <v>6.2537546954136136</v>
      </c>
      <c r="H2377" s="78">
        <v>801.76342248892468</v>
      </c>
      <c r="I2377" s="84">
        <v>7.7299999999999995</v>
      </c>
      <c r="J2377" s="53">
        <v>4.677223751708727</v>
      </c>
      <c r="K2377" s="78">
        <v>605.07422402441489</v>
      </c>
      <c r="L2377" s="84">
        <v>10.433333333333334</v>
      </c>
      <c r="M2377" s="53">
        <v>7.2017112194858228</v>
      </c>
      <c r="N2377" s="78">
        <v>690.2598612925708</v>
      </c>
    </row>
    <row r="2378" spans="1:14" ht="19.5" customHeight="1" outlineLevel="1" x14ac:dyDescent="0.2">
      <c r="A2378" s="101">
        <v>18</v>
      </c>
      <c r="B2378" s="81" t="s">
        <v>25</v>
      </c>
      <c r="C2378" s="84">
        <v>10.210000000000001</v>
      </c>
      <c r="D2378" s="53">
        <v>7.7600844086069376</v>
      </c>
      <c r="E2378" s="78">
        <v>760.0474445256549</v>
      </c>
      <c r="F2378" s="84">
        <v>4.24</v>
      </c>
      <c r="G2378" s="53">
        <v>3.6197666407585958</v>
      </c>
      <c r="H2378" s="78">
        <v>853.71854734872534</v>
      </c>
      <c r="I2378" s="84">
        <v>5.5600000000000005</v>
      </c>
      <c r="J2378" s="53">
        <v>4.1329300334940715</v>
      </c>
      <c r="K2378" s="78">
        <v>743.33273983706317</v>
      </c>
      <c r="L2378" s="84">
        <v>6.6700000000000008</v>
      </c>
      <c r="M2378" s="53">
        <v>5.1709270276198689</v>
      </c>
      <c r="N2378" s="78">
        <v>775.25142842876585</v>
      </c>
    </row>
    <row r="2379" spans="1:14" ht="19.5" customHeight="1" outlineLevel="1" x14ac:dyDescent="0.2">
      <c r="A2379" s="101">
        <v>19</v>
      </c>
      <c r="B2379" s="81" t="s">
        <v>26</v>
      </c>
      <c r="C2379" s="84">
        <v>1.1499999999999999</v>
      </c>
      <c r="D2379" s="53">
        <v>0.70248796162986005</v>
      </c>
      <c r="E2379" s="78">
        <v>610.85909706944358</v>
      </c>
      <c r="F2379" s="84">
        <v>0.42</v>
      </c>
      <c r="G2379" s="53">
        <v>0.27023537513307228</v>
      </c>
      <c r="H2379" s="78">
        <v>643.41755984064832</v>
      </c>
      <c r="I2379" s="84">
        <v>0.7</v>
      </c>
      <c r="J2379" s="53">
        <v>0.39897047728184859</v>
      </c>
      <c r="K2379" s="78">
        <v>569.95782468835523</v>
      </c>
      <c r="L2379" s="84">
        <v>0.75666666666666649</v>
      </c>
      <c r="M2379" s="53">
        <v>0.4572312713482603</v>
      </c>
      <c r="N2379" s="78">
        <v>604.27040266289919</v>
      </c>
    </row>
    <row r="2380" spans="1:14" ht="19.5" customHeight="1" outlineLevel="1" x14ac:dyDescent="0.2">
      <c r="A2380" s="101">
        <v>20</v>
      </c>
      <c r="B2380" s="81" t="s">
        <v>27</v>
      </c>
      <c r="C2380" s="84">
        <v>0</v>
      </c>
      <c r="D2380" s="53">
        <v>0</v>
      </c>
      <c r="E2380" s="78">
        <v>0</v>
      </c>
      <c r="F2380" s="84">
        <v>0</v>
      </c>
      <c r="G2380" s="53">
        <v>0</v>
      </c>
      <c r="H2380" s="78">
        <v>0</v>
      </c>
      <c r="I2380" s="84">
        <v>0.03</v>
      </c>
      <c r="J2380" s="53">
        <v>1.7098734740650656E-2</v>
      </c>
      <c r="K2380" s="78">
        <v>569.95782468835523</v>
      </c>
      <c r="L2380" s="84">
        <v>0.03</v>
      </c>
      <c r="M2380" s="53">
        <v>1.7098734740650656E-2</v>
      </c>
      <c r="N2380" s="78">
        <v>569.95782468835523</v>
      </c>
    </row>
    <row r="2381" spans="1:14" ht="19.5" customHeight="1" outlineLevel="1" x14ac:dyDescent="0.2">
      <c r="A2381" s="101">
        <v>21</v>
      </c>
      <c r="B2381" s="81" t="s">
        <v>28</v>
      </c>
      <c r="C2381" s="84">
        <v>6.42</v>
      </c>
      <c r="D2381" s="53">
        <v>3.9696638573616614</v>
      </c>
      <c r="E2381" s="78">
        <v>618.32770363888812</v>
      </c>
      <c r="F2381" s="84">
        <v>2.62</v>
      </c>
      <c r="G2381" s="53">
        <v>1.6857540067824988</v>
      </c>
      <c r="H2381" s="78">
        <v>643.41755984064832</v>
      </c>
      <c r="I2381" s="84">
        <v>1.5</v>
      </c>
      <c r="J2381" s="53">
        <v>0.85493673703253281</v>
      </c>
      <c r="K2381" s="78">
        <v>569.95782468835523</v>
      </c>
      <c r="L2381" s="84">
        <v>3.5133333333333332</v>
      </c>
      <c r="M2381" s="53">
        <v>2.1701182003922312</v>
      </c>
      <c r="N2381" s="78">
        <v>617.68070219892729</v>
      </c>
    </row>
    <row r="2382" spans="1:14" ht="19.5" customHeight="1" outlineLevel="1" x14ac:dyDescent="0.2">
      <c r="A2382" s="101">
        <v>22</v>
      </c>
      <c r="B2382" s="81" t="s">
        <v>29</v>
      </c>
      <c r="C2382" s="84">
        <v>3.92</v>
      </c>
      <c r="D2382" s="53">
        <v>2.6011724758602748</v>
      </c>
      <c r="E2382" s="78">
        <v>663.56440710721301</v>
      </c>
      <c r="F2382" s="84">
        <v>2.2999999999999998</v>
      </c>
      <c r="G2382" s="53">
        <v>1.7965478813832818</v>
      </c>
      <c r="H2382" s="78">
        <v>781.10777451447041</v>
      </c>
      <c r="I2382" s="84">
        <v>3.0300000000000002</v>
      </c>
      <c r="J2382" s="53">
        <v>1.9729975139927034</v>
      </c>
      <c r="K2382" s="78">
        <v>651.15429504709675</v>
      </c>
      <c r="L2382" s="84">
        <v>3.0833333333333335</v>
      </c>
      <c r="M2382" s="53">
        <v>2.1235726237454204</v>
      </c>
      <c r="N2382" s="78">
        <v>688.72625634986605</v>
      </c>
    </row>
    <row r="2383" spans="1:14" ht="19.5" customHeight="1" outlineLevel="1" x14ac:dyDescent="0.2">
      <c r="A2383" s="101">
        <v>23</v>
      </c>
      <c r="B2383" s="81" t="s">
        <v>30</v>
      </c>
      <c r="C2383" s="84">
        <v>4.4000000000000004</v>
      </c>
      <c r="D2383" s="53">
        <v>2.6877800271055521</v>
      </c>
      <c r="E2383" s="78">
        <v>610.85909706944358</v>
      </c>
      <c r="F2383" s="84">
        <v>1.88</v>
      </c>
      <c r="G2383" s="53">
        <v>1.2096250125004187</v>
      </c>
      <c r="H2383" s="78">
        <v>643.41755984064832</v>
      </c>
      <c r="I2383" s="84">
        <v>2.29</v>
      </c>
      <c r="J2383" s="53">
        <v>1.3052034185363335</v>
      </c>
      <c r="K2383" s="78">
        <v>569.95782468835523</v>
      </c>
      <c r="L2383" s="84">
        <v>2.8566666666666669</v>
      </c>
      <c r="M2383" s="53">
        <v>1.7342028193807681</v>
      </c>
      <c r="N2383" s="78">
        <v>607.07216547751511</v>
      </c>
    </row>
    <row r="2384" spans="1:14" ht="19.5" customHeight="1" outlineLevel="1" x14ac:dyDescent="0.2">
      <c r="A2384" s="101">
        <v>24</v>
      </c>
      <c r="B2384" s="81" t="s">
        <v>31</v>
      </c>
      <c r="C2384" s="84">
        <v>8.9</v>
      </c>
      <c r="D2384" s="53">
        <v>6.1224350000000003</v>
      </c>
      <c r="E2384" s="78">
        <v>687.91404494382027</v>
      </c>
      <c r="F2384" s="84">
        <v>6.59</v>
      </c>
      <c r="G2384" s="53">
        <v>3.9540000000000002</v>
      </c>
      <c r="H2384" s="78">
        <v>600</v>
      </c>
      <c r="I2384" s="84">
        <v>5.88</v>
      </c>
      <c r="J2384" s="53">
        <v>3.3513520091675288</v>
      </c>
      <c r="K2384" s="78">
        <v>569.95782468835523</v>
      </c>
      <c r="L2384" s="84">
        <v>7.123333333333334</v>
      </c>
      <c r="M2384" s="53">
        <v>4.4759290030558434</v>
      </c>
      <c r="N2384" s="78">
        <v>628.34754371396946</v>
      </c>
    </row>
    <row r="2385" spans="1:14" ht="19.5" customHeight="1" outlineLevel="1" x14ac:dyDescent="0.2">
      <c r="A2385" s="101">
        <v>25</v>
      </c>
      <c r="B2385" s="81" t="s">
        <v>32</v>
      </c>
      <c r="C2385" s="84">
        <v>0</v>
      </c>
      <c r="D2385" s="53">
        <v>0</v>
      </c>
      <c r="E2385" s="78">
        <v>0</v>
      </c>
      <c r="F2385" s="84">
        <v>0.13</v>
      </c>
      <c r="G2385" s="53">
        <v>8.9241755984064836E-2</v>
      </c>
      <c r="H2385" s="78">
        <v>686.47504603126799</v>
      </c>
      <c r="I2385" s="84">
        <v>0.49</v>
      </c>
      <c r="J2385" s="53">
        <v>0.27927933409729405</v>
      </c>
      <c r="K2385" s="78">
        <v>569.95782468835523</v>
      </c>
      <c r="L2385" s="84">
        <v>0.31</v>
      </c>
      <c r="M2385" s="53">
        <v>0.18426054504067946</v>
      </c>
      <c r="N2385" s="78">
        <v>594.38885496993373</v>
      </c>
    </row>
    <row r="2386" spans="1:14" ht="19.5" customHeight="1" outlineLevel="1" x14ac:dyDescent="0.2">
      <c r="A2386" s="101">
        <v>26</v>
      </c>
      <c r="B2386" s="81" t="s">
        <v>33</v>
      </c>
      <c r="C2386" s="84">
        <v>65.599999999999994</v>
      </c>
      <c r="D2386" s="53">
        <v>39.362038499655888</v>
      </c>
      <c r="E2386" s="78">
        <v>600.03107468987639</v>
      </c>
      <c r="F2386" s="84">
        <v>37.29</v>
      </c>
      <c r="G2386" s="53">
        <v>22.949343721633888</v>
      </c>
      <c r="H2386" s="78">
        <v>615.42890108967242</v>
      </c>
      <c r="I2386" s="84">
        <v>52.949999999999996</v>
      </c>
      <c r="J2386" s="53">
        <v>31.156434325422275</v>
      </c>
      <c r="K2386" s="78">
        <v>588.41235742062838</v>
      </c>
      <c r="L2386" s="84">
        <v>51.946666666666658</v>
      </c>
      <c r="M2386" s="53">
        <v>31.155938848904015</v>
      </c>
      <c r="N2386" s="78">
        <v>599.7678166498464</v>
      </c>
    </row>
    <row r="2387" spans="1:14" ht="19.5" customHeight="1" outlineLevel="1" x14ac:dyDescent="0.2">
      <c r="A2387" s="101">
        <v>27</v>
      </c>
      <c r="B2387" s="81" t="s">
        <v>34</v>
      </c>
      <c r="C2387" s="84">
        <v>5.62</v>
      </c>
      <c r="D2387" s="53">
        <v>4.9096320000000002</v>
      </c>
      <c r="E2387" s="78">
        <v>873.6</v>
      </c>
      <c r="F2387" s="84">
        <v>2.72</v>
      </c>
      <c r="G2387" s="53">
        <v>1.7603590603729375</v>
      </c>
      <c r="H2387" s="78">
        <v>647.19083101946228</v>
      </c>
      <c r="I2387" s="84">
        <v>0.87</v>
      </c>
      <c r="J2387" s="53">
        <v>0.49586330747886903</v>
      </c>
      <c r="K2387" s="78">
        <v>569.95782468835523</v>
      </c>
      <c r="L2387" s="84">
        <v>3.07</v>
      </c>
      <c r="M2387" s="53">
        <v>2.3886181226172689</v>
      </c>
      <c r="N2387" s="78">
        <v>778.05150573852416</v>
      </c>
    </row>
    <row r="2388" spans="1:14" ht="19.5" customHeight="1" outlineLevel="1" x14ac:dyDescent="0.2">
      <c r="A2388" s="101">
        <v>28</v>
      </c>
      <c r="B2388" s="81" t="s">
        <v>35</v>
      </c>
      <c r="C2388" s="84">
        <v>9.15</v>
      </c>
      <c r="D2388" s="53">
        <v>7.9019400000000006</v>
      </c>
      <c r="E2388" s="78">
        <v>863.6</v>
      </c>
      <c r="F2388" s="84">
        <v>8.57</v>
      </c>
      <c r="G2388" s="53">
        <v>9.449129869822487</v>
      </c>
      <c r="H2388" s="78">
        <v>1102.5822485207102</v>
      </c>
      <c r="I2388" s="84">
        <v>6.11</v>
      </c>
      <c r="J2388" s="53">
        <v>6.7576599999999987</v>
      </c>
      <c r="K2388" s="78">
        <v>1105.9999999999998</v>
      </c>
      <c r="L2388" s="84">
        <v>7.9433333333333325</v>
      </c>
      <c r="M2388" s="53">
        <v>8.0362432899408294</v>
      </c>
      <c r="N2388" s="78">
        <v>1011.6965954604486</v>
      </c>
    </row>
    <row r="2389" spans="1:14" ht="19.5" customHeight="1" outlineLevel="1" x14ac:dyDescent="0.2">
      <c r="A2389" s="101">
        <v>29</v>
      </c>
      <c r="B2389" s="81" t="s">
        <v>36</v>
      </c>
      <c r="C2389" s="84">
        <v>11.43</v>
      </c>
      <c r="D2389" s="53">
        <v>11.580652000000001</v>
      </c>
      <c r="E2389" s="78">
        <v>1013.1804024496938</v>
      </c>
      <c r="F2389" s="84">
        <v>8.5500000000000007</v>
      </c>
      <c r="G2389" s="53">
        <v>10.649744000000002</v>
      </c>
      <c r="H2389" s="78">
        <v>1245.5840935672516</v>
      </c>
      <c r="I2389" s="84">
        <v>6.97</v>
      </c>
      <c r="J2389" s="53">
        <v>5.6834400000000009</v>
      </c>
      <c r="K2389" s="78">
        <v>815.41463414634154</v>
      </c>
      <c r="L2389" s="84">
        <v>8.9833333333333325</v>
      </c>
      <c r="M2389" s="53">
        <v>9.3046120000000005</v>
      </c>
      <c r="N2389" s="78">
        <v>1035.763858998145</v>
      </c>
    </row>
    <row r="2390" spans="1:14" ht="19.5" customHeight="1" outlineLevel="1" x14ac:dyDescent="0.2">
      <c r="A2390" s="101">
        <v>30</v>
      </c>
      <c r="B2390" s="81" t="s">
        <v>37</v>
      </c>
      <c r="C2390" s="84">
        <v>93.660000000000011</v>
      </c>
      <c r="D2390" s="53">
        <v>76.87454000000001</v>
      </c>
      <c r="E2390" s="78">
        <v>820.78304505658764</v>
      </c>
      <c r="F2390" s="84">
        <v>97.61</v>
      </c>
      <c r="G2390" s="53">
        <v>98.411670000000015</v>
      </c>
      <c r="H2390" s="78">
        <v>1008.2129904722879</v>
      </c>
      <c r="I2390" s="84">
        <v>70.040000000000006</v>
      </c>
      <c r="J2390" s="53">
        <v>62.685214000000002</v>
      </c>
      <c r="K2390" s="78">
        <v>894.99163335236994</v>
      </c>
      <c r="L2390" s="84">
        <v>87.103333333333339</v>
      </c>
      <c r="M2390" s="53">
        <v>79.323808000000014</v>
      </c>
      <c r="N2390" s="78">
        <v>910.6862500478361</v>
      </c>
    </row>
    <row r="2391" spans="1:14" ht="19.5" customHeight="1" outlineLevel="1" x14ac:dyDescent="0.2">
      <c r="A2391" s="101">
        <v>31</v>
      </c>
      <c r="B2391" s="81" t="s">
        <v>38</v>
      </c>
      <c r="C2391" s="84">
        <v>2.2199999999999998</v>
      </c>
      <c r="D2391" s="53">
        <v>1.4176144185162487</v>
      </c>
      <c r="E2391" s="78">
        <v>638.56505338569764</v>
      </c>
      <c r="F2391" s="84">
        <v>1.91</v>
      </c>
      <c r="G2391" s="53">
        <v>1.2838125062502095</v>
      </c>
      <c r="H2391" s="78">
        <v>672.15314463361756</v>
      </c>
      <c r="I2391" s="84">
        <v>2.64</v>
      </c>
      <c r="J2391" s="53">
        <v>1.6256278802170874</v>
      </c>
      <c r="K2391" s="78">
        <v>615.76813644586639</v>
      </c>
      <c r="L2391" s="84">
        <v>2.2566666666666664</v>
      </c>
      <c r="M2391" s="53">
        <v>1.4423516016611817</v>
      </c>
      <c r="N2391" s="78">
        <v>639.15137444365519</v>
      </c>
    </row>
    <row r="2392" spans="1:14" ht="19.5" customHeight="1" outlineLevel="1" x14ac:dyDescent="0.2">
      <c r="A2392" s="101">
        <v>32</v>
      </c>
      <c r="B2392" s="81" t="s">
        <v>39</v>
      </c>
      <c r="C2392" s="84">
        <v>35.6</v>
      </c>
      <c r="D2392" s="53">
        <v>19.930384569224174</v>
      </c>
      <c r="E2392" s="78">
        <v>559.84226318045432</v>
      </c>
      <c r="F2392" s="84">
        <v>49.78</v>
      </c>
      <c r="G2392" s="53">
        <v>28.768294182106931</v>
      </c>
      <c r="H2392" s="78">
        <v>577.9086818422445</v>
      </c>
      <c r="I2392" s="84">
        <v>41.84</v>
      </c>
      <c r="J2392" s="53">
        <v>26.660420962843297</v>
      </c>
      <c r="K2392" s="78">
        <v>637.19935379644585</v>
      </c>
      <c r="L2392" s="84">
        <v>42.406666666666666</v>
      </c>
      <c r="M2392" s="53">
        <v>25.119699904724797</v>
      </c>
      <c r="N2392" s="78">
        <v>592.35261526626618</v>
      </c>
    </row>
    <row r="2393" spans="1:14" ht="19.5" customHeight="1" outlineLevel="1" thickBot="1" x14ac:dyDescent="0.25">
      <c r="A2393" s="102">
        <v>33</v>
      </c>
      <c r="B2393" s="91" t="s">
        <v>40</v>
      </c>
      <c r="C2393" s="92">
        <v>5.65</v>
      </c>
      <c r="D2393" s="93">
        <v>3.5876734880577734</v>
      </c>
      <c r="E2393" s="94">
        <v>634.98645806332263</v>
      </c>
      <c r="F2393" s="92">
        <v>4.37</v>
      </c>
      <c r="G2393" s="93">
        <v>2.8209322097084137</v>
      </c>
      <c r="H2393" s="94">
        <v>645.522244784534</v>
      </c>
      <c r="I2393" s="92">
        <v>4.2</v>
      </c>
      <c r="J2393" s="93">
        <v>2.4670300334940718</v>
      </c>
      <c r="K2393" s="94">
        <v>587.38810321287417</v>
      </c>
      <c r="L2393" s="92">
        <v>4.7399999999999993</v>
      </c>
      <c r="M2393" s="93">
        <v>2.9585452437534201</v>
      </c>
      <c r="N2393" s="94">
        <v>624.1656632391182</v>
      </c>
    </row>
    <row r="2394" spans="1:14" ht="19.5" customHeight="1" thickBot="1" x14ac:dyDescent="0.25">
      <c r="A2394" s="151" t="s">
        <v>41</v>
      </c>
      <c r="B2394" s="152"/>
      <c r="C2394" s="96">
        <v>1169.68</v>
      </c>
      <c r="D2394" s="97">
        <v>849.11838896322229</v>
      </c>
      <c r="E2394" s="98">
        <v>725.94076068943832</v>
      </c>
      <c r="F2394" s="96">
        <v>1006.27</v>
      </c>
      <c r="G2394" s="97">
        <v>813.73169921247666</v>
      </c>
      <c r="H2394" s="98">
        <v>808.66139228286306</v>
      </c>
      <c r="I2394" s="96">
        <v>1139.96</v>
      </c>
      <c r="J2394" s="97">
        <v>897.17894921449647</v>
      </c>
      <c r="K2394" s="98">
        <v>787.02669323002249</v>
      </c>
      <c r="L2394" s="96">
        <v>1105.3033333333333</v>
      </c>
      <c r="M2394" s="97">
        <v>853.3430124633984</v>
      </c>
      <c r="N2394" s="98">
        <v>772.04418617821216</v>
      </c>
    </row>
    <row r="2395" spans="1:14" ht="34.5" customHeight="1" x14ac:dyDescent="0.2">
      <c r="A2395" s="153" t="s">
        <v>247</v>
      </c>
      <c r="B2395" s="154"/>
      <c r="C2395" s="154"/>
      <c r="D2395" s="154"/>
      <c r="E2395" s="154"/>
      <c r="F2395" s="154"/>
      <c r="G2395" s="154"/>
      <c r="H2395" s="154"/>
      <c r="I2395" s="154"/>
      <c r="J2395" s="154"/>
      <c r="K2395" s="154"/>
      <c r="L2395" s="154"/>
      <c r="M2395" s="154"/>
      <c r="N2395" s="154"/>
    </row>
    <row r="2396" spans="1:14" ht="19.5" customHeight="1" thickBot="1" x14ac:dyDescent="0.25">
      <c r="A2396" s="50"/>
      <c r="B2396" s="51" t="s">
        <v>105</v>
      </c>
      <c r="C2396" s="52"/>
      <c r="D2396" s="52"/>
      <c r="E2396" s="52"/>
      <c r="F2396" s="52"/>
      <c r="G2396" s="52"/>
      <c r="H2396" s="52"/>
      <c r="I2396" s="52"/>
      <c r="J2396" s="52"/>
      <c r="K2396" s="155" t="s">
        <v>1</v>
      </c>
      <c r="L2396" s="154"/>
      <c r="M2396" s="154"/>
      <c r="N2396" s="154"/>
    </row>
    <row r="2397" spans="1:14" ht="19.5" customHeight="1" x14ac:dyDescent="0.2">
      <c r="A2397" s="156" t="s">
        <v>2</v>
      </c>
      <c r="B2397" s="158" t="s">
        <v>3</v>
      </c>
      <c r="C2397" s="148" t="s">
        <v>243</v>
      </c>
      <c r="D2397" s="149"/>
      <c r="E2397" s="150"/>
      <c r="F2397" s="148" t="s">
        <v>244</v>
      </c>
      <c r="G2397" s="149"/>
      <c r="H2397" s="150"/>
      <c r="I2397" s="148" t="s">
        <v>246</v>
      </c>
      <c r="J2397" s="149"/>
      <c r="K2397" s="150"/>
      <c r="L2397" s="148" t="s">
        <v>4</v>
      </c>
      <c r="M2397" s="149"/>
      <c r="N2397" s="150"/>
    </row>
    <row r="2398" spans="1:14" ht="19.5" customHeight="1" thickBot="1" x14ac:dyDescent="0.25">
      <c r="A2398" s="157"/>
      <c r="B2398" s="159"/>
      <c r="C2398" s="85" t="s">
        <v>5</v>
      </c>
      <c r="D2398" s="79" t="s">
        <v>6</v>
      </c>
      <c r="E2398" s="80" t="s">
        <v>7</v>
      </c>
      <c r="F2398" s="85" t="s">
        <v>5</v>
      </c>
      <c r="G2398" s="79" t="s">
        <v>6</v>
      </c>
      <c r="H2398" s="80" t="s">
        <v>7</v>
      </c>
      <c r="I2398" s="85" t="s">
        <v>5</v>
      </c>
      <c r="J2398" s="79" t="s">
        <v>6</v>
      </c>
      <c r="K2398" s="80" t="s">
        <v>7</v>
      </c>
      <c r="L2398" s="85" t="s">
        <v>5</v>
      </c>
      <c r="M2398" s="79" t="s">
        <v>6</v>
      </c>
      <c r="N2398" s="80" t="s">
        <v>7</v>
      </c>
    </row>
    <row r="2399" spans="1:14" ht="19.5" customHeight="1" outlineLevel="1" x14ac:dyDescent="0.2">
      <c r="A2399" s="100">
        <v>1</v>
      </c>
      <c r="B2399" s="86" t="s">
        <v>8</v>
      </c>
      <c r="C2399" s="87">
        <v>673.85</v>
      </c>
      <c r="D2399" s="88">
        <v>1156.9330215351638</v>
      </c>
      <c r="E2399" s="89">
        <v>1716.8999354977573</v>
      </c>
      <c r="F2399" s="87">
        <v>684.48</v>
      </c>
      <c r="G2399" s="88">
        <v>1347.9219250000001</v>
      </c>
      <c r="H2399" s="89">
        <v>1969.2641494273025</v>
      </c>
      <c r="I2399" s="87">
        <v>832.38</v>
      </c>
      <c r="J2399" s="88">
        <v>1596.9733920115546</v>
      </c>
      <c r="K2399" s="89">
        <v>1918.5629063787626</v>
      </c>
      <c r="L2399" s="87">
        <v>730.23666666666668</v>
      </c>
      <c r="M2399" s="88">
        <v>1367.2761128489062</v>
      </c>
      <c r="N2399" s="89">
        <v>1872.3739511604542</v>
      </c>
    </row>
    <row r="2400" spans="1:14" ht="19.5" customHeight="1" outlineLevel="1" x14ac:dyDescent="0.2">
      <c r="A2400" s="101">
        <v>2</v>
      </c>
      <c r="B2400" s="81" t="s">
        <v>9</v>
      </c>
      <c r="C2400" s="84">
        <v>1510.4</v>
      </c>
      <c r="D2400" s="53">
        <v>3897.63708099929</v>
      </c>
      <c r="E2400" s="78">
        <v>2580.5330250260131</v>
      </c>
      <c r="F2400" s="84">
        <v>1776.1</v>
      </c>
      <c r="G2400" s="53">
        <v>4972.8539739692078</v>
      </c>
      <c r="H2400" s="78">
        <v>2799.8727402562968</v>
      </c>
      <c r="I2400" s="84">
        <v>1980.96</v>
      </c>
      <c r="J2400" s="53">
        <v>5382.2208140425973</v>
      </c>
      <c r="K2400" s="78">
        <v>2716.9760187195084</v>
      </c>
      <c r="L2400" s="84">
        <v>1755.82</v>
      </c>
      <c r="M2400" s="53">
        <v>4750.9039563370316</v>
      </c>
      <c r="N2400" s="78">
        <v>2705.8035313056189</v>
      </c>
    </row>
    <row r="2401" spans="1:14" ht="19.5" customHeight="1" outlineLevel="1" x14ac:dyDescent="0.2">
      <c r="A2401" s="101">
        <v>3</v>
      </c>
      <c r="B2401" s="81" t="s">
        <v>10</v>
      </c>
      <c r="C2401" s="84">
        <v>14.5</v>
      </c>
      <c r="D2401" s="53">
        <v>29.196255935054594</v>
      </c>
      <c r="E2401" s="78">
        <v>2013.5348920727308</v>
      </c>
      <c r="F2401" s="84">
        <v>16.11</v>
      </c>
      <c r="G2401" s="53">
        <v>31.277796061822247</v>
      </c>
      <c r="H2401" s="78">
        <v>1941.514342757433</v>
      </c>
      <c r="I2401" s="84">
        <v>53.86</v>
      </c>
      <c r="J2401" s="53">
        <v>98.228107995523672</v>
      </c>
      <c r="K2401" s="78">
        <v>1823.7673226053412</v>
      </c>
      <c r="L2401" s="84">
        <v>28.156666666666666</v>
      </c>
      <c r="M2401" s="53">
        <v>52.900719997466837</v>
      </c>
      <c r="N2401" s="78">
        <v>1878.7991001823195</v>
      </c>
    </row>
    <row r="2402" spans="1:14" ht="19.5" customHeight="1" outlineLevel="1" x14ac:dyDescent="0.2">
      <c r="A2402" s="101">
        <v>4</v>
      </c>
      <c r="B2402" s="81" t="s">
        <v>11</v>
      </c>
      <c r="C2402" s="84">
        <v>223.47</v>
      </c>
      <c r="D2402" s="53">
        <v>620.62127324801054</v>
      </c>
      <c r="E2402" s="78">
        <v>2777.2017418356404</v>
      </c>
      <c r="F2402" s="84">
        <v>220.69</v>
      </c>
      <c r="G2402" s="53">
        <v>556.85978001586079</v>
      </c>
      <c r="H2402" s="78">
        <v>2523.2669355922826</v>
      </c>
      <c r="I2402" s="84">
        <v>241.72000000000003</v>
      </c>
      <c r="J2402" s="53">
        <v>581.12445305629581</v>
      </c>
      <c r="K2402" s="78">
        <v>2404.1223442673163</v>
      </c>
      <c r="L2402" s="84">
        <v>228.62666666666667</v>
      </c>
      <c r="M2402" s="53">
        <v>586.20183544005567</v>
      </c>
      <c r="N2402" s="78">
        <v>2564.0133934801524</v>
      </c>
    </row>
    <row r="2403" spans="1:14" ht="19.5" customHeight="1" outlineLevel="1" x14ac:dyDescent="0.2">
      <c r="A2403" s="101">
        <v>5</v>
      </c>
      <c r="B2403" s="81" t="s">
        <v>12</v>
      </c>
      <c r="C2403" s="84">
        <v>744.18999999999994</v>
      </c>
      <c r="D2403" s="53">
        <v>2170.9338216626556</v>
      </c>
      <c r="E2403" s="78">
        <v>2917.1768253573091</v>
      </c>
      <c r="F2403" s="84">
        <v>690.5</v>
      </c>
      <c r="G2403" s="53">
        <v>2138.5281597109688</v>
      </c>
      <c r="H2403" s="78">
        <v>3097.0719184807658</v>
      </c>
      <c r="I2403" s="84">
        <v>799.27</v>
      </c>
      <c r="J2403" s="53">
        <v>2317.2606449403838</v>
      </c>
      <c r="K2403" s="78">
        <v>2899.2213456533887</v>
      </c>
      <c r="L2403" s="84">
        <v>744.65333333333331</v>
      </c>
      <c r="M2403" s="53">
        <v>2208.9075421046696</v>
      </c>
      <c r="N2403" s="78">
        <v>2966.3568847759175</v>
      </c>
    </row>
    <row r="2404" spans="1:14" ht="19.5" customHeight="1" outlineLevel="1" x14ac:dyDescent="0.2">
      <c r="A2404" s="101">
        <v>6</v>
      </c>
      <c r="B2404" s="81" t="s">
        <v>13</v>
      </c>
      <c r="C2404" s="84">
        <v>559.69999999999993</v>
      </c>
      <c r="D2404" s="53">
        <v>1168.9641793859473</v>
      </c>
      <c r="E2404" s="78">
        <v>2088.5549033159682</v>
      </c>
      <c r="F2404" s="84">
        <v>506.56</v>
      </c>
      <c r="G2404" s="53">
        <v>1015.4860818339944</v>
      </c>
      <c r="H2404" s="78">
        <v>2004.6708817000836</v>
      </c>
      <c r="I2404" s="84">
        <v>586.70999999999992</v>
      </c>
      <c r="J2404" s="53">
        <v>1311.9834584966693</v>
      </c>
      <c r="K2404" s="78">
        <v>2236.1702689517301</v>
      </c>
      <c r="L2404" s="84">
        <v>550.9899999999999</v>
      </c>
      <c r="M2404" s="53">
        <v>1165.4779065722037</v>
      </c>
      <c r="N2404" s="78">
        <v>2115.2433012798851</v>
      </c>
    </row>
    <row r="2405" spans="1:14" ht="19.5" customHeight="1" outlineLevel="1" x14ac:dyDescent="0.2">
      <c r="A2405" s="101">
        <v>7</v>
      </c>
      <c r="B2405" s="81" t="s">
        <v>14</v>
      </c>
      <c r="C2405" s="84">
        <v>119.9</v>
      </c>
      <c r="D2405" s="53">
        <v>316.12335606538608</v>
      </c>
      <c r="E2405" s="78">
        <v>2636.5584325720274</v>
      </c>
      <c r="F2405" s="84">
        <v>122.79</v>
      </c>
      <c r="G2405" s="53">
        <v>319.26643980143439</v>
      </c>
      <c r="H2405" s="78">
        <v>2600.1013095645767</v>
      </c>
      <c r="I2405" s="84">
        <v>158.91</v>
      </c>
      <c r="J2405" s="53">
        <v>408.33313489411955</v>
      </c>
      <c r="K2405" s="78">
        <v>2569.587407300482</v>
      </c>
      <c r="L2405" s="84">
        <v>133.86666666666667</v>
      </c>
      <c r="M2405" s="53">
        <v>347.90764358697999</v>
      </c>
      <c r="N2405" s="78">
        <v>2598.9116801816235</v>
      </c>
    </row>
    <row r="2406" spans="1:14" ht="19.5" customHeight="1" outlineLevel="1" x14ac:dyDescent="0.2">
      <c r="A2406" s="101">
        <v>8</v>
      </c>
      <c r="B2406" s="81" t="s">
        <v>15</v>
      </c>
      <c r="C2406" s="84">
        <v>1.61</v>
      </c>
      <c r="D2406" s="53">
        <v>4.1521766477786395</v>
      </c>
      <c r="E2406" s="78">
        <v>2578.9917066948069</v>
      </c>
      <c r="F2406" s="84">
        <v>1.7</v>
      </c>
      <c r="G2406" s="53">
        <v>4.6885840535955126</v>
      </c>
      <c r="H2406" s="78">
        <v>2757.9906197620662</v>
      </c>
      <c r="I2406" s="84">
        <v>1.54</v>
      </c>
      <c r="J2406" s="53">
        <v>4.1035167758042617</v>
      </c>
      <c r="K2406" s="78">
        <v>2664.6212829897804</v>
      </c>
      <c r="L2406" s="84">
        <v>1.6166666666666665</v>
      </c>
      <c r="M2406" s="53">
        <v>4.3147591590594709</v>
      </c>
      <c r="N2406" s="78">
        <v>2668.9231911708071</v>
      </c>
    </row>
    <row r="2407" spans="1:14" ht="19.5" customHeight="1" outlineLevel="1" x14ac:dyDescent="0.2">
      <c r="A2407" s="101">
        <v>9</v>
      </c>
      <c r="B2407" s="81" t="s">
        <v>16</v>
      </c>
      <c r="C2407" s="84">
        <v>212.72</v>
      </c>
      <c r="D2407" s="53">
        <v>535.18850793106355</v>
      </c>
      <c r="E2407" s="78">
        <v>2515.9294280324534</v>
      </c>
      <c r="F2407" s="84">
        <v>253.45000000000002</v>
      </c>
      <c r="G2407" s="53">
        <v>628.07936565972</v>
      </c>
      <c r="H2407" s="78">
        <v>2478.1194147158017</v>
      </c>
      <c r="I2407" s="84">
        <v>311.97000000000003</v>
      </c>
      <c r="J2407" s="53">
        <v>685.46942463550749</v>
      </c>
      <c r="K2407" s="78">
        <v>2197.2286586386749</v>
      </c>
      <c r="L2407" s="84">
        <v>259.38000000000005</v>
      </c>
      <c r="M2407" s="53">
        <v>616.24576607543031</v>
      </c>
      <c r="N2407" s="78">
        <v>2375.8414915391709</v>
      </c>
    </row>
    <row r="2408" spans="1:14" ht="19.5" customHeight="1" outlineLevel="1" x14ac:dyDescent="0.2">
      <c r="A2408" s="101">
        <v>10</v>
      </c>
      <c r="B2408" s="81" t="s">
        <v>17</v>
      </c>
      <c r="C2408" s="84">
        <v>658.3</v>
      </c>
      <c r="D2408" s="53">
        <v>1267.3395130199999</v>
      </c>
      <c r="E2408" s="78">
        <v>1925.1701549749355</v>
      </c>
      <c r="F2408" s="84">
        <v>569.4</v>
      </c>
      <c r="G2408" s="53">
        <v>1497.1923720000002</v>
      </c>
      <c r="H2408" s="78">
        <v>2629.4210958904114</v>
      </c>
      <c r="I2408" s="84">
        <v>700.78000000000009</v>
      </c>
      <c r="J2408" s="53">
        <v>1506.0330106000001</v>
      </c>
      <c r="K2408" s="78">
        <v>2149.0810391278292</v>
      </c>
      <c r="L2408" s="84">
        <v>642.82666666666671</v>
      </c>
      <c r="M2408" s="53">
        <v>1423.5216318733335</v>
      </c>
      <c r="N2408" s="78">
        <v>2214.4719652887252</v>
      </c>
    </row>
    <row r="2409" spans="1:14" ht="19.5" customHeight="1" outlineLevel="1" x14ac:dyDescent="0.2">
      <c r="A2409" s="101">
        <v>11</v>
      </c>
      <c r="B2409" s="81" t="s">
        <v>18</v>
      </c>
      <c r="C2409" s="84">
        <v>2444.98</v>
      </c>
      <c r="D2409" s="53">
        <v>6501.0226211401041</v>
      </c>
      <c r="E2409" s="78">
        <v>2658.926707433232</v>
      </c>
      <c r="F2409" s="84">
        <v>2274.41</v>
      </c>
      <c r="G2409" s="53">
        <v>6299.2738028799986</v>
      </c>
      <c r="H2409" s="78">
        <v>2769.6298393341567</v>
      </c>
      <c r="I2409" s="84">
        <v>2702.48</v>
      </c>
      <c r="J2409" s="53">
        <v>7656.2320207810099</v>
      </c>
      <c r="K2409" s="78">
        <v>2833.03929012648</v>
      </c>
      <c r="L2409" s="84">
        <v>2473.9566666666665</v>
      </c>
      <c r="M2409" s="53">
        <v>6818.8428149337051</v>
      </c>
      <c r="N2409" s="78">
        <v>2756.2498999310305</v>
      </c>
    </row>
    <row r="2410" spans="1:14" ht="19.5" customHeight="1" outlineLevel="1" x14ac:dyDescent="0.2">
      <c r="A2410" s="101">
        <v>12</v>
      </c>
      <c r="B2410" s="81" t="s">
        <v>19</v>
      </c>
      <c r="C2410" s="84">
        <v>1553.02</v>
      </c>
      <c r="D2410" s="53">
        <v>4735.2082508200001</v>
      </c>
      <c r="E2410" s="78">
        <v>3049.0323697183549</v>
      </c>
      <c r="F2410" s="84">
        <v>1455.2</v>
      </c>
      <c r="G2410" s="53">
        <v>5071.830618779999</v>
      </c>
      <c r="H2410" s="78">
        <v>3485.315158589884</v>
      </c>
      <c r="I2410" s="84">
        <v>1830.5</v>
      </c>
      <c r="J2410" s="53">
        <v>5507.6030479000001</v>
      </c>
      <c r="K2410" s="78">
        <v>3008.797076154056</v>
      </c>
      <c r="L2410" s="84">
        <v>1612.9066666666668</v>
      </c>
      <c r="M2410" s="53">
        <v>5104.8806391666667</v>
      </c>
      <c r="N2410" s="78">
        <v>3165.019244242279</v>
      </c>
    </row>
    <row r="2411" spans="1:14" ht="19.5" customHeight="1" outlineLevel="1" x14ac:dyDescent="0.2">
      <c r="A2411" s="101">
        <v>13</v>
      </c>
      <c r="B2411" s="81" t="s">
        <v>20</v>
      </c>
      <c r="C2411" s="84">
        <v>2029.76</v>
      </c>
      <c r="D2411" s="53">
        <v>5393.849371941692</v>
      </c>
      <c r="E2411" s="78">
        <v>2657.3828294683572</v>
      </c>
      <c r="F2411" s="84">
        <v>2086.4300000000003</v>
      </c>
      <c r="G2411" s="53">
        <v>6943.9559940636391</v>
      </c>
      <c r="H2411" s="78">
        <v>3328.1519121483288</v>
      </c>
      <c r="I2411" s="84">
        <v>2174.5</v>
      </c>
      <c r="J2411" s="53">
        <v>5510.7361225543173</v>
      </c>
      <c r="K2411" s="78">
        <v>2534.254367695708</v>
      </c>
      <c r="L2411" s="84">
        <v>2096.896666666667</v>
      </c>
      <c r="M2411" s="53">
        <v>5949.5138295198822</v>
      </c>
      <c r="N2411" s="78">
        <v>2837.2947146592255</v>
      </c>
    </row>
    <row r="2412" spans="1:14" ht="19.5" customHeight="1" outlineLevel="1" x14ac:dyDescent="0.2">
      <c r="A2412" s="101">
        <v>14</v>
      </c>
      <c r="B2412" s="81" t="s">
        <v>21</v>
      </c>
      <c r="C2412" s="84">
        <v>771.35</v>
      </c>
      <c r="D2412" s="53">
        <v>1955.3047463394805</v>
      </c>
      <c r="E2412" s="78">
        <v>2534.912486341454</v>
      </c>
      <c r="F2412" s="84">
        <v>743.3</v>
      </c>
      <c r="G2412" s="53">
        <v>2213.2919180000004</v>
      </c>
      <c r="H2412" s="78">
        <v>2977.6562868290066</v>
      </c>
      <c r="I2412" s="84">
        <v>756.95</v>
      </c>
      <c r="J2412" s="53">
        <v>1433.7579000000001</v>
      </c>
      <c r="K2412" s="78">
        <v>1894.1249752295396</v>
      </c>
      <c r="L2412" s="84">
        <v>757.20000000000016</v>
      </c>
      <c r="M2412" s="53">
        <v>1867.4515214464936</v>
      </c>
      <c r="N2412" s="78">
        <v>2466.2592729087337</v>
      </c>
    </row>
    <row r="2413" spans="1:14" ht="19.5" customHeight="1" outlineLevel="1" x14ac:dyDescent="0.2">
      <c r="A2413" s="101">
        <v>15</v>
      </c>
      <c r="B2413" s="81" t="s">
        <v>22</v>
      </c>
      <c r="C2413" s="84">
        <v>2130.1</v>
      </c>
      <c r="D2413" s="53">
        <v>6234.148057758619</v>
      </c>
      <c r="E2413" s="78">
        <v>2926.6926706533118</v>
      </c>
      <c r="F2413" s="84">
        <v>1929.1699999999998</v>
      </c>
      <c r="G2413" s="53">
        <v>5236.7669799999985</v>
      </c>
      <c r="H2413" s="78">
        <v>2714.5181502926125</v>
      </c>
      <c r="I2413" s="84">
        <v>2099.13</v>
      </c>
      <c r="J2413" s="53">
        <v>7058.8255399999998</v>
      </c>
      <c r="K2413" s="78">
        <v>3362.7386298133033</v>
      </c>
      <c r="L2413" s="84">
        <v>2052.7999999999997</v>
      </c>
      <c r="M2413" s="53">
        <v>6176.5801925862061</v>
      </c>
      <c r="N2413" s="78">
        <v>3008.856290231005</v>
      </c>
    </row>
    <row r="2414" spans="1:14" ht="19.5" customHeight="1" outlineLevel="1" x14ac:dyDescent="0.2">
      <c r="A2414" s="101">
        <v>16</v>
      </c>
      <c r="B2414" s="81" t="s">
        <v>23</v>
      </c>
      <c r="C2414" s="84">
        <v>868.9</v>
      </c>
      <c r="D2414" s="53">
        <v>2071.6101330700799</v>
      </c>
      <c r="E2414" s="78">
        <v>2384.1755473242952</v>
      </c>
      <c r="F2414" s="84">
        <v>791.70999999999992</v>
      </c>
      <c r="G2414" s="53">
        <v>2022.8992185999996</v>
      </c>
      <c r="H2414" s="78">
        <v>2555.101260057344</v>
      </c>
      <c r="I2414" s="84">
        <v>853.64</v>
      </c>
      <c r="J2414" s="53">
        <v>2222.0236575999998</v>
      </c>
      <c r="K2414" s="78">
        <v>2602.998521156459</v>
      </c>
      <c r="L2414" s="84">
        <v>838.08333333333337</v>
      </c>
      <c r="M2414" s="53">
        <v>2105.5110030900264</v>
      </c>
      <c r="N2414" s="78">
        <v>2512.2931328507821</v>
      </c>
    </row>
    <row r="2415" spans="1:14" ht="19.5" customHeight="1" outlineLevel="1" x14ac:dyDescent="0.2">
      <c r="A2415" s="101">
        <v>17</v>
      </c>
      <c r="B2415" s="81" t="s">
        <v>24</v>
      </c>
      <c r="C2415" s="84">
        <v>1598.2</v>
      </c>
      <c r="D2415" s="53">
        <v>3909.8195829999991</v>
      </c>
      <c r="E2415" s="78">
        <v>2446.3894274809154</v>
      </c>
      <c r="F2415" s="84">
        <v>1524.47</v>
      </c>
      <c r="G2415" s="53">
        <v>3135.7199021173028</v>
      </c>
      <c r="H2415" s="78">
        <v>2056.9246374919171</v>
      </c>
      <c r="I2415" s="84">
        <v>2094.3200000000002</v>
      </c>
      <c r="J2415" s="53">
        <v>5489.9867119999999</v>
      </c>
      <c r="K2415" s="78">
        <v>2621.3695672103595</v>
      </c>
      <c r="L2415" s="84">
        <v>1738.9966666666667</v>
      </c>
      <c r="M2415" s="53">
        <v>4178.5087323724338</v>
      </c>
      <c r="N2415" s="78">
        <v>2402.8273385836087</v>
      </c>
    </row>
    <row r="2416" spans="1:14" ht="19.5" customHeight="1" outlineLevel="1" x14ac:dyDescent="0.2">
      <c r="A2416" s="101">
        <v>18</v>
      </c>
      <c r="B2416" s="81" t="s">
        <v>25</v>
      </c>
      <c r="C2416" s="84">
        <v>1170.6099999999999</v>
      </c>
      <c r="D2416" s="53">
        <v>2728.2993238935014</v>
      </c>
      <c r="E2416" s="78">
        <v>2330.6646311696481</v>
      </c>
      <c r="F2416" s="84">
        <v>1046.3799999999999</v>
      </c>
      <c r="G2416" s="53">
        <v>2444.2780826843996</v>
      </c>
      <c r="H2416" s="78">
        <v>2335.9373102356694</v>
      </c>
      <c r="I2416" s="84">
        <v>1209.47</v>
      </c>
      <c r="J2416" s="53">
        <v>2892.6931425996163</v>
      </c>
      <c r="K2416" s="78">
        <v>2391.7030952397463</v>
      </c>
      <c r="L2416" s="84">
        <v>1142.1533333333334</v>
      </c>
      <c r="M2416" s="53">
        <v>2688.4235163925055</v>
      </c>
      <c r="N2416" s="78">
        <v>2353.8201377449363</v>
      </c>
    </row>
    <row r="2417" spans="1:14" ht="19.5" customHeight="1" outlineLevel="1" x14ac:dyDescent="0.2">
      <c r="A2417" s="101">
        <v>19</v>
      </c>
      <c r="B2417" s="81" t="s">
        <v>26</v>
      </c>
      <c r="C2417" s="84">
        <v>144.57999999999998</v>
      </c>
      <c r="D2417" s="53">
        <v>272.66789414303724</v>
      </c>
      <c r="E2417" s="78">
        <v>1885.9309319618017</v>
      </c>
      <c r="F2417" s="84">
        <v>69.88</v>
      </c>
      <c r="G2417" s="53">
        <v>212.55117579875335</v>
      </c>
      <c r="H2417" s="78">
        <v>3041.6596422260068</v>
      </c>
      <c r="I2417" s="84">
        <v>63.360000000000007</v>
      </c>
      <c r="J2417" s="53">
        <v>165.23316427437157</v>
      </c>
      <c r="K2417" s="78">
        <v>2607.8466583707632</v>
      </c>
      <c r="L2417" s="84">
        <v>92.606666666666669</v>
      </c>
      <c r="M2417" s="53">
        <v>216.81741140538739</v>
      </c>
      <c r="N2417" s="78">
        <v>2341.2721698083728</v>
      </c>
    </row>
    <row r="2418" spans="1:14" ht="19.5" customHeight="1" outlineLevel="1" x14ac:dyDescent="0.2">
      <c r="A2418" s="101">
        <v>20</v>
      </c>
      <c r="B2418" s="81" t="s">
        <v>27</v>
      </c>
      <c r="C2418" s="84">
        <v>0.1</v>
      </c>
      <c r="D2418" s="53">
        <v>0.22946283394806921</v>
      </c>
      <c r="E2418" s="78">
        <v>2294.6283394806919</v>
      </c>
      <c r="F2418" s="84">
        <v>0.13</v>
      </c>
      <c r="G2418" s="53">
        <v>0.31868353583690701</v>
      </c>
      <c r="H2418" s="78">
        <v>2451.4118141300542</v>
      </c>
      <c r="I2418" s="84">
        <v>0.37</v>
      </c>
      <c r="J2418" s="53">
        <v>0.95874054595960834</v>
      </c>
      <c r="K2418" s="78">
        <v>2591.190664755698</v>
      </c>
      <c r="L2418" s="84">
        <v>0.19999999999999998</v>
      </c>
      <c r="M2418" s="53">
        <v>0.50229563858152815</v>
      </c>
      <c r="N2418" s="78">
        <v>2511.4781929076407</v>
      </c>
    </row>
    <row r="2419" spans="1:14" ht="19.5" customHeight="1" outlineLevel="1" x14ac:dyDescent="0.2">
      <c r="A2419" s="101">
        <v>21</v>
      </c>
      <c r="B2419" s="81" t="s">
        <v>28</v>
      </c>
      <c r="C2419" s="84">
        <v>65.97999999999999</v>
      </c>
      <c r="D2419" s="53">
        <v>94.45918368116709</v>
      </c>
      <c r="E2419" s="78">
        <v>1431.6335811028662</v>
      </c>
      <c r="F2419" s="84">
        <v>69.14</v>
      </c>
      <c r="G2419" s="53">
        <v>131.67809831032343</v>
      </c>
      <c r="H2419" s="78">
        <v>1904.5140050668706</v>
      </c>
      <c r="I2419" s="84">
        <v>99.63</v>
      </c>
      <c r="J2419" s="53">
        <v>198.16443861815554</v>
      </c>
      <c r="K2419" s="78">
        <v>1989.0036998710784</v>
      </c>
      <c r="L2419" s="84">
        <v>78.25</v>
      </c>
      <c r="M2419" s="53">
        <v>141.43390686988201</v>
      </c>
      <c r="N2419" s="78">
        <v>1807.4620686246903</v>
      </c>
    </row>
    <row r="2420" spans="1:14" ht="19.5" customHeight="1" outlineLevel="1" x14ac:dyDescent="0.2">
      <c r="A2420" s="101">
        <v>22</v>
      </c>
      <c r="B2420" s="81" t="s">
        <v>29</v>
      </c>
      <c r="C2420" s="84">
        <v>6.3599999999999994</v>
      </c>
      <c r="D2420" s="53">
        <v>15.381522766280298</v>
      </c>
      <c r="E2420" s="78">
        <v>2418.4784223711163</v>
      </c>
      <c r="F2420" s="84">
        <v>3.6100000000000003</v>
      </c>
      <c r="G2420" s="53">
        <v>8.3920277816037174</v>
      </c>
      <c r="H2420" s="78">
        <v>2324.6614353472901</v>
      </c>
      <c r="I2420" s="84">
        <v>3.4000000000000004</v>
      </c>
      <c r="J2420" s="53">
        <v>8.2527832983909271</v>
      </c>
      <c r="K2420" s="78">
        <v>2427.2892054090958</v>
      </c>
      <c r="L2420" s="84">
        <v>4.4566666666666661</v>
      </c>
      <c r="M2420" s="53">
        <v>10.675444615424979</v>
      </c>
      <c r="N2420" s="78">
        <v>2395.3877222344759</v>
      </c>
    </row>
    <row r="2421" spans="1:14" ht="19.5" customHeight="1" outlineLevel="1" x14ac:dyDescent="0.2">
      <c r="A2421" s="101">
        <v>23</v>
      </c>
      <c r="B2421" s="81" t="s">
        <v>30</v>
      </c>
      <c r="C2421" s="84">
        <v>25.56</v>
      </c>
      <c r="D2421" s="53">
        <v>49.452039120000002</v>
      </c>
      <c r="E2421" s="78">
        <v>1934.7433145539908</v>
      </c>
      <c r="F2421" s="84">
        <v>25.240000000000002</v>
      </c>
      <c r="G2421" s="53">
        <v>54.982252025477706</v>
      </c>
      <c r="H2421" s="78">
        <v>2178.3776555260579</v>
      </c>
      <c r="I2421" s="84">
        <v>20.57</v>
      </c>
      <c r="J2421" s="53">
        <v>47.509157421148643</v>
      </c>
      <c r="K2421" s="78">
        <v>2309.6333213976004</v>
      </c>
      <c r="L2421" s="84">
        <v>23.790000000000003</v>
      </c>
      <c r="M2421" s="53">
        <v>50.647816188875453</v>
      </c>
      <c r="N2421" s="78">
        <v>2128.9540222309984</v>
      </c>
    </row>
    <row r="2422" spans="1:14" ht="19.5" customHeight="1" outlineLevel="1" x14ac:dyDescent="0.2">
      <c r="A2422" s="101">
        <v>24</v>
      </c>
      <c r="B2422" s="81" t="s">
        <v>31</v>
      </c>
      <c r="C2422" s="84">
        <v>10.6</v>
      </c>
      <c r="D2422" s="53">
        <v>22.984650938532539</v>
      </c>
      <c r="E2422" s="78">
        <v>2168.3632960879754</v>
      </c>
      <c r="F2422" s="84">
        <v>11.620000000000001</v>
      </c>
      <c r="G2422" s="53">
        <v>29.033798118765489</v>
      </c>
      <c r="H2422" s="78">
        <v>2498.6056900830881</v>
      </c>
      <c r="I2422" s="84">
        <v>7.7</v>
      </c>
      <c r="J2422" s="53">
        <v>19.025987730832405</v>
      </c>
      <c r="K2422" s="78">
        <v>2470.9074975107019</v>
      </c>
      <c r="L2422" s="84">
        <v>9.9733333333333327</v>
      </c>
      <c r="M2422" s="53">
        <v>23.681478929376812</v>
      </c>
      <c r="N2422" s="78">
        <v>2374.4798391754825</v>
      </c>
    </row>
    <row r="2423" spans="1:14" ht="19.5" customHeight="1" outlineLevel="1" x14ac:dyDescent="0.2">
      <c r="A2423" s="101">
        <v>25</v>
      </c>
      <c r="B2423" s="81" t="s">
        <v>32</v>
      </c>
      <c r="C2423" s="84">
        <v>0.09</v>
      </c>
      <c r="D2423" s="53">
        <v>0.23210925360253262</v>
      </c>
      <c r="E2423" s="78">
        <v>2578.9917066948069</v>
      </c>
      <c r="F2423" s="84">
        <v>0.16</v>
      </c>
      <c r="G2423" s="53">
        <v>0.41138706561280941</v>
      </c>
      <c r="H2423" s="78">
        <v>2571.1691600800586</v>
      </c>
      <c r="I2423" s="84">
        <v>0.8</v>
      </c>
      <c r="J2423" s="53">
        <v>2.0773583688986035</v>
      </c>
      <c r="K2423" s="78">
        <v>2596.6979611232546</v>
      </c>
      <c r="L2423" s="84">
        <v>0.35000000000000003</v>
      </c>
      <c r="M2423" s="53">
        <v>0.9069515627046485</v>
      </c>
      <c r="N2423" s="78">
        <v>2591.2901791561385</v>
      </c>
    </row>
    <row r="2424" spans="1:14" ht="19.5" customHeight="1" outlineLevel="1" x14ac:dyDescent="0.2">
      <c r="A2424" s="101">
        <v>26</v>
      </c>
      <c r="B2424" s="81" t="s">
        <v>33</v>
      </c>
      <c r="C2424" s="84">
        <v>9.9499999999999993</v>
      </c>
      <c r="D2424" s="53">
        <v>24.369957794461246</v>
      </c>
      <c r="E2424" s="78">
        <v>2449.2419893930901</v>
      </c>
      <c r="F2424" s="84">
        <v>3.61</v>
      </c>
      <c r="G2424" s="53">
        <v>8.4269011207443594</v>
      </c>
      <c r="H2424" s="78">
        <v>2334.3216400953906</v>
      </c>
      <c r="I2424" s="84">
        <v>1.35</v>
      </c>
      <c r="J2424" s="53">
        <v>3.379884102063321</v>
      </c>
      <c r="K2424" s="78">
        <v>2503.6178533802376</v>
      </c>
      <c r="L2424" s="84">
        <v>4.97</v>
      </c>
      <c r="M2424" s="53">
        <v>12.058914339089641</v>
      </c>
      <c r="N2424" s="78">
        <v>2426.3409132977145</v>
      </c>
    </row>
    <row r="2425" spans="1:14" ht="19.5" customHeight="1" outlineLevel="1" x14ac:dyDescent="0.2">
      <c r="A2425" s="101">
        <v>27</v>
      </c>
      <c r="B2425" s="81" t="s">
        <v>34</v>
      </c>
      <c r="C2425" s="84">
        <v>0.45</v>
      </c>
      <c r="D2425" s="53">
        <v>1.0667063568320052</v>
      </c>
      <c r="E2425" s="78">
        <v>2370.4585707377892</v>
      </c>
      <c r="F2425" s="84">
        <v>1.72</v>
      </c>
      <c r="G2425" s="53">
        <v>4.5893047926536275</v>
      </c>
      <c r="H2425" s="78">
        <v>2668.2004608451321</v>
      </c>
      <c r="I2425" s="84">
        <v>0.89</v>
      </c>
      <c r="J2425" s="53">
        <v>2.2329493652531918</v>
      </c>
      <c r="K2425" s="78">
        <v>2508.9318710710022</v>
      </c>
      <c r="L2425" s="84">
        <v>1.02</v>
      </c>
      <c r="M2425" s="53">
        <v>2.6296535049129415</v>
      </c>
      <c r="N2425" s="78">
        <v>2578.0916714832761</v>
      </c>
    </row>
    <row r="2426" spans="1:14" ht="19.5" customHeight="1" outlineLevel="1" x14ac:dyDescent="0.2">
      <c r="A2426" s="101">
        <v>28</v>
      </c>
      <c r="B2426" s="81" t="s">
        <v>35</v>
      </c>
      <c r="C2426" s="84">
        <v>2</v>
      </c>
      <c r="D2426" s="53">
        <v>4.6717220554534773</v>
      </c>
      <c r="E2426" s="78">
        <v>2335.8610277267385</v>
      </c>
      <c r="F2426" s="84">
        <v>2.21</v>
      </c>
      <c r="G2426" s="53">
        <v>5.4873667875087024</v>
      </c>
      <c r="H2426" s="78">
        <v>2482.9713970627613</v>
      </c>
      <c r="I2426" s="84">
        <v>1.9100000000000001</v>
      </c>
      <c r="J2426" s="53">
        <v>4.8150164301697167</v>
      </c>
      <c r="K2426" s="78">
        <v>2520.9510105600611</v>
      </c>
      <c r="L2426" s="84">
        <v>2.04</v>
      </c>
      <c r="M2426" s="53">
        <v>4.9913684243772991</v>
      </c>
      <c r="N2426" s="78">
        <v>2446.7492276359308</v>
      </c>
    </row>
    <row r="2427" spans="1:14" ht="19.5" customHeight="1" outlineLevel="1" x14ac:dyDescent="0.2">
      <c r="A2427" s="101">
        <v>29</v>
      </c>
      <c r="B2427" s="81" t="s">
        <v>36</v>
      </c>
      <c r="C2427" s="84">
        <v>10.58</v>
      </c>
      <c r="D2427" s="53">
        <v>26.270555035876665</v>
      </c>
      <c r="E2427" s="78">
        <v>2483.0392283437304</v>
      </c>
      <c r="F2427" s="84">
        <v>8.73</v>
      </c>
      <c r="G2427" s="53">
        <v>21.601251031537302</v>
      </c>
      <c r="H2427" s="78">
        <v>2474.3701067053039</v>
      </c>
      <c r="I2427" s="84">
        <v>2.76</v>
      </c>
      <c r="J2427" s="53">
        <v>7.0120211988445043</v>
      </c>
      <c r="K2427" s="78">
        <v>2540.5873908856902</v>
      </c>
      <c r="L2427" s="84">
        <v>7.3566666666666665</v>
      </c>
      <c r="M2427" s="53">
        <v>18.294609088752825</v>
      </c>
      <c r="N2427" s="78">
        <v>2486.8068539310593</v>
      </c>
    </row>
    <row r="2428" spans="1:14" ht="19.5" customHeight="1" outlineLevel="1" x14ac:dyDescent="0.2">
      <c r="A2428" s="101">
        <v>30</v>
      </c>
      <c r="B2428" s="81" t="s">
        <v>37</v>
      </c>
      <c r="C2428" s="84">
        <v>37.58</v>
      </c>
      <c r="D2428" s="53">
        <v>41.642901740218385</v>
      </c>
      <c r="E2428" s="78">
        <v>1108.1134044762741</v>
      </c>
      <c r="F2428" s="84">
        <v>38.89</v>
      </c>
      <c r="G2428" s="53">
        <v>49.005000211529058</v>
      </c>
      <c r="H2428" s="78">
        <v>1260.0925742229122</v>
      </c>
      <c r="I2428" s="84">
        <v>34.46</v>
      </c>
      <c r="J2428" s="53">
        <v>35.250508584556691</v>
      </c>
      <c r="K2428" s="78">
        <v>1022.9398892790683</v>
      </c>
      <c r="L2428" s="84">
        <v>36.976666666666667</v>
      </c>
      <c r="M2428" s="53">
        <v>41.966136845434711</v>
      </c>
      <c r="N2428" s="78">
        <v>1134.9356399198064</v>
      </c>
    </row>
    <row r="2429" spans="1:14" ht="19.5" customHeight="1" outlineLevel="1" x14ac:dyDescent="0.2">
      <c r="A2429" s="101">
        <v>31</v>
      </c>
      <c r="B2429" s="81" t="s">
        <v>38</v>
      </c>
      <c r="C2429" s="84">
        <v>0.12</v>
      </c>
      <c r="D2429" s="53">
        <v>0.275355400737683</v>
      </c>
      <c r="E2429" s="78">
        <v>2294.6283394806919</v>
      </c>
      <c r="F2429" s="84">
        <v>0.05</v>
      </c>
      <c r="G2429" s="53">
        <v>0.11299000303050236</v>
      </c>
      <c r="H2429" s="78">
        <v>2259.8000606100468</v>
      </c>
      <c r="I2429" s="84">
        <v>0.05</v>
      </c>
      <c r="J2429" s="53">
        <v>0.11964639977618388</v>
      </c>
      <c r="K2429" s="78">
        <v>2392.9279955236775</v>
      </c>
      <c r="L2429" s="84">
        <v>7.333333333333332E-2</v>
      </c>
      <c r="M2429" s="53">
        <v>0.1693306011814564</v>
      </c>
      <c r="N2429" s="78">
        <v>2309.0536524744061</v>
      </c>
    </row>
    <row r="2430" spans="1:14" ht="19.5" customHeight="1" outlineLevel="1" x14ac:dyDescent="0.2">
      <c r="A2430" s="101">
        <v>32</v>
      </c>
      <c r="B2430" s="81" t="s">
        <v>39</v>
      </c>
      <c r="C2430" s="84">
        <v>0.1</v>
      </c>
      <c r="D2430" s="53">
        <v>0.24936826965305725</v>
      </c>
      <c r="E2430" s="78">
        <v>2493.6826965305722</v>
      </c>
      <c r="F2430" s="84">
        <v>0.29000000000000004</v>
      </c>
      <c r="G2430" s="53">
        <v>0.74003441263275693</v>
      </c>
      <c r="H2430" s="78">
        <v>2551.84280218192</v>
      </c>
      <c r="I2430" s="84">
        <v>0.14000000000000001</v>
      </c>
      <c r="J2430" s="53">
        <v>0.36489618099458609</v>
      </c>
      <c r="K2430" s="78">
        <v>2606.4012928184716</v>
      </c>
      <c r="L2430" s="84">
        <v>0.17666666666666667</v>
      </c>
      <c r="M2430" s="53">
        <v>0.45143295442680009</v>
      </c>
      <c r="N2430" s="78">
        <v>2555.2808741139629</v>
      </c>
    </row>
    <row r="2431" spans="1:14" ht="19.5" customHeight="1" outlineLevel="1" thickBot="1" x14ac:dyDescent="0.25">
      <c r="A2431" s="102">
        <v>33</v>
      </c>
      <c r="B2431" s="91" t="s">
        <v>40</v>
      </c>
      <c r="C2431" s="92">
        <v>29.96</v>
      </c>
      <c r="D2431" s="93">
        <v>62.838736700232388</v>
      </c>
      <c r="E2431" s="94">
        <v>2097.4211181653</v>
      </c>
      <c r="F2431" s="92">
        <v>25.27</v>
      </c>
      <c r="G2431" s="93">
        <v>50.57376559090909</v>
      </c>
      <c r="H2431" s="94">
        <v>2001.3361927546139</v>
      </c>
      <c r="I2431" s="92">
        <v>21.84</v>
      </c>
      <c r="J2431" s="93">
        <v>44.476048444444444</v>
      </c>
      <c r="K2431" s="94">
        <v>2036.4491045991047</v>
      </c>
      <c r="L2431" s="92">
        <v>25.69</v>
      </c>
      <c r="M2431" s="93">
        <v>52.62951691186197</v>
      </c>
      <c r="N2431" s="94">
        <v>2048.6382604850901</v>
      </c>
    </row>
    <row r="2432" spans="1:14" ht="19.5" customHeight="1" thickBot="1" x14ac:dyDescent="0.25">
      <c r="A2432" s="151" t="s">
        <v>41</v>
      </c>
      <c r="B2432" s="152"/>
      <c r="C2432" s="96">
        <v>17629.570000000003</v>
      </c>
      <c r="D2432" s="97">
        <v>45313.143440483836</v>
      </c>
      <c r="E2432" s="98">
        <v>2570.2920400488401</v>
      </c>
      <c r="F2432" s="96">
        <v>16953.400000000001</v>
      </c>
      <c r="G2432" s="97">
        <v>46458.075031818858</v>
      </c>
      <c r="H2432" s="98">
        <v>2740.3396977490565</v>
      </c>
      <c r="I2432" s="96">
        <v>19648.319999999996</v>
      </c>
      <c r="J2432" s="97">
        <v>52202.460701847252</v>
      </c>
      <c r="K2432" s="98">
        <v>2656.8409259339865</v>
      </c>
      <c r="L2432" s="96">
        <v>18077.096666666665</v>
      </c>
      <c r="M2432" s="97">
        <v>47991.226391383309</v>
      </c>
      <c r="N2432" s="98">
        <v>2654.8083066832805</v>
      </c>
    </row>
    <row r="2433" spans="1:14" ht="34.5" customHeight="1" x14ac:dyDescent="0.2">
      <c r="A2433" s="153" t="s">
        <v>247</v>
      </c>
      <c r="B2433" s="154"/>
      <c r="C2433" s="154"/>
      <c r="D2433" s="154"/>
      <c r="E2433" s="154"/>
      <c r="F2433" s="154"/>
      <c r="G2433" s="154"/>
      <c r="H2433" s="154"/>
      <c r="I2433" s="154"/>
      <c r="J2433" s="154"/>
      <c r="K2433" s="154"/>
      <c r="L2433" s="154"/>
      <c r="M2433" s="154"/>
      <c r="N2433" s="154"/>
    </row>
    <row r="2434" spans="1:14" ht="19.5" customHeight="1" thickBot="1" x14ac:dyDescent="0.25">
      <c r="A2434" s="50"/>
      <c r="B2434" s="51" t="s">
        <v>106</v>
      </c>
      <c r="C2434" s="52"/>
      <c r="D2434" s="52"/>
      <c r="E2434" s="52"/>
      <c r="F2434" s="52"/>
      <c r="G2434" s="52"/>
      <c r="H2434" s="52"/>
      <c r="I2434" s="52"/>
      <c r="J2434" s="52"/>
      <c r="K2434" s="155" t="s">
        <v>1</v>
      </c>
      <c r="L2434" s="154"/>
      <c r="M2434" s="154"/>
      <c r="N2434" s="154"/>
    </row>
    <row r="2435" spans="1:14" ht="19.5" customHeight="1" x14ac:dyDescent="0.2">
      <c r="A2435" s="156" t="s">
        <v>2</v>
      </c>
      <c r="B2435" s="158" t="s">
        <v>3</v>
      </c>
      <c r="C2435" s="148" t="s">
        <v>243</v>
      </c>
      <c r="D2435" s="149"/>
      <c r="E2435" s="150"/>
      <c r="F2435" s="148" t="s">
        <v>244</v>
      </c>
      <c r="G2435" s="149"/>
      <c r="H2435" s="150"/>
      <c r="I2435" s="148" t="s">
        <v>246</v>
      </c>
      <c r="J2435" s="149"/>
      <c r="K2435" s="150"/>
      <c r="L2435" s="148" t="s">
        <v>4</v>
      </c>
      <c r="M2435" s="149"/>
      <c r="N2435" s="150"/>
    </row>
    <row r="2436" spans="1:14" ht="19.5" customHeight="1" thickBot="1" x14ac:dyDescent="0.25">
      <c r="A2436" s="157"/>
      <c r="B2436" s="159"/>
      <c r="C2436" s="85" t="s">
        <v>5</v>
      </c>
      <c r="D2436" s="79" t="s">
        <v>6</v>
      </c>
      <c r="E2436" s="80" t="s">
        <v>7</v>
      </c>
      <c r="F2436" s="85" t="s">
        <v>5</v>
      </c>
      <c r="G2436" s="79" t="s">
        <v>6</v>
      </c>
      <c r="H2436" s="80" t="s">
        <v>7</v>
      </c>
      <c r="I2436" s="85" t="s">
        <v>5</v>
      </c>
      <c r="J2436" s="79" t="s">
        <v>6</v>
      </c>
      <c r="K2436" s="80" t="s">
        <v>7</v>
      </c>
      <c r="L2436" s="85" t="s">
        <v>5</v>
      </c>
      <c r="M2436" s="79" t="s">
        <v>6</v>
      </c>
      <c r="N2436" s="80" t="s">
        <v>7</v>
      </c>
    </row>
    <row r="2437" spans="1:14" ht="19.5" customHeight="1" outlineLevel="1" x14ac:dyDescent="0.2">
      <c r="A2437" s="100">
        <v>1</v>
      </c>
      <c r="B2437" s="86" t="s">
        <v>8</v>
      </c>
      <c r="C2437" s="87">
        <v>367.6</v>
      </c>
      <c r="D2437" s="88">
        <v>169.38049291173178</v>
      </c>
      <c r="E2437" s="89">
        <v>460.77391978164241</v>
      </c>
      <c r="F2437" s="87">
        <v>345.54</v>
      </c>
      <c r="G2437" s="88">
        <v>189.24158352386695</v>
      </c>
      <c r="H2437" s="89">
        <v>547.66910784241168</v>
      </c>
      <c r="I2437" s="87">
        <v>339.96000000000004</v>
      </c>
      <c r="J2437" s="88">
        <v>154.91666243717069</v>
      </c>
      <c r="K2437" s="89">
        <v>455.69085315087267</v>
      </c>
      <c r="L2437" s="87">
        <v>351.03333333333336</v>
      </c>
      <c r="M2437" s="88">
        <v>171.17957962425646</v>
      </c>
      <c r="N2437" s="89">
        <v>487.64479999313397</v>
      </c>
    </row>
    <row r="2438" spans="1:14" ht="19.5" customHeight="1" outlineLevel="1" x14ac:dyDescent="0.2">
      <c r="A2438" s="101">
        <v>2</v>
      </c>
      <c r="B2438" s="81" t="s">
        <v>9</v>
      </c>
      <c r="C2438" s="84">
        <v>5.8</v>
      </c>
      <c r="D2438" s="53">
        <v>2.6331999999999995</v>
      </c>
      <c r="E2438" s="78">
        <v>453.99999999999989</v>
      </c>
      <c r="F2438" s="84">
        <v>16.77</v>
      </c>
      <c r="G2438" s="53">
        <v>8.8296063589272329</v>
      </c>
      <c r="H2438" s="78">
        <v>526.51200709166562</v>
      </c>
      <c r="I2438" s="84">
        <v>7.0200000000000005</v>
      </c>
      <c r="J2438" s="53">
        <v>3.3075592432724257</v>
      </c>
      <c r="K2438" s="78">
        <v>471.16228536644235</v>
      </c>
      <c r="L2438" s="84">
        <v>9.8633333333333333</v>
      </c>
      <c r="M2438" s="53">
        <v>4.9234552007332191</v>
      </c>
      <c r="N2438" s="78">
        <v>499.16747557281712</v>
      </c>
    </row>
    <row r="2439" spans="1:14" ht="19.5" customHeight="1" outlineLevel="1" x14ac:dyDescent="0.2">
      <c r="A2439" s="101">
        <v>3</v>
      </c>
      <c r="B2439" s="81" t="s">
        <v>10</v>
      </c>
      <c r="C2439" s="84">
        <v>9.35</v>
      </c>
      <c r="D2439" s="53">
        <v>4.7530398212144549</v>
      </c>
      <c r="E2439" s="78">
        <v>508.34650494272245</v>
      </c>
      <c r="F2439" s="84">
        <v>7.2</v>
      </c>
      <c r="G2439" s="53">
        <v>5.57843669956846</v>
      </c>
      <c r="H2439" s="78">
        <v>774.78287494006395</v>
      </c>
      <c r="I2439" s="84">
        <v>24.009999999999998</v>
      </c>
      <c r="J2439" s="53">
        <v>15.951206489158727</v>
      </c>
      <c r="K2439" s="78">
        <v>664.35678838645265</v>
      </c>
      <c r="L2439" s="84">
        <v>13.520000000000001</v>
      </c>
      <c r="M2439" s="53">
        <v>8.7608943366472136</v>
      </c>
      <c r="N2439" s="78">
        <v>647.99514324313702</v>
      </c>
    </row>
    <row r="2440" spans="1:14" ht="19.5" customHeight="1" outlineLevel="1" x14ac:dyDescent="0.2">
      <c r="A2440" s="101">
        <v>4</v>
      </c>
      <c r="B2440" s="81" t="s">
        <v>11</v>
      </c>
      <c r="C2440" s="84">
        <v>18.059999999999999</v>
      </c>
      <c r="D2440" s="53">
        <v>10.804919999999999</v>
      </c>
      <c r="E2440" s="78">
        <v>598.27906976744191</v>
      </c>
      <c r="F2440" s="84">
        <v>15.170000000000002</v>
      </c>
      <c r="G2440" s="53">
        <v>10.593883321027914</v>
      </c>
      <c r="H2440" s="78">
        <v>698.34431911851766</v>
      </c>
      <c r="I2440" s="84">
        <v>15.28</v>
      </c>
      <c r="J2440" s="53">
        <v>8.0841877852694353</v>
      </c>
      <c r="K2440" s="78">
        <v>529.06988123491067</v>
      </c>
      <c r="L2440" s="84">
        <v>16.170000000000002</v>
      </c>
      <c r="M2440" s="53">
        <v>9.827663702099116</v>
      </c>
      <c r="N2440" s="78">
        <v>607.77141014836832</v>
      </c>
    </row>
    <row r="2441" spans="1:14" ht="19.5" customHeight="1" outlineLevel="1" x14ac:dyDescent="0.2">
      <c r="A2441" s="101">
        <v>5</v>
      </c>
      <c r="B2441" s="81" t="s">
        <v>12</v>
      </c>
      <c r="C2441" s="84">
        <v>2.9299999999999997</v>
      </c>
      <c r="D2441" s="53">
        <v>1.9264252282127694</v>
      </c>
      <c r="E2441" s="78">
        <v>657.4830130419009</v>
      </c>
      <c r="F2441" s="84">
        <v>12.15</v>
      </c>
      <c r="G2441" s="53">
        <v>11.69989362800537</v>
      </c>
      <c r="H2441" s="78">
        <v>962.95420806628556</v>
      </c>
      <c r="I2441" s="84">
        <v>15.6</v>
      </c>
      <c r="J2441" s="53">
        <v>15.240318481657416</v>
      </c>
      <c r="K2441" s="78">
        <v>976.94349241393695</v>
      </c>
      <c r="L2441" s="84">
        <v>10.226666666666667</v>
      </c>
      <c r="M2441" s="53">
        <v>9.6222124459585192</v>
      </c>
      <c r="N2441" s="78">
        <v>940.894306971172</v>
      </c>
    </row>
    <row r="2442" spans="1:14" ht="19.5" customHeight="1" outlineLevel="1" x14ac:dyDescent="0.2">
      <c r="A2442" s="101">
        <v>6</v>
      </c>
      <c r="B2442" s="81" t="s">
        <v>13</v>
      </c>
      <c r="C2442" s="84">
        <v>5.86</v>
      </c>
      <c r="D2442" s="53">
        <v>2.9845489371096701</v>
      </c>
      <c r="E2442" s="78">
        <v>509.3086923395341</v>
      </c>
      <c r="F2442" s="84">
        <v>6.27</v>
      </c>
      <c r="G2442" s="53">
        <v>4.1461928152470806</v>
      </c>
      <c r="H2442" s="78">
        <v>661.2747711717833</v>
      </c>
      <c r="I2442" s="84">
        <v>3.85</v>
      </c>
      <c r="J2442" s="53">
        <v>3.4873001433891808</v>
      </c>
      <c r="K2442" s="78">
        <v>905.79224503615092</v>
      </c>
      <c r="L2442" s="84">
        <v>5.3266666666666662</v>
      </c>
      <c r="M2442" s="53">
        <v>3.5393472985819776</v>
      </c>
      <c r="N2442" s="78">
        <v>664.45819122314981</v>
      </c>
    </row>
    <row r="2443" spans="1:14" ht="19.5" customHeight="1" outlineLevel="1" x14ac:dyDescent="0.2">
      <c r="A2443" s="101">
        <v>7</v>
      </c>
      <c r="B2443" s="81" t="s">
        <v>14</v>
      </c>
      <c r="C2443" s="84">
        <v>4.68</v>
      </c>
      <c r="D2443" s="53">
        <v>2.3827608528353772</v>
      </c>
      <c r="E2443" s="78">
        <v>509.13693436653358</v>
      </c>
      <c r="F2443" s="84">
        <v>3.63</v>
      </c>
      <c r="G2443" s="53">
        <v>2.2369279150427079</v>
      </c>
      <c r="H2443" s="78">
        <v>616.23358541121434</v>
      </c>
      <c r="I2443" s="84">
        <v>2.86</v>
      </c>
      <c r="J2443" s="53">
        <v>1.5929706008380764</v>
      </c>
      <c r="K2443" s="78">
        <v>556.98272756576102</v>
      </c>
      <c r="L2443" s="84">
        <v>3.7233333333333327</v>
      </c>
      <c r="M2443" s="53">
        <v>2.0708864562387204</v>
      </c>
      <c r="N2443" s="78">
        <v>556.19152808560091</v>
      </c>
    </row>
    <row r="2444" spans="1:14" ht="19.5" customHeight="1" outlineLevel="1" x14ac:dyDescent="0.2">
      <c r="A2444" s="101">
        <v>8</v>
      </c>
      <c r="B2444" s="81" t="s">
        <v>15</v>
      </c>
      <c r="C2444" s="84">
        <v>18.13</v>
      </c>
      <c r="D2444" s="53">
        <v>6.4858520000000004</v>
      </c>
      <c r="E2444" s="78">
        <v>357.74142305570882</v>
      </c>
      <c r="F2444" s="84">
        <v>12.68</v>
      </c>
      <c r="G2444" s="53">
        <v>10.086484965006013</v>
      </c>
      <c r="H2444" s="78">
        <v>795.46411395946484</v>
      </c>
      <c r="I2444" s="84">
        <v>9.1000000000000014</v>
      </c>
      <c r="J2444" s="53">
        <v>8.2068542323807492</v>
      </c>
      <c r="K2444" s="78">
        <v>901.85211344843378</v>
      </c>
      <c r="L2444" s="84">
        <v>13.303333333333333</v>
      </c>
      <c r="M2444" s="53">
        <v>8.2597303991289213</v>
      </c>
      <c r="N2444" s="78">
        <v>620.87675262808227</v>
      </c>
    </row>
    <row r="2445" spans="1:14" ht="19.5" customHeight="1" outlineLevel="1" x14ac:dyDescent="0.2">
      <c r="A2445" s="101">
        <v>9</v>
      </c>
      <c r="B2445" s="81" t="s">
        <v>16</v>
      </c>
      <c r="C2445" s="84">
        <v>351.51</v>
      </c>
      <c r="D2445" s="53">
        <v>187.12821751833081</v>
      </c>
      <c r="E2445" s="78">
        <v>532.35531711282988</v>
      </c>
      <c r="F2445" s="84">
        <v>279.63</v>
      </c>
      <c r="G2445" s="53">
        <v>216.12345502667964</v>
      </c>
      <c r="H2445" s="78">
        <v>772.89080222679843</v>
      </c>
      <c r="I2445" s="84">
        <v>245.52</v>
      </c>
      <c r="J2445" s="53">
        <v>191.62768222680907</v>
      </c>
      <c r="K2445" s="78">
        <v>780.49723943796459</v>
      </c>
      <c r="L2445" s="84">
        <v>292.21999999999997</v>
      </c>
      <c r="M2445" s="53">
        <v>198.29311825727316</v>
      </c>
      <c r="N2445" s="78">
        <v>678.57476646798023</v>
      </c>
    </row>
    <row r="2446" spans="1:14" ht="19.5" customHeight="1" outlineLevel="1" x14ac:dyDescent="0.2">
      <c r="A2446" s="101">
        <v>10</v>
      </c>
      <c r="B2446" s="81" t="s">
        <v>17</v>
      </c>
      <c r="C2446" s="84">
        <v>153.65</v>
      </c>
      <c r="D2446" s="53">
        <v>126.627118</v>
      </c>
      <c r="E2446" s="78">
        <v>824.12702896192638</v>
      </c>
      <c r="F2446" s="84">
        <v>164.15</v>
      </c>
      <c r="G2446" s="53">
        <v>135.42234206784721</v>
      </c>
      <c r="H2446" s="78">
        <v>824.99142289276392</v>
      </c>
      <c r="I2446" s="84">
        <v>177.48000000000002</v>
      </c>
      <c r="J2446" s="53">
        <v>182.51180225840298</v>
      </c>
      <c r="K2446" s="78">
        <v>1028.3513762587502</v>
      </c>
      <c r="L2446" s="84">
        <v>165.09333333333333</v>
      </c>
      <c r="M2446" s="53">
        <v>148.18708744208342</v>
      </c>
      <c r="N2446" s="78">
        <v>897.59582928091243</v>
      </c>
    </row>
    <row r="2447" spans="1:14" ht="19.5" customHeight="1" outlineLevel="1" x14ac:dyDescent="0.2">
      <c r="A2447" s="101">
        <v>11</v>
      </c>
      <c r="B2447" s="81" t="s">
        <v>18</v>
      </c>
      <c r="C2447" s="84">
        <v>62.900000000000006</v>
      </c>
      <c r="D2447" s="53">
        <v>74.964637239008255</v>
      </c>
      <c r="E2447" s="78">
        <v>1191.8066333705603</v>
      </c>
      <c r="F2447" s="84">
        <v>54.34</v>
      </c>
      <c r="G2447" s="53">
        <v>44.160013325954601</v>
      </c>
      <c r="H2447" s="78">
        <v>812.66126842021708</v>
      </c>
      <c r="I2447" s="84">
        <v>72.540000000000006</v>
      </c>
      <c r="J2447" s="53">
        <v>66.652972211023581</v>
      </c>
      <c r="K2447" s="78">
        <v>918.84439221151877</v>
      </c>
      <c r="L2447" s="84">
        <v>63.260000000000012</v>
      </c>
      <c r="M2447" s="53">
        <v>61.925874258662141</v>
      </c>
      <c r="N2447" s="78">
        <v>978.9104372219748</v>
      </c>
    </row>
    <row r="2448" spans="1:14" ht="19.5" customHeight="1" outlineLevel="1" x14ac:dyDescent="0.2">
      <c r="A2448" s="101">
        <v>12</v>
      </c>
      <c r="B2448" s="81" t="s">
        <v>19</v>
      </c>
      <c r="C2448" s="84">
        <v>69.41</v>
      </c>
      <c r="D2448" s="53">
        <v>64.178479929260448</v>
      </c>
      <c r="E2448" s="78">
        <v>924.62872682985801</v>
      </c>
      <c r="F2448" s="84">
        <v>63.76</v>
      </c>
      <c r="G2448" s="53">
        <v>56.844887997720917</v>
      </c>
      <c r="H2448" s="78">
        <v>891.54466746739206</v>
      </c>
      <c r="I2448" s="84">
        <v>60.98</v>
      </c>
      <c r="J2448" s="53">
        <v>49.438848540192915</v>
      </c>
      <c r="K2448" s="78">
        <v>810.73874286967725</v>
      </c>
      <c r="L2448" s="84">
        <v>64.716666666666654</v>
      </c>
      <c r="M2448" s="53">
        <v>56.820738822391426</v>
      </c>
      <c r="N2448" s="78">
        <v>877.99235883169877</v>
      </c>
    </row>
    <row r="2449" spans="1:14" ht="19.5" customHeight="1" outlineLevel="1" x14ac:dyDescent="0.2">
      <c r="A2449" s="101">
        <v>13</v>
      </c>
      <c r="B2449" s="81" t="s">
        <v>20</v>
      </c>
      <c r="C2449" s="84">
        <v>52.78</v>
      </c>
      <c r="D2449" s="53">
        <v>15.292723877300613</v>
      </c>
      <c r="E2449" s="78">
        <v>289.74467368890896</v>
      </c>
      <c r="F2449" s="84">
        <v>40.619999999999997</v>
      </c>
      <c r="G2449" s="53">
        <v>12.704404</v>
      </c>
      <c r="H2449" s="78">
        <v>312.76228458887249</v>
      </c>
      <c r="I2449" s="84">
        <v>47.29</v>
      </c>
      <c r="J2449" s="53">
        <v>12.099763979682319</v>
      </c>
      <c r="K2449" s="78">
        <v>255.86305729926664</v>
      </c>
      <c r="L2449" s="84">
        <v>46.896666666666668</v>
      </c>
      <c r="M2449" s="53">
        <v>13.365630618994311</v>
      </c>
      <c r="N2449" s="78">
        <v>285.00171907728293</v>
      </c>
    </row>
    <row r="2450" spans="1:14" ht="19.5" customHeight="1" outlineLevel="1" x14ac:dyDescent="0.2">
      <c r="A2450" s="101">
        <v>14</v>
      </c>
      <c r="B2450" s="81" t="s">
        <v>21</v>
      </c>
      <c r="C2450" s="84">
        <v>36.1</v>
      </c>
      <c r="D2450" s="53">
        <v>34.295000000000002</v>
      </c>
      <c r="E2450" s="78">
        <v>950</v>
      </c>
      <c r="F2450" s="84">
        <v>21.55</v>
      </c>
      <c r="G2450" s="53">
        <v>13.629191558753</v>
      </c>
      <c r="H2450" s="78">
        <v>632.44508393285378</v>
      </c>
      <c r="I2450" s="84">
        <v>17.7</v>
      </c>
      <c r="J2450" s="53">
        <v>15.14524513375796</v>
      </c>
      <c r="K2450" s="78">
        <v>855.66356687898087</v>
      </c>
      <c r="L2450" s="84">
        <v>25.116666666666671</v>
      </c>
      <c r="M2450" s="53">
        <v>21.023145564170321</v>
      </c>
      <c r="N2450" s="78">
        <v>837.01973049118715</v>
      </c>
    </row>
    <row r="2451" spans="1:14" ht="19.5" customHeight="1" outlineLevel="1" x14ac:dyDescent="0.2">
      <c r="A2451" s="101">
        <v>15</v>
      </c>
      <c r="B2451" s="81" t="s">
        <v>22</v>
      </c>
      <c r="C2451" s="84">
        <v>296.23</v>
      </c>
      <c r="D2451" s="53">
        <v>330.17506784294994</v>
      </c>
      <c r="E2451" s="78">
        <v>1114.5902435369474</v>
      </c>
      <c r="F2451" s="84">
        <v>280.39999999999998</v>
      </c>
      <c r="G2451" s="53">
        <v>352.72721087075143</v>
      </c>
      <c r="H2451" s="78">
        <v>1257.9429774277869</v>
      </c>
      <c r="I2451" s="84">
        <v>270.56</v>
      </c>
      <c r="J2451" s="53">
        <v>294.09500059212019</v>
      </c>
      <c r="K2451" s="78">
        <v>1086.9862529277061</v>
      </c>
      <c r="L2451" s="84">
        <v>282.3966666666667</v>
      </c>
      <c r="M2451" s="53">
        <v>325.66575976860719</v>
      </c>
      <c r="N2451" s="78">
        <v>1153.2209767653319</v>
      </c>
    </row>
    <row r="2452" spans="1:14" ht="19.5" customHeight="1" outlineLevel="1" x14ac:dyDescent="0.2">
      <c r="A2452" s="101">
        <v>16</v>
      </c>
      <c r="B2452" s="81" t="s">
        <v>23</v>
      </c>
      <c r="C2452" s="84">
        <v>87.1</v>
      </c>
      <c r="D2452" s="53">
        <v>97.956667325247139</v>
      </c>
      <c r="E2452" s="78">
        <v>1124.6460083266034</v>
      </c>
      <c r="F2452" s="84">
        <v>72.77</v>
      </c>
      <c r="G2452" s="53">
        <v>94.902963999999997</v>
      </c>
      <c r="H2452" s="78">
        <v>1304.1495671293114</v>
      </c>
      <c r="I2452" s="84">
        <v>75.569999999999993</v>
      </c>
      <c r="J2452" s="53">
        <v>104.389516</v>
      </c>
      <c r="K2452" s="78">
        <v>1381.361863173217</v>
      </c>
      <c r="L2452" s="84">
        <v>78.48</v>
      </c>
      <c r="M2452" s="53">
        <v>99.083049108415707</v>
      </c>
      <c r="N2452" s="78">
        <v>1262.526109944135</v>
      </c>
    </row>
    <row r="2453" spans="1:14" ht="19.5" customHeight="1" outlineLevel="1" x14ac:dyDescent="0.2">
      <c r="A2453" s="101">
        <v>17</v>
      </c>
      <c r="B2453" s="81" t="s">
        <v>24</v>
      </c>
      <c r="C2453" s="84">
        <v>187.01</v>
      </c>
      <c r="D2453" s="53">
        <v>141.11446075367647</v>
      </c>
      <c r="E2453" s="78">
        <v>754.58243277726581</v>
      </c>
      <c r="F2453" s="84">
        <v>131.82</v>
      </c>
      <c r="G2453" s="53">
        <v>105.42794944282012</v>
      </c>
      <c r="H2453" s="78">
        <v>799.78720560476506</v>
      </c>
      <c r="I2453" s="84">
        <v>136.02000000000001</v>
      </c>
      <c r="J2453" s="53">
        <v>103.41723877605494</v>
      </c>
      <c r="K2453" s="78">
        <v>760.30906319699261</v>
      </c>
      <c r="L2453" s="84">
        <v>151.61666666666667</v>
      </c>
      <c r="M2453" s="53">
        <v>116.65321632418384</v>
      </c>
      <c r="N2453" s="78">
        <v>769.39573259877216</v>
      </c>
    </row>
    <row r="2454" spans="1:14" ht="19.5" customHeight="1" outlineLevel="1" x14ac:dyDescent="0.2">
      <c r="A2454" s="101">
        <v>18</v>
      </c>
      <c r="B2454" s="81" t="s">
        <v>25</v>
      </c>
      <c r="C2454" s="84">
        <v>103.95000000000002</v>
      </c>
      <c r="D2454" s="53">
        <v>76.06122810588235</v>
      </c>
      <c r="E2454" s="78">
        <v>731.7097460883341</v>
      </c>
      <c r="F2454" s="84">
        <v>87.759999999999991</v>
      </c>
      <c r="G2454" s="53">
        <v>72.002542055197381</v>
      </c>
      <c r="H2454" s="78">
        <v>820.44829142203037</v>
      </c>
      <c r="I2454" s="84">
        <v>66.490000000000009</v>
      </c>
      <c r="J2454" s="53">
        <v>72.408887469653479</v>
      </c>
      <c r="K2454" s="78">
        <v>1089.0192129591437</v>
      </c>
      <c r="L2454" s="84">
        <v>86.066666666666677</v>
      </c>
      <c r="M2454" s="53">
        <v>73.490885876911065</v>
      </c>
      <c r="N2454" s="78">
        <v>853.88325960779696</v>
      </c>
    </row>
    <row r="2455" spans="1:14" ht="19.5" customHeight="1" outlineLevel="1" x14ac:dyDescent="0.2">
      <c r="A2455" s="101">
        <v>19</v>
      </c>
      <c r="B2455" s="81" t="s">
        <v>26</v>
      </c>
      <c r="C2455" s="84">
        <v>82.87</v>
      </c>
      <c r="D2455" s="53">
        <v>61.417884000000008</v>
      </c>
      <c r="E2455" s="78">
        <v>741.13532038132018</v>
      </c>
      <c r="F2455" s="84">
        <v>53.1</v>
      </c>
      <c r="G2455" s="53">
        <v>43.134029075675684</v>
      </c>
      <c r="H2455" s="78">
        <v>812.31693174530483</v>
      </c>
      <c r="I2455" s="84">
        <v>48.77</v>
      </c>
      <c r="J2455" s="53">
        <v>45.397219256954507</v>
      </c>
      <c r="K2455" s="78">
        <v>930.84312603966589</v>
      </c>
      <c r="L2455" s="84">
        <v>61.580000000000005</v>
      </c>
      <c r="M2455" s="53">
        <v>49.983044110876733</v>
      </c>
      <c r="N2455" s="78">
        <v>811.67658510679973</v>
      </c>
    </row>
    <row r="2456" spans="1:14" ht="19.5" customHeight="1" outlineLevel="1" x14ac:dyDescent="0.2">
      <c r="A2456" s="101">
        <v>20</v>
      </c>
      <c r="B2456" s="81" t="s">
        <v>27</v>
      </c>
      <c r="C2456" s="84">
        <v>0.14000000000000001</v>
      </c>
      <c r="D2456" s="53">
        <v>7.1168510691981143E-2</v>
      </c>
      <c r="E2456" s="78">
        <v>508.34650494272239</v>
      </c>
      <c r="F2456" s="84">
        <v>0.16</v>
      </c>
      <c r="G2456" s="53">
        <v>0.12552648400367575</v>
      </c>
      <c r="H2456" s="78">
        <v>784.54052502297338</v>
      </c>
      <c r="I2456" s="84">
        <v>0.29000000000000004</v>
      </c>
      <c r="J2456" s="53">
        <v>0.23063432387610386</v>
      </c>
      <c r="K2456" s="78">
        <v>795.29077198656489</v>
      </c>
      <c r="L2456" s="84">
        <v>0.19666666666666668</v>
      </c>
      <c r="M2456" s="53">
        <v>0.14244310619058689</v>
      </c>
      <c r="N2456" s="78">
        <v>724.28698063010279</v>
      </c>
    </row>
    <row r="2457" spans="1:14" ht="19.5" customHeight="1" outlineLevel="1" x14ac:dyDescent="0.2">
      <c r="A2457" s="101">
        <v>21</v>
      </c>
      <c r="B2457" s="81" t="s">
        <v>28</v>
      </c>
      <c r="C2457" s="84">
        <v>6.18</v>
      </c>
      <c r="D2457" s="53">
        <v>3.3142663236340635</v>
      </c>
      <c r="E2457" s="78">
        <v>536.28904913172551</v>
      </c>
      <c r="F2457" s="84">
        <v>4.2699999999999996</v>
      </c>
      <c r="G2457" s="53">
        <v>2.8124286294912051</v>
      </c>
      <c r="H2457" s="78">
        <v>658.64839098154687</v>
      </c>
      <c r="I2457" s="84">
        <v>2.2400000000000002</v>
      </c>
      <c r="J2457" s="53">
        <v>1.5562019559199645</v>
      </c>
      <c r="K2457" s="78">
        <v>694.73301603569837</v>
      </c>
      <c r="L2457" s="84">
        <v>4.2299999999999995</v>
      </c>
      <c r="M2457" s="53">
        <v>2.5609656363484108</v>
      </c>
      <c r="N2457" s="78">
        <v>605.42922845116107</v>
      </c>
    </row>
    <row r="2458" spans="1:14" ht="19.5" customHeight="1" outlineLevel="1" x14ac:dyDescent="0.2">
      <c r="A2458" s="101">
        <v>22</v>
      </c>
      <c r="B2458" s="81" t="s">
        <v>29</v>
      </c>
      <c r="C2458" s="84">
        <v>1.92</v>
      </c>
      <c r="D2458" s="53">
        <v>1.2140031611862534</v>
      </c>
      <c r="E2458" s="78">
        <v>632.2933131178404</v>
      </c>
      <c r="F2458" s="84">
        <v>1.37</v>
      </c>
      <c r="G2458" s="53">
        <v>1.31765402449016</v>
      </c>
      <c r="H2458" s="78">
        <v>961.79125875194154</v>
      </c>
      <c r="I2458" s="84">
        <v>2.57</v>
      </c>
      <c r="J2458" s="53">
        <v>2.4791372021494551</v>
      </c>
      <c r="K2458" s="78">
        <v>964.64482573908754</v>
      </c>
      <c r="L2458" s="84">
        <v>1.9533333333333331</v>
      </c>
      <c r="M2458" s="53">
        <v>1.6702647959419561</v>
      </c>
      <c r="N2458" s="78">
        <v>855.08436652318574</v>
      </c>
    </row>
    <row r="2459" spans="1:14" ht="19.5" customHeight="1" outlineLevel="1" x14ac:dyDescent="0.2">
      <c r="A2459" s="101">
        <v>23</v>
      </c>
      <c r="B2459" s="81" t="s">
        <v>30</v>
      </c>
      <c r="C2459" s="84">
        <v>0.26</v>
      </c>
      <c r="D2459" s="53">
        <v>0.13000316118625335</v>
      </c>
      <c r="E2459" s="78">
        <v>500.01215840866672</v>
      </c>
      <c r="F2459" s="84">
        <v>0.32</v>
      </c>
      <c r="G2459" s="53">
        <v>0.18683253687778156</v>
      </c>
      <c r="H2459" s="78">
        <v>583.8516777430674</v>
      </c>
      <c r="I2459" s="84">
        <v>0.41000000000000003</v>
      </c>
      <c r="J2459" s="53">
        <v>0.22143724954832544</v>
      </c>
      <c r="K2459" s="78">
        <v>540.09085255689126</v>
      </c>
      <c r="L2459" s="84">
        <v>0.33</v>
      </c>
      <c r="M2459" s="53">
        <v>0.17942431587078678</v>
      </c>
      <c r="N2459" s="78">
        <v>543.71004809329327</v>
      </c>
    </row>
    <row r="2460" spans="1:14" ht="19.5" customHeight="1" outlineLevel="1" x14ac:dyDescent="0.2">
      <c r="A2460" s="101">
        <v>24</v>
      </c>
      <c r="B2460" s="81" t="s">
        <v>31</v>
      </c>
      <c r="C2460" s="84">
        <v>0</v>
      </c>
      <c r="D2460" s="53">
        <v>0</v>
      </c>
      <c r="E2460" s="78">
        <v>0</v>
      </c>
      <c r="F2460" s="84">
        <v>0</v>
      </c>
      <c r="G2460" s="53">
        <v>0</v>
      </c>
      <c r="H2460" s="78">
        <v>0</v>
      </c>
      <c r="I2460" s="84">
        <v>0</v>
      </c>
      <c r="J2460" s="53">
        <v>0</v>
      </c>
      <c r="K2460" s="78">
        <v>0</v>
      </c>
      <c r="L2460" s="84">
        <v>0</v>
      </c>
      <c r="M2460" s="53">
        <v>0</v>
      </c>
      <c r="N2460" s="78">
        <v>0</v>
      </c>
    </row>
    <row r="2461" spans="1:14" ht="19.5" customHeight="1" outlineLevel="1" x14ac:dyDescent="0.2">
      <c r="A2461" s="101">
        <v>25</v>
      </c>
      <c r="B2461" s="81" t="s">
        <v>32</v>
      </c>
      <c r="C2461" s="84">
        <v>1.76</v>
      </c>
      <c r="D2461" s="53">
        <v>0.82720000000000005</v>
      </c>
      <c r="E2461" s="78">
        <v>470</v>
      </c>
      <c r="F2461" s="84">
        <v>3.67</v>
      </c>
      <c r="G2461" s="53">
        <v>3.6157917963515676</v>
      </c>
      <c r="H2461" s="78">
        <v>985.22937230287948</v>
      </c>
      <c r="I2461" s="84">
        <v>6.15</v>
      </c>
      <c r="J2461" s="53">
        <v>6.0082024783457131</v>
      </c>
      <c r="K2461" s="78">
        <v>976.94349241393695</v>
      </c>
      <c r="L2461" s="84">
        <v>3.86</v>
      </c>
      <c r="M2461" s="53">
        <v>3.4837314248990938</v>
      </c>
      <c r="N2461" s="78">
        <v>902.52109453344406</v>
      </c>
    </row>
    <row r="2462" spans="1:14" ht="19.5" customHeight="1" outlineLevel="1" x14ac:dyDescent="0.2">
      <c r="A2462" s="101">
        <v>26</v>
      </c>
      <c r="B2462" s="81" t="s">
        <v>33</v>
      </c>
      <c r="C2462" s="84">
        <v>7.07</v>
      </c>
      <c r="D2462" s="53">
        <v>2.8987000000000003</v>
      </c>
      <c r="E2462" s="78">
        <v>410</v>
      </c>
      <c r="F2462" s="84">
        <v>13.2</v>
      </c>
      <c r="G2462" s="53">
        <v>12.995853367093783</v>
      </c>
      <c r="H2462" s="78">
        <v>984.53434599195327</v>
      </c>
      <c r="I2462" s="84">
        <v>24.16</v>
      </c>
      <c r="J2462" s="53">
        <v>23.602954776720718</v>
      </c>
      <c r="K2462" s="78">
        <v>976.94349241393707</v>
      </c>
      <c r="L2462" s="84">
        <v>14.81</v>
      </c>
      <c r="M2462" s="53">
        <v>13.165836047938166</v>
      </c>
      <c r="N2462" s="78">
        <v>888.9828526629417</v>
      </c>
    </row>
    <row r="2463" spans="1:14" ht="19.5" customHeight="1" outlineLevel="1" x14ac:dyDescent="0.2">
      <c r="A2463" s="101">
        <v>27</v>
      </c>
      <c r="B2463" s="81" t="s">
        <v>34</v>
      </c>
      <c r="C2463" s="84">
        <v>2.34</v>
      </c>
      <c r="D2463" s="53">
        <v>0.91446811554369933</v>
      </c>
      <c r="E2463" s="78">
        <v>390.79833997593994</v>
      </c>
      <c r="F2463" s="84">
        <v>3.53</v>
      </c>
      <c r="G2463" s="53">
        <v>3.4778596842291645</v>
      </c>
      <c r="H2463" s="78">
        <v>985.22937230287948</v>
      </c>
      <c r="I2463" s="84">
        <v>4.8099999999999996</v>
      </c>
      <c r="J2463" s="53">
        <v>4.6990981985110363</v>
      </c>
      <c r="K2463" s="78">
        <v>976.94349241393695</v>
      </c>
      <c r="L2463" s="84">
        <v>3.56</v>
      </c>
      <c r="M2463" s="53">
        <v>3.0304753327612999</v>
      </c>
      <c r="N2463" s="78">
        <v>851.25711594418533</v>
      </c>
    </row>
    <row r="2464" spans="1:14" ht="19.5" customHeight="1" outlineLevel="1" x14ac:dyDescent="0.2">
      <c r="A2464" s="101">
        <v>28</v>
      </c>
      <c r="B2464" s="81" t="s">
        <v>35</v>
      </c>
      <c r="C2464" s="84">
        <v>1.87</v>
      </c>
      <c r="D2464" s="53">
        <v>0.96022630000000009</v>
      </c>
      <c r="E2464" s="78">
        <v>513.49</v>
      </c>
      <c r="F2464" s="84">
        <v>4.91</v>
      </c>
      <c r="G2464" s="53">
        <v>4.8374762180071382</v>
      </c>
      <c r="H2464" s="78">
        <v>985.22937230287948</v>
      </c>
      <c r="I2464" s="84">
        <v>4.37</v>
      </c>
      <c r="J2464" s="53">
        <v>4.2692430618489041</v>
      </c>
      <c r="K2464" s="78">
        <v>976.94349241393684</v>
      </c>
      <c r="L2464" s="84">
        <v>3.7166666666666668</v>
      </c>
      <c r="M2464" s="53">
        <v>3.3556485266186811</v>
      </c>
      <c r="N2464" s="78">
        <v>902.8650744265509</v>
      </c>
    </row>
    <row r="2465" spans="1:14" ht="19.5" customHeight="1" outlineLevel="1" x14ac:dyDescent="0.2">
      <c r="A2465" s="101">
        <v>29</v>
      </c>
      <c r="B2465" s="81" t="s">
        <v>36</v>
      </c>
      <c r="C2465" s="84">
        <v>20.779999999999998</v>
      </c>
      <c r="D2465" s="53">
        <v>14.049722857323077</v>
      </c>
      <c r="E2465" s="78">
        <v>676.11755810024442</v>
      </c>
      <c r="F2465" s="84">
        <v>28.21</v>
      </c>
      <c r="G2465" s="53">
        <v>17.678313121843836</v>
      </c>
      <c r="H2465" s="78">
        <v>626.66831342941634</v>
      </c>
      <c r="I2465" s="84">
        <v>32.18</v>
      </c>
      <c r="J2465" s="53">
        <v>22.876491604560691</v>
      </c>
      <c r="K2465" s="78">
        <v>710.89159740710659</v>
      </c>
      <c r="L2465" s="84">
        <v>27.056666666666661</v>
      </c>
      <c r="M2465" s="53">
        <v>18.201509194575866</v>
      </c>
      <c r="N2465" s="78">
        <v>672.71809269098935</v>
      </c>
    </row>
    <row r="2466" spans="1:14" ht="19.5" customHeight="1" outlineLevel="1" x14ac:dyDescent="0.2">
      <c r="A2466" s="101">
        <v>30</v>
      </c>
      <c r="B2466" s="81" t="s">
        <v>37</v>
      </c>
      <c r="C2466" s="84">
        <v>0</v>
      </c>
      <c r="D2466" s="53">
        <v>0</v>
      </c>
      <c r="E2466" s="78">
        <v>0</v>
      </c>
      <c r="F2466" s="84">
        <v>0</v>
      </c>
      <c r="G2466" s="53">
        <v>0</v>
      </c>
      <c r="H2466" s="78">
        <v>0</v>
      </c>
      <c r="I2466" s="84">
        <v>0</v>
      </c>
      <c r="J2466" s="53">
        <v>0</v>
      </c>
      <c r="K2466" s="78">
        <v>0</v>
      </c>
      <c r="L2466" s="84">
        <v>0</v>
      </c>
      <c r="M2466" s="53">
        <v>0</v>
      </c>
      <c r="N2466" s="78">
        <v>0</v>
      </c>
    </row>
    <row r="2467" spans="1:14" ht="19.5" customHeight="1" outlineLevel="1" x14ac:dyDescent="0.2">
      <c r="A2467" s="101">
        <v>31</v>
      </c>
      <c r="B2467" s="81" t="s">
        <v>38</v>
      </c>
      <c r="C2467" s="84">
        <v>0</v>
      </c>
      <c r="D2467" s="53">
        <v>0</v>
      </c>
      <c r="E2467" s="78">
        <v>0</v>
      </c>
      <c r="F2467" s="84">
        <v>0.03</v>
      </c>
      <c r="G2467" s="53">
        <v>2.9556881169086384E-2</v>
      </c>
      <c r="H2467" s="78">
        <v>985.22937230287948</v>
      </c>
      <c r="I2467" s="84">
        <v>0.04</v>
      </c>
      <c r="J2467" s="53">
        <v>3.9077739696557479E-2</v>
      </c>
      <c r="K2467" s="78">
        <v>976.94349241393695</v>
      </c>
      <c r="L2467" s="84">
        <v>3.5000000000000003E-2</v>
      </c>
      <c r="M2467" s="53">
        <v>3.4317310432821935E-2</v>
      </c>
      <c r="N2467" s="78">
        <v>980.49458379491227</v>
      </c>
    </row>
    <row r="2468" spans="1:14" ht="19.5" customHeight="1" outlineLevel="1" x14ac:dyDescent="0.2">
      <c r="A2468" s="101">
        <v>32</v>
      </c>
      <c r="B2468" s="81" t="s">
        <v>39</v>
      </c>
      <c r="C2468" s="84">
        <v>0</v>
      </c>
      <c r="D2468" s="53">
        <v>0</v>
      </c>
      <c r="E2468" s="78">
        <v>0</v>
      </c>
      <c r="F2468" s="84">
        <v>0</v>
      </c>
      <c r="G2468" s="53">
        <v>0</v>
      </c>
      <c r="H2468" s="78">
        <v>0</v>
      </c>
      <c r="I2468" s="84">
        <v>0</v>
      </c>
      <c r="J2468" s="53">
        <v>0</v>
      </c>
      <c r="K2468" s="78">
        <v>0</v>
      </c>
      <c r="L2468" s="84">
        <v>0</v>
      </c>
      <c r="M2468" s="53">
        <v>0</v>
      </c>
      <c r="N2468" s="78">
        <v>0</v>
      </c>
    </row>
    <row r="2469" spans="1:14" ht="19.5" customHeight="1" outlineLevel="1" thickBot="1" x14ac:dyDescent="0.25">
      <c r="A2469" s="102">
        <v>33</v>
      </c>
      <c r="B2469" s="91" t="s">
        <v>40</v>
      </c>
      <c r="C2469" s="92">
        <v>1.23</v>
      </c>
      <c r="D2469" s="93">
        <v>0.74414999999999998</v>
      </c>
      <c r="E2469" s="94">
        <v>605</v>
      </c>
      <c r="F2469" s="92">
        <v>3.46</v>
      </c>
      <c r="G2469" s="93">
        <v>3.4088936281679629</v>
      </c>
      <c r="H2469" s="94">
        <v>985.22937230287948</v>
      </c>
      <c r="I2469" s="92">
        <v>5.51</v>
      </c>
      <c r="J2469" s="93">
        <v>5.3829586432007925</v>
      </c>
      <c r="K2469" s="94">
        <v>976.94349241393707</v>
      </c>
      <c r="L2469" s="92">
        <v>3.4</v>
      </c>
      <c r="M2469" s="93">
        <v>3.1786674237895851</v>
      </c>
      <c r="N2469" s="94">
        <v>934.90218346752499</v>
      </c>
    </row>
    <row r="2470" spans="1:14" ht="19.5" customHeight="1" thickBot="1" x14ac:dyDescent="0.25">
      <c r="A2470" s="151" t="s">
        <v>41</v>
      </c>
      <c r="B2470" s="152"/>
      <c r="C2470" s="96">
        <v>1959.47</v>
      </c>
      <c r="D2470" s="97">
        <v>1435.6866327723249</v>
      </c>
      <c r="E2470" s="98">
        <v>732.69130569609376</v>
      </c>
      <c r="F2470" s="96">
        <v>1732.44</v>
      </c>
      <c r="G2470" s="97">
        <v>1439.9781850198171</v>
      </c>
      <c r="H2470" s="98">
        <v>831.18502517825561</v>
      </c>
      <c r="I2470" s="96">
        <v>1719.33</v>
      </c>
      <c r="J2470" s="97">
        <v>1419.3366730921671</v>
      </c>
      <c r="K2470" s="98">
        <v>825.5173079584298</v>
      </c>
      <c r="L2470" s="96">
        <v>1803.7466666666667</v>
      </c>
      <c r="M2470" s="97">
        <v>1431.6671636281033</v>
      </c>
      <c r="N2470" s="98">
        <v>793.71853602581098</v>
      </c>
    </row>
    <row r="2471" spans="1:14" ht="34.5" customHeight="1" x14ac:dyDescent="0.2">
      <c r="A2471" s="153" t="s">
        <v>247</v>
      </c>
      <c r="B2471" s="154"/>
      <c r="C2471" s="154"/>
      <c r="D2471" s="154"/>
      <c r="E2471" s="154"/>
      <c r="F2471" s="154"/>
      <c r="G2471" s="154"/>
      <c r="H2471" s="154"/>
      <c r="I2471" s="154"/>
      <c r="J2471" s="154"/>
      <c r="K2471" s="154"/>
      <c r="L2471" s="154"/>
      <c r="M2471" s="154"/>
      <c r="N2471" s="154"/>
    </row>
    <row r="2472" spans="1:14" ht="19.5" customHeight="1" thickBot="1" x14ac:dyDescent="0.25">
      <c r="A2472" s="50"/>
      <c r="B2472" s="51" t="s">
        <v>107</v>
      </c>
      <c r="C2472" s="52"/>
      <c r="D2472" s="52"/>
      <c r="E2472" s="52"/>
      <c r="F2472" s="52"/>
      <c r="G2472" s="52"/>
      <c r="H2472" s="52"/>
      <c r="I2472" s="52"/>
      <c r="J2472" s="52"/>
      <c r="K2472" s="155" t="s">
        <v>1</v>
      </c>
      <c r="L2472" s="154"/>
      <c r="M2472" s="154"/>
      <c r="N2472" s="154"/>
    </row>
    <row r="2473" spans="1:14" ht="19.5" customHeight="1" x14ac:dyDescent="0.2">
      <c r="A2473" s="156" t="s">
        <v>2</v>
      </c>
      <c r="B2473" s="158" t="s">
        <v>3</v>
      </c>
      <c r="C2473" s="148" t="s">
        <v>243</v>
      </c>
      <c r="D2473" s="149"/>
      <c r="E2473" s="150"/>
      <c r="F2473" s="148" t="s">
        <v>244</v>
      </c>
      <c r="G2473" s="149"/>
      <c r="H2473" s="150"/>
      <c r="I2473" s="148" t="s">
        <v>246</v>
      </c>
      <c r="J2473" s="149"/>
      <c r="K2473" s="150"/>
      <c r="L2473" s="148" t="s">
        <v>4</v>
      </c>
      <c r="M2473" s="149"/>
      <c r="N2473" s="150"/>
    </row>
    <row r="2474" spans="1:14" ht="19.5" customHeight="1" thickBot="1" x14ac:dyDescent="0.25">
      <c r="A2474" s="157"/>
      <c r="B2474" s="159"/>
      <c r="C2474" s="85" t="s">
        <v>5</v>
      </c>
      <c r="D2474" s="79" t="s">
        <v>6</v>
      </c>
      <c r="E2474" s="80" t="s">
        <v>7</v>
      </c>
      <c r="F2474" s="85" t="s">
        <v>5</v>
      </c>
      <c r="G2474" s="79" t="s">
        <v>6</v>
      </c>
      <c r="H2474" s="80" t="s">
        <v>7</v>
      </c>
      <c r="I2474" s="85" t="s">
        <v>5</v>
      </c>
      <c r="J2474" s="79" t="s">
        <v>6</v>
      </c>
      <c r="K2474" s="80" t="s">
        <v>7</v>
      </c>
      <c r="L2474" s="85" t="s">
        <v>5</v>
      </c>
      <c r="M2474" s="79" t="s">
        <v>6</v>
      </c>
      <c r="N2474" s="80" t="s">
        <v>7</v>
      </c>
    </row>
    <row r="2475" spans="1:14" ht="19.5" customHeight="1" outlineLevel="1" x14ac:dyDescent="0.2">
      <c r="A2475" s="100">
        <v>1</v>
      </c>
      <c r="B2475" s="86" t="s">
        <v>8</v>
      </c>
      <c r="C2475" s="87">
        <v>0</v>
      </c>
      <c r="D2475" s="88">
        <v>0</v>
      </c>
      <c r="E2475" s="89">
        <v>0</v>
      </c>
      <c r="F2475" s="87">
        <v>0</v>
      </c>
      <c r="G2475" s="88">
        <v>0</v>
      </c>
      <c r="H2475" s="89">
        <v>0</v>
      </c>
      <c r="I2475" s="87">
        <v>0</v>
      </c>
      <c r="J2475" s="88">
        <v>0</v>
      </c>
      <c r="K2475" s="89">
        <v>0</v>
      </c>
      <c r="L2475" s="87">
        <v>0</v>
      </c>
      <c r="M2475" s="88">
        <v>0</v>
      </c>
      <c r="N2475" s="89">
        <v>0</v>
      </c>
    </row>
    <row r="2476" spans="1:14" ht="19.5" customHeight="1" outlineLevel="1" x14ac:dyDescent="0.2">
      <c r="A2476" s="101">
        <v>2</v>
      </c>
      <c r="B2476" s="81" t="s">
        <v>9</v>
      </c>
      <c r="C2476" s="84">
        <v>67.180000000000007</v>
      </c>
      <c r="D2476" s="53">
        <v>198.53933527626901</v>
      </c>
      <c r="E2476" s="78">
        <v>2955.3339576699759</v>
      </c>
      <c r="F2476" s="84">
        <v>63.03</v>
      </c>
      <c r="G2476" s="53">
        <v>188.64539174793958</v>
      </c>
      <c r="H2476" s="78">
        <v>2992.9460851648355</v>
      </c>
      <c r="I2476" s="84">
        <v>73.099999999999994</v>
      </c>
      <c r="J2476" s="53">
        <v>214.25499979739507</v>
      </c>
      <c r="K2476" s="78">
        <v>2930.98494934877</v>
      </c>
      <c r="L2476" s="84">
        <v>67.77</v>
      </c>
      <c r="M2476" s="53">
        <v>200.47990894053456</v>
      </c>
      <c r="N2476" s="78">
        <v>2958.2397659810322</v>
      </c>
    </row>
    <row r="2477" spans="1:14" ht="19.5" customHeight="1" outlineLevel="1" x14ac:dyDescent="0.2">
      <c r="A2477" s="101">
        <v>3</v>
      </c>
      <c r="B2477" s="81" t="s">
        <v>10</v>
      </c>
      <c r="C2477" s="84">
        <v>65.86</v>
      </c>
      <c r="D2477" s="53">
        <v>141.3897976470588</v>
      </c>
      <c r="E2477" s="78">
        <v>2146.8235294117644</v>
      </c>
      <c r="F2477" s="84">
        <v>63.15</v>
      </c>
      <c r="G2477" s="53">
        <v>145.94176225420634</v>
      </c>
      <c r="H2477" s="78">
        <v>2311.0334482059598</v>
      </c>
      <c r="I2477" s="84">
        <v>79.67</v>
      </c>
      <c r="J2477" s="53">
        <v>192.2022764847512</v>
      </c>
      <c r="K2477" s="78">
        <v>2412.4799357945426</v>
      </c>
      <c r="L2477" s="84">
        <v>69.56</v>
      </c>
      <c r="M2477" s="53">
        <v>159.84461212867211</v>
      </c>
      <c r="N2477" s="78">
        <v>2297.9386447480174</v>
      </c>
    </row>
    <row r="2478" spans="1:14" ht="19.5" customHeight="1" outlineLevel="1" x14ac:dyDescent="0.2">
      <c r="A2478" s="101">
        <v>4</v>
      </c>
      <c r="B2478" s="81" t="s">
        <v>11</v>
      </c>
      <c r="C2478" s="84">
        <v>157.41999999999999</v>
      </c>
      <c r="D2478" s="53">
        <v>464.98299354959954</v>
      </c>
      <c r="E2478" s="78">
        <v>2953.7733042154719</v>
      </c>
      <c r="F2478" s="84">
        <v>151.94</v>
      </c>
      <c r="G2478" s="53">
        <v>431.65159502538484</v>
      </c>
      <c r="H2478" s="78">
        <v>2840.9345466985974</v>
      </c>
      <c r="I2478" s="84">
        <v>202.68</v>
      </c>
      <c r="J2478" s="53">
        <v>587.61761258261936</v>
      </c>
      <c r="K2478" s="78">
        <v>2899.2382700938388</v>
      </c>
      <c r="L2478" s="84">
        <v>170.67999999999998</v>
      </c>
      <c r="M2478" s="53">
        <v>494.75073371920126</v>
      </c>
      <c r="N2478" s="78">
        <v>2898.703619165698</v>
      </c>
    </row>
    <row r="2479" spans="1:14" ht="19.5" customHeight="1" outlineLevel="1" x14ac:dyDescent="0.2">
      <c r="A2479" s="101">
        <v>5</v>
      </c>
      <c r="B2479" s="81" t="s">
        <v>12</v>
      </c>
      <c r="C2479" s="84">
        <v>52.43</v>
      </c>
      <c r="D2479" s="53">
        <v>144.38144161470217</v>
      </c>
      <c r="E2479" s="78">
        <v>2753.7944233206595</v>
      </c>
      <c r="F2479" s="84">
        <v>59.29</v>
      </c>
      <c r="G2479" s="53">
        <v>163.60442311111109</v>
      </c>
      <c r="H2479" s="78">
        <v>2759.3932047750227</v>
      </c>
      <c r="I2479" s="84">
        <v>72.41</v>
      </c>
      <c r="J2479" s="53">
        <v>191.11131884841942</v>
      </c>
      <c r="K2479" s="78">
        <v>2639.2945566692365</v>
      </c>
      <c r="L2479" s="84">
        <v>61.376666666666665</v>
      </c>
      <c r="M2479" s="53">
        <v>166.36572785807755</v>
      </c>
      <c r="N2479" s="78">
        <v>2710.5696169783996</v>
      </c>
    </row>
    <row r="2480" spans="1:14" ht="19.5" customHeight="1" outlineLevel="1" x14ac:dyDescent="0.2">
      <c r="A2480" s="101">
        <v>6</v>
      </c>
      <c r="B2480" s="81" t="s">
        <v>13</v>
      </c>
      <c r="C2480" s="84">
        <v>17.559999999999999</v>
      </c>
      <c r="D2480" s="53">
        <v>30.224271999999996</v>
      </c>
      <c r="E2480" s="78">
        <v>1721.2</v>
      </c>
      <c r="F2480" s="84">
        <v>16.14</v>
      </c>
      <c r="G2480" s="53">
        <v>31.698960000000003</v>
      </c>
      <c r="H2480" s="78">
        <v>1964</v>
      </c>
      <c r="I2480" s="84">
        <v>16.52</v>
      </c>
      <c r="J2480" s="53">
        <v>27.991488</v>
      </c>
      <c r="K2480" s="78">
        <v>1694.4</v>
      </c>
      <c r="L2480" s="84">
        <v>16.739999999999998</v>
      </c>
      <c r="M2480" s="53">
        <v>29.971573333333335</v>
      </c>
      <c r="N2480" s="78">
        <v>1790.4165671047394</v>
      </c>
    </row>
    <row r="2481" spans="1:14" ht="19.5" customHeight="1" outlineLevel="1" x14ac:dyDescent="0.2">
      <c r="A2481" s="101">
        <v>7</v>
      </c>
      <c r="B2481" s="81" t="s">
        <v>14</v>
      </c>
      <c r="C2481" s="84">
        <v>48.46</v>
      </c>
      <c r="D2481" s="53">
        <v>121.11123200000002</v>
      </c>
      <c r="E2481" s="78">
        <v>2499.2000000000003</v>
      </c>
      <c r="F2481" s="84">
        <v>35.9</v>
      </c>
      <c r="G2481" s="53">
        <v>77.831199999999995</v>
      </c>
      <c r="H2481" s="78">
        <v>2168</v>
      </c>
      <c r="I2481" s="84">
        <v>31.45</v>
      </c>
      <c r="J2481" s="53">
        <v>91.368539999999996</v>
      </c>
      <c r="K2481" s="78">
        <v>2905.2</v>
      </c>
      <c r="L2481" s="84">
        <v>38.603333333333332</v>
      </c>
      <c r="M2481" s="53">
        <v>96.770324000000002</v>
      </c>
      <c r="N2481" s="78">
        <v>2506.7867368966413</v>
      </c>
    </row>
    <row r="2482" spans="1:14" ht="19.5" customHeight="1" outlineLevel="1" x14ac:dyDescent="0.2">
      <c r="A2482" s="101">
        <v>8</v>
      </c>
      <c r="B2482" s="81" t="s">
        <v>15</v>
      </c>
      <c r="C2482" s="84">
        <v>0.47</v>
      </c>
      <c r="D2482" s="53">
        <v>1.1146292704998977</v>
      </c>
      <c r="E2482" s="78">
        <v>2371.5516393614848</v>
      </c>
      <c r="F2482" s="84">
        <v>0.15</v>
      </c>
      <c r="G2482" s="53">
        <v>0.32712144594205628</v>
      </c>
      <c r="H2482" s="78">
        <v>2180.8096396137084</v>
      </c>
      <c r="I2482" s="84">
        <v>0.46</v>
      </c>
      <c r="J2482" s="53">
        <v>1.0808274028624616</v>
      </c>
      <c r="K2482" s="78">
        <v>2349.6247888314383</v>
      </c>
      <c r="L2482" s="84">
        <v>0.36000000000000004</v>
      </c>
      <c r="M2482" s="53">
        <v>0.84085937310147185</v>
      </c>
      <c r="N2482" s="78">
        <v>2335.7204808374217</v>
      </c>
    </row>
    <row r="2483" spans="1:14" ht="19.5" customHeight="1" outlineLevel="1" x14ac:dyDescent="0.2">
      <c r="A2483" s="101">
        <v>9</v>
      </c>
      <c r="B2483" s="81" t="s">
        <v>16</v>
      </c>
      <c r="C2483" s="84">
        <v>0</v>
      </c>
      <c r="D2483" s="53">
        <v>0</v>
      </c>
      <c r="E2483" s="78">
        <v>0</v>
      </c>
      <c r="F2483" s="84">
        <v>0.05</v>
      </c>
      <c r="G2483" s="53">
        <v>0.11576486480037354</v>
      </c>
      <c r="H2483" s="78">
        <v>2315.2972960074708</v>
      </c>
      <c r="I2483" s="84">
        <v>0.75</v>
      </c>
      <c r="J2483" s="53">
        <v>1.7622185916235786</v>
      </c>
      <c r="K2483" s="78">
        <v>2349.6247888314383</v>
      </c>
      <c r="L2483" s="84">
        <v>0.4</v>
      </c>
      <c r="M2483" s="53">
        <v>0.93899172821197607</v>
      </c>
      <c r="N2483" s="78">
        <v>2347.4793205299402</v>
      </c>
    </row>
    <row r="2484" spans="1:14" ht="19.5" customHeight="1" outlineLevel="1" x14ac:dyDescent="0.2">
      <c r="A2484" s="101">
        <v>10</v>
      </c>
      <c r="B2484" s="81" t="s">
        <v>17</v>
      </c>
      <c r="C2484" s="84">
        <v>0</v>
      </c>
      <c r="D2484" s="53">
        <v>0</v>
      </c>
      <c r="E2484" s="78">
        <v>0</v>
      </c>
      <c r="F2484" s="84">
        <v>0</v>
      </c>
      <c r="G2484" s="53">
        <v>0</v>
      </c>
      <c r="H2484" s="78">
        <v>0</v>
      </c>
      <c r="I2484" s="84">
        <v>0</v>
      </c>
      <c r="J2484" s="53">
        <v>0</v>
      </c>
      <c r="K2484" s="78">
        <v>0</v>
      </c>
      <c r="L2484" s="84">
        <v>0</v>
      </c>
      <c r="M2484" s="53">
        <v>0</v>
      </c>
      <c r="N2484" s="78">
        <v>0</v>
      </c>
    </row>
    <row r="2485" spans="1:14" ht="19.5" customHeight="1" outlineLevel="1" x14ac:dyDescent="0.2">
      <c r="A2485" s="101">
        <v>11</v>
      </c>
      <c r="B2485" s="81" t="s">
        <v>18</v>
      </c>
      <c r="C2485" s="84">
        <v>0</v>
      </c>
      <c r="D2485" s="53">
        <v>0</v>
      </c>
      <c r="E2485" s="78">
        <v>0</v>
      </c>
      <c r="F2485" s="84">
        <v>0</v>
      </c>
      <c r="G2485" s="53">
        <v>0</v>
      </c>
      <c r="H2485" s="78">
        <v>0</v>
      </c>
      <c r="I2485" s="84">
        <v>0</v>
      </c>
      <c r="J2485" s="53">
        <v>0</v>
      </c>
      <c r="K2485" s="78">
        <v>0</v>
      </c>
      <c r="L2485" s="84">
        <v>0</v>
      </c>
      <c r="M2485" s="53">
        <v>0</v>
      </c>
      <c r="N2485" s="78">
        <v>0</v>
      </c>
    </row>
    <row r="2486" spans="1:14" ht="19.5" customHeight="1" outlineLevel="1" x14ac:dyDescent="0.2">
      <c r="A2486" s="101">
        <v>12</v>
      </c>
      <c r="B2486" s="81" t="s">
        <v>19</v>
      </c>
      <c r="C2486" s="84">
        <v>0</v>
      </c>
      <c r="D2486" s="53">
        <v>0</v>
      </c>
      <c r="E2486" s="78">
        <v>0</v>
      </c>
      <c r="F2486" s="84">
        <v>0</v>
      </c>
      <c r="G2486" s="53">
        <v>0</v>
      </c>
      <c r="H2486" s="78">
        <v>0</v>
      </c>
      <c r="I2486" s="84">
        <v>0</v>
      </c>
      <c r="J2486" s="53">
        <v>0</v>
      </c>
      <c r="K2486" s="78">
        <v>0</v>
      </c>
      <c r="L2486" s="84">
        <v>0</v>
      </c>
      <c r="M2486" s="53">
        <v>0</v>
      </c>
      <c r="N2486" s="78">
        <v>0</v>
      </c>
    </row>
    <row r="2487" spans="1:14" ht="19.5" customHeight="1" outlineLevel="1" x14ac:dyDescent="0.2">
      <c r="A2487" s="101">
        <v>13</v>
      </c>
      <c r="B2487" s="81" t="s">
        <v>20</v>
      </c>
      <c r="C2487" s="84">
        <v>0</v>
      </c>
      <c r="D2487" s="53">
        <v>0</v>
      </c>
      <c r="E2487" s="78">
        <v>0</v>
      </c>
      <c r="F2487" s="84">
        <v>0</v>
      </c>
      <c r="G2487" s="53">
        <v>0</v>
      </c>
      <c r="H2487" s="78">
        <v>0</v>
      </c>
      <c r="I2487" s="84">
        <v>0</v>
      </c>
      <c r="J2487" s="53">
        <v>0</v>
      </c>
      <c r="K2487" s="78">
        <v>0</v>
      </c>
      <c r="L2487" s="84">
        <v>0</v>
      </c>
      <c r="M2487" s="53">
        <v>0</v>
      </c>
      <c r="N2487" s="78">
        <v>0</v>
      </c>
    </row>
    <row r="2488" spans="1:14" ht="19.5" customHeight="1" outlineLevel="1" x14ac:dyDescent="0.2">
      <c r="A2488" s="101">
        <v>14</v>
      </c>
      <c r="B2488" s="81" t="s">
        <v>21</v>
      </c>
      <c r="C2488" s="84">
        <v>0</v>
      </c>
      <c r="D2488" s="53">
        <v>0</v>
      </c>
      <c r="E2488" s="78">
        <v>0</v>
      </c>
      <c r="F2488" s="84">
        <v>0</v>
      </c>
      <c r="G2488" s="53">
        <v>0</v>
      </c>
      <c r="H2488" s="78">
        <v>0</v>
      </c>
      <c r="I2488" s="84">
        <v>0</v>
      </c>
      <c r="J2488" s="53">
        <v>0</v>
      </c>
      <c r="K2488" s="78">
        <v>0</v>
      </c>
      <c r="L2488" s="84">
        <v>0</v>
      </c>
      <c r="M2488" s="53">
        <v>0</v>
      </c>
      <c r="N2488" s="78">
        <v>0</v>
      </c>
    </row>
    <row r="2489" spans="1:14" ht="19.5" customHeight="1" outlineLevel="1" x14ac:dyDescent="0.2">
      <c r="A2489" s="101">
        <v>15</v>
      </c>
      <c r="B2489" s="81" t="s">
        <v>22</v>
      </c>
      <c r="C2489" s="84">
        <v>0</v>
      </c>
      <c r="D2489" s="53">
        <v>0</v>
      </c>
      <c r="E2489" s="78">
        <v>0</v>
      </c>
      <c r="F2489" s="84">
        <v>0</v>
      </c>
      <c r="G2489" s="53">
        <v>0</v>
      </c>
      <c r="H2489" s="78">
        <v>0</v>
      </c>
      <c r="I2489" s="84">
        <v>0</v>
      </c>
      <c r="J2489" s="53">
        <v>0</v>
      </c>
      <c r="K2489" s="78">
        <v>0</v>
      </c>
      <c r="L2489" s="84">
        <v>0</v>
      </c>
      <c r="M2489" s="53">
        <v>0</v>
      </c>
      <c r="N2489" s="78">
        <v>0</v>
      </c>
    </row>
    <row r="2490" spans="1:14" ht="19.5" customHeight="1" outlineLevel="1" x14ac:dyDescent="0.2">
      <c r="A2490" s="101">
        <v>16</v>
      </c>
      <c r="B2490" s="81" t="s">
        <v>23</v>
      </c>
      <c r="C2490" s="84">
        <v>0</v>
      </c>
      <c r="D2490" s="53">
        <v>0</v>
      </c>
      <c r="E2490" s="78">
        <v>0</v>
      </c>
      <c r="F2490" s="84">
        <v>0</v>
      </c>
      <c r="G2490" s="53">
        <v>0</v>
      </c>
      <c r="H2490" s="78">
        <v>0</v>
      </c>
      <c r="I2490" s="84">
        <v>0</v>
      </c>
      <c r="J2490" s="53">
        <v>0</v>
      </c>
      <c r="K2490" s="78">
        <v>0</v>
      </c>
      <c r="L2490" s="84">
        <v>0</v>
      </c>
      <c r="M2490" s="53">
        <v>0</v>
      </c>
      <c r="N2490" s="78">
        <v>0</v>
      </c>
    </row>
    <row r="2491" spans="1:14" ht="19.5" customHeight="1" outlineLevel="1" x14ac:dyDescent="0.2">
      <c r="A2491" s="101">
        <v>17</v>
      </c>
      <c r="B2491" s="81" t="s">
        <v>24</v>
      </c>
      <c r="C2491" s="84">
        <v>0</v>
      </c>
      <c r="D2491" s="53">
        <v>0</v>
      </c>
      <c r="E2491" s="78">
        <v>0</v>
      </c>
      <c r="F2491" s="84">
        <v>0</v>
      </c>
      <c r="G2491" s="53">
        <v>0</v>
      </c>
      <c r="H2491" s="78">
        <v>0</v>
      </c>
      <c r="I2491" s="84">
        <v>0</v>
      </c>
      <c r="J2491" s="53">
        <v>0</v>
      </c>
      <c r="K2491" s="78">
        <v>0</v>
      </c>
      <c r="L2491" s="84">
        <v>0</v>
      </c>
      <c r="M2491" s="53">
        <v>0</v>
      </c>
      <c r="N2491" s="78">
        <v>0</v>
      </c>
    </row>
    <row r="2492" spans="1:14" ht="19.5" customHeight="1" outlineLevel="1" x14ac:dyDescent="0.2">
      <c r="A2492" s="101">
        <v>18</v>
      </c>
      <c r="B2492" s="81" t="s">
        <v>25</v>
      </c>
      <c r="C2492" s="84">
        <v>0</v>
      </c>
      <c r="D2492" s="53">
        <v>0</v>
      </c>
      <c r="E2492" s="78">
        <v>0</v>
      </c>
      <c r="F2492" s="84">
        <v>0</v>
      </c>
      <c r="G2492" s="53">
        <v>0</v>
      </c>
      <c r="H2492" s="78">
        <v>0</v>
      </c>
      <c r="I2492" s="84">
        <v>0</v>
      </c>
      <c r="J2492" s="53">
        <v>0</v>
      </c>
      <c r="K2492" s="78">
        <v>0</v>
      </c>
      <c r="L2492" s="84">
        <v>0</v>
      </c>
      <c r="M2492" s="53">
        <v>0</v>
      </c>
      <c r="N2492" s="78">
        <v>0</v>
      </c>
    </row>
    <row r="2493" spans="1:14" ht="19.5" customHeight="1" outlineLevel="1" x14ac:dyDescent="0.2">
      <c r="A2493" s="101">
        <v>19</v>
      </c>
      <c r="B2493" s="81" t="s">
        <v>26</v>
      </c>
      <c r="C2493" s="84">
        <v>0</v>
      </c>
      <c r="D2493" s="53">
        <v>0</v>
      </c>
      <c r="E2493" s="78">
        <v>0</v>
      </c>
      <c r="F2493" s="84">
        <v>0</v>
      </c>
      <c r="G2493" s="53">
        <v>0</v>
      </c>
      <c r="H2493" s="78">
        <v>0</v>
      </c>
      <c r="I2493" s="84">
        <v>0</v>
      </c>
      <c r="J2493" s="53">
        <v>0</v>
      </c>
      <c r="K2493" s="78">
        <v>0</v>
      </c>
      <c r="L2493" s="84">
        <v>0</v>
      </c>
      <c r="M2493" s="53">
        <v>0</v>
      </c>
      <c r="N2493" s="78">
        <v>0</v>
      </c>
    </row>
    <row r="2494" spans="1:14" ht="19.5" customHeight="1" outlineLevel="1" x14ac:dyDescent="0.2">
      <c r="A2494" s="101">
        <v>20</v>
      </c>
      <c r="B2494" s="81" t="s">
        <v>27</v>
      </c>
      <c r="C2494" s="84">
        <v>752.43000000000006</v>
      </c>
      <c r="D2494" s="53">
        <v>1840.1935834034712</v>
      </c>
      <c r="E2494" s="78">
        <v>2445.6674818966162</v>
      </c>
      <c r="F2494" s="84">
        <v>756.92000000000007</v>
      </c>
      <c r="G2494" s="53">
        <v>1647.000418409157</v>
      </c>
      <c r="H2494" s="78">
        <v>2175.9240321423094</v>
      </c>
      <c r="I2494" s="84">
        <v>761.44999999999993</v>
      </c>
      <c r="J2494" s="53">
        <v>1675.7256891259062</v>
      </c>
      <c r="K2494" s="78">
        <v>2200.7035118864092</v>
      </c>
      <c r="L2494" s="84">
        <v>756.93333333333339</v>
      </c>
      <c r="M2494" s="53">
        <v>1720.9732303128446</v>
      </c>
      <c r="N2494" s="78">
        <v>2273.6126875720161</v>
      </c>
    </row>
    <row r="2495" spans="1:14" ht="19.5" customHeight="1" outlineLevel="1" x14ac:dyDescent="0.2">
      <c r="A2495" s="101">
        <v>21</v>
      </c>
      <c r="B2495" s="81" t="s">
        <v>28</v>
      </c>
      <c r="C2495" s="84">
        <v>638.89</v>
      </c>
      <c r="D2495" s="53">
        <v>1307.746062074727</v>
      </c>
      <c r="E2495" s="78">
        <v>2046.903319937277</v>
      </c>
      <c r="F2495" s="84">
        <v>636.71</v>
      </c>
      <c r="G2495" s="53">
        <v>1316.9475250968994</v>
      </c>
      <c r="H2495" s="78">
        <v>2068.3631874745165</v>
      </c>
      <c r="I2495" s="84">
        <v>669.79</v>
      </c>
      <c r="J2495" s="53">
        <v>1451.6675064548513</v>
      </c>
      <c r="K2495" s="78">
        <v>2167.3472378728429</v>
      </c>
      <c r="L2495" s="84">
        <v>648.46333333333325</v>
      </c>
      <c r="M2495" s="53">
        <v>1358.787031208826</v>
      </c>
      <c r="N2495" s="78">
        <v>2095.3953159142784</v>
      </c>
    </row>
    <row r="2496" spans="1:14" ht="19.5" customHeight="1" outlineLevel="1" x14ac:dyDescent="0.2">
      <c r="A2496" s="101">
        <v>22</v>
      </c>
      <c r="B2496" s="81" t="s">
        <v>29</v>
      </c>
      <c r="C2496" s="84">
        <v>18.16</v>
      </c>
      <c r="D2496" s="53">
        <v>37.26384137587624</v>
      </c>
      <c r="E2496" s="78">
        <v>2051.9736440460483</v>
      </c>
      <c r="F2496" s="84">
        <v>7.02</v>
      </c>
      <c r="G2496" s="53">
        <v>20.701373188802236</v>
      </c>
      <c r="H2496" s="78">
        <v>2948.9135596584388</v>
      </c>
      <c r="I2496" s="84">
        <v>6.5699999999999994</v>
      </c>
      <c r="J2496" s="53">
        <v>21.600314873298863</v>
      </c>
      <c r="K2496" s="78">
        <v>3287.7191587973921</v>
      </c>
      <c r="L2496" s="84">
        <v>10.583333333333334</v>
      </c>
      <c r="M2496" s="53">
        <v>26.521843145992449</v>
      </c>
      <c r="N2496" s="78">
        <v>2506.0009271803888</v>
      </c>
    </row>
    <row r="2497" spans="1:14" ht="19.5" customHeight="1" outlineLevel="1" x14ac:dyDescent="0.2">
      <c r="A2497" s="101">
        <v>23</v>
      </c>
      <c r="B2497" s="81" t="s">
        <v>30</v>
      </c>
      <c r="C2497" s="84">
        <v>9.52</v>
      </c>
      <c r="D2497" s="53">
        <v>23.004747916795296</v>
      </c>
      <c r="E2497" s="78">
        <v>2416.4651173104303</v>
      </c>
      <c r="F2497" s="84">
        <v>7.5</v>
      </c>
      <c r="G2497" s="53">
        <v>13.186620000000003</v>
      </c>
      <c r="H2497" s="78">
        <v>1758.2160000000003</v>
      </c>
      <c r="I2497" s="84">
        <v>11.04</v>
      </c>
      <c r="J2497" s="53">
        <v>21.994131927159238</v>
      </c>
      <c r="K2497" s="78">
        <v>1992.2220948513802</v>
      </c>
      <c r="L2497" s="84">
        <v>9.3533333333333335</v>
      </c>
      <c r="M2497" s="53">
        <v>19.395166614651512</v>
      </c>
      <c r="N2497" s="78">
        <v>2073.610115607788</v>
      </c>
    </row>
    <row r="2498" spans="1:14" ht="19.5" customHeight="1" outlineLevel="1" x14ac:dyDescent="0.2">
      <c r="A2498" s="101">
        <v>24</v>
      </c>
      <c r="B2498" s="81" t="s">
        <v>31</v>
      </c>
      <c r="C2498" s="84">
        <v>0</v>
      </c>
      <c r="D2498" s="53">
        <v>0</v>
      </c>
      <c r="E2498" s="78">
        <v>0</v>
      </c>
      <c r="F2498" s="84">
        <v>0</v>
      </c>
      <c r="G2498" s="53">
        <v>0</v>
      </c>
      <c r="H2498" s="78">
        <v>0</v>
      </c>
      <c r="I2498" s="84">
        <v>0</v>
      </c>
      <c r="J2498" s="53">
        <v>0</v>
      </c>
      <c r="K2498" s="78">
        <v>0</v>
      </c>
      <c r="L2498" s="84">
        <v>0</v>
      </c>
      <c r="M2498" s="53">
        <v>0</v>
      </c>
      <c r="N2498" s="78">
        <v>0</v>
      </c>
    </row>
    <row r="2499" spans="1:14" ht="19.5" customHeight="1" outlineLevel="1" x14ac:dyDescent="0.2">
      <c r="A2499" s="101">
        <v>25</v>
      </c>
      <c r="B2499" s="81" t="s">
        <v>32</v>
      </c>
      <c r="C2499" s="84">
        <v>100.09</v>
      </c>
      <c r="D2499" s="53">
        <v>161.53071069985754</v>
      </c>
      <c r="E2499" s="78">
        <v>1613.8546378245333</v>
      </c>
      <c r="F2499" s="84">
        <v>96.24</v>
      </c>
      <c r="G2499" s="53">
        <v>164.71032269253453</v>
      </c>
      <c r="H2499" s="78">
        <v>1711.4538933139499</v>
      </c>
      <c r="I2499" s="84">
        <v>122</v>
      </c>
      <c r="J2499" s="53">
        <v>210.81255446599334</v>
      </c>
      <c r="K2499" s="78">
        <v>1727.9717579179783</v>
      </c>
      <c r="L2499" s="84">
        <v>106.11</v>
      </c>
      <c r="M2499" s="53">
        <v>179.01786261946179</v>
      </c>
      <c r="N2499" s="78">
        <v>1687.0969995237185</v>
      </c>
    </row>
    <row r="2500" spans="1:14" ht="19.5" customHeight="1" outlineLevel="1" x14ac:dyDescent="0.2">
      <c r="A2500" s="101">
        <v>26</v>
      </c>
      <c r="B2500" s="81" t="s">
        <v>33</v>
      </c>
      <c r="C2500" s="84">
        <v>0</v>
      </c>
      <c r="D2500" s="53">
        <v>0</v>
      </c>
      <c r="E2500" s="78">
        <v>0</v>
      </c>
      <c r="F2500" s="84">
        <v>0</v>
      </c>
      <c r="G2500" s="53">
        <v>0</v>
      </c>
      <c r="H2500" s="78">
        <v>0</v>
      </c>
      <c r="I2500" s="84">
        <v>0</v>
      </c>
      <c r="J2500" s="53">
        <v>0</v>
      </c>
      <c r="K2500" s="78">
        <v>0</v>
      </c>
      <c r="L2500" s="84">
        <v>0</v>
      </c>
      <c r="M2500" s="53">
        <v>0</v>
      </c>
      <c r="N2500" s="78">
        <v>0</v>
      </c>
    </row>
    <row r="2501" spans="1:14" ht="19.5" customHeight="1" outlineLevel="1" x14ac:dyDescent="0.2">
      <c r="A2501" s="101">
        <v>27</v>
      </c>
      <c r="B2501" s="81" t="s">
        <v>34</v>
      </c>
      <c r="C2501" s="84">
        <v>0</v>
      </c>
      <c r="D2501" s="53">
        <v>0</v>
      </c>
      <c r="E2501" s="78">
        <v>0</v>
      </c>
      <c r="F2501" s="84">
        <v>0</v>
      </c>
      <c r="G2501" s="53">
        <v>0</v>
      </c>
      <c r="H2501" s="78">
        <v>0</v>
      </c>
      <c r="I2501" s="84">
        <v>0</v>
      </c>
      <c r="J2501" s="53">
        <v>0</v>
      </c>
      <c r="K2501" s="78">
        <v>0</v>
      </c>
      <c r="L2501" s="84">
        <v>0</v>
      </c>
      <c r="M2501" s="53">
        <v>0</v>
      </c>
      <c r="N2501" s="78">
        <v>0</v>
      </c>
    </row>
    <row r="2502" spans="1:14" ht="19.5" customHeight="1" outlineLevel="1" x14ac:dyDescent="0.2">
      <c r="A2502" s="101">
        <v>28</v>
      </c>
      <c r="B2502" s="81" t="s">
        <v>35</v>
      </c>
      <c r="C2502" s="84">
        <v>0</v>
      </c>
      <c r="D2502" s="53">
        <v>0</v>
      </c>
      <c r="E2502" s="78">
        <v>0</v>
      </c>
      <c r="F2502" s="84">
        <v>0</v>
      </c>
      <c r="G2502" s="53">
        <v>0</v>
      </c>
      <c r="H2502" s="78">
        <v>0</v>
      </c>
      <c r="I2502" s="84">
        <v>0</v>
      </c>
      <c r="J2502" s="53">
        <v>0</v>
      </c>
      <c r="K2502" s="78">
        <v>0</v>
      </c>
      <c r="L2502" s="84">
        <v>0</v>
      </c>
      <c r="M2502" s="53">
        <v>0</v>
      </c>
      <c r="N2502" s="78">
        <v>0</v>
      </c>
    </row>
    <row r="2503" spans="1:14" ht="19.5" customHeight="1" outlineLevel="1" x14ac:dyDescent="0.2">
      <c r="A2503" s="101">
        <v>29</v>
      </c>
      <c r="B2503" s="81" t="s">
        <v>36</v>
      </c>
      <c r="C2503" s="84">
        <v>0</v>
      </c>
      <c r="D2503" s="53">
        <v>0</v>
      </c>
      <c r="E2503" s="78">
        <v>0</v>
      </c>
      <c r="F2503" s="84">
        <v>0</v>
      </c>
      <c r="G2503" s="53">
        <v>0</v>
      </c>
      <c r="H2503" s="78">
        <v>0</v>
      </c>
      <c r="I2503" s="84">
        <v>0</v>
      </c>
      <c r="J2503" s="53">
        <v>0</v>
      </c>
      <c r="K2503" s="78">
        <v>0</v>
      </c>
      <c r="L2503" s="84">
        <v>0</v>
      </c>
      <c r="M2503" s="53">
        <v>0</v>
      </c>
      <c r="N2503" s="78">
        <v>0</v>
      </c>
    </row>
    <row r="2504" spans="1:14" ht="19.5" customHeight="1" outlineLevel="1" x14ac:dyDescent="0.2">
      <c r="A2504" s="101">
        <v>30</v>
      </c>
      <c r="B2504" s="81" t="s">
        <v>37</v>
      </c>
      <c r="C2504" s="84">
        <v>0</v>
      </c>
      <c r="D2504" s="53">
        <v>0</v>
      </c>
      <c r="E2504" s="78">
        <v>0</v>
      </c>
      <c r="F2504" s="84">
        <v>0</v>
      </c>
      <c r="G2504" s="53">
        <v>0</v>
      </c>
      <c r="H2504" s="78">
        <v>0</v>
      </c>
      <c r="I2504" s="84">
        <v>0</v>
      </c>
      <c r="J2504" s="53">
        <v>0</v>
      </c>
      <c r="K2504" s="78">
        <v>0</v>
      </c>
      <c r="L2504" s="84">
        <v>0</v>
      </c>
      <c r="M2504" s="53">
        <v>0</v>
      </c>
      <c r="N2504" s="78">
        <v>0</v>
      </c>
    </row>
    <row r="2505" spans="1:14" ht="19.5" customHeight="1" outlineLevel="1" x14ac:dyDescent="0.2">
      <c r="A2505" s="101">
        <v>31</v>
      </c>
      <c r="B2505" s="81" t="s">
        <v>38</v>
      </c>
      <c r="C2505" s="84">
        <v>0</v>
      </c>
      <c r="D2505" s="53">
        <v>0</v>
      </c>
      <c r="E2505" s="78">
        <v>0</v>
      </c>
      <c r="F2505" s="84">
        <v>0</v>
      </c>
      <c r="G2505" s="53">
        <v>0</v>
      </c>
      <c r="H2505" s="78">
        <v>0</v>
      </c>
      <c r="I2505" s="84">
        <v>0</v>
      </c>
      <c r="J2505" s="53">
        <v>0</v>
      </c>
      <c r="K2505" s="78">
        <v>0</v>
      </c>
      <c r="L2505" s="84">
        <v>0</v>
      </c>
      <c r="M2505" s="53">
        <v>0</v>
      </c>
      <c r="N2505" s="78">
        <v>0</v>
      </c>
    </row>
    <row r="2506" spans="1:14" ht="19.5" customHeight="1" outlineLevel="1" x14ac:dyDescent="0.2">
      <c r="A2506" s="101">
        <v>32</v>
      </c>
      <c r="B2506" s="81" t="s">
        <v>39</v>
      </c>
      <c r="C2506" s="84">
        <v>0</v>
      </c>
      <c r="D2506" s="53">
        <v>0</v>
      </c>
      <c r="E2506" s="78">
        <v>0</v>
      </c>
      <c r="F2506" s="84">
        <v>0</v>
      </c>
      <c r="G2506" s="53">
        <v>0</v>
      </c>
      <c r="H2506" s="78">
        <v>0</v>
      </c>
      <c r="I2506" s="84">
        <v>0</v>
      </c>
      <c r="J2506" s="53">
        <v>0</v>
      </c>
      <c r="K2506" s="78">
        <v>0</v>
      </c>
      <c r="L2506" s="84">
        <v>0</v>
      </c>
      <c r="M2506" s="53">
        <v>0</v>
      </c>
      <c r="N2506" s="78">
        <v>0</v>
      </c>
    </row>
    <row r="2507" spans="1:14" ht="19.5" customHeight="1" outlineLevel="1" thickBot="1" x14ac:dyDescent="0.25">
      <c r="A2507" s="102">
        <v>33</v>
      </c>
      <c r="B2507" s="91" t="s">
        <v>40</v>
      </c>
      <c r="C2507" s="92">
        <v>0</v>
      </c>
      <c r="D2507" s="93">
        <v>0</v>
      </c>
      <c r="E2507" s="94">
        <v>0</v>
      </c>
      <c r="F2507" s="92">
        <v>0</v>
      </c>
      <c r="G2507" s="93">
        <v>0</v>
      </c>
      <c r="H2507" s="94">
        <v>0</v>
      </c>
      <c r="I2507" s="92">
        <v>0</v>
      </c>
      <c r="J2507" s="93">
        <v>0</v>
      </c>
      <c r="K2507" s="94">
        <v>0</v>
      </c>
      <c r="L2507" s="92">
        <v>0</v>
      </c>
      <c r="M2507" s="93">
        <v>0</v>
      </c>
      <c r="N2507" s="94">
        <v>0</v>
      </c>
    </row>
    <row r="2508" spans="1:14" ht="19.5" customHeight="1" thickBot="1" x14ac:dyDescent="0.25">
      <c r="A2508" s="151" t="s">
        <v>41</v>
      </c>
      <c r="B2508" s="152"/>
      <c r="C2508" s="96">
        <v>1928.4700000000003</v>
      </c>
      <c r="D2508" s="97">
        <v>4471.4826468288556</v>
      </c>
      <c r="E2508" s="98">
        <v>2318.6685024028661</v>
      </c>
      <c r="F2508" s="96">
        <v>1894.0400000000002</v>
      </c>
      <c r="G2508" s="97">
        <v>4202.3624778367775</v>
      </c>
      <c r="H2508" s="98">
        <v>2218.7295293852171</v>
      </c>
      <c r="I2508" s="96">
        <v>2047.8899999999996</v>
      </c>
      <c r="J2508" s="97">
        <v>4689.1894785548802</v>
      </c>
      <c r="K2508" s="98">
        <v>2289.7662855694794</v>
      </c>
      <c r="L2508" s="96">
        <v>1956.8</v>
      </c>
      <c r="M2508" s="97">
        <v>4454.3448677401711</v>
      </c>
      <c r="N2508" s="98">
        <v>2276.3414082891309</v>
      </c>
    </row>
    <row r="2509" spans="1:14" ht="34.5" customHeight="1" x14ac:dyDescent="0.2">
      <c r="A2509" s="153" t="s">
        <v>247</v>
      </c>
      <c r="B2509" s="154"/>
      <c r="C2509" s="154"/>
      <c r="D2509" s="154"/>
      <c r="E2509" s="154"/>
      <c r="F2509" s="154"/>
      <c r="G2509" s="154"/>
      <c r="H2509" s="154"/>
      <c r="I2509" s="154"/>
      <c r="J2509" s="154"/>
      <c r="K2509" s="154"/>
      <c r="L2509" s="154"/>
      <c r="M2509" s="154"/>
      <c r="N2509" s="154"/>
    </row>
    <row r="2510" spans="1:14" ht="19.5" customHeight="1" thickBot="1" x14ac:dyDescent="0.25">
      <c r="A2510" s="50"/>
      <c r="B2510" s="51" t="s">
        <v>108</v>
      </c>
      <c r="C2510" s="52"/>
      <c r="D2510" s="52"/>
      <c r="E2510" s="52"/>
      <c r="F2510" s="52"/>
      <c r="G2510" s="52"/>
      <c r="H2510" s="52"/>
      <c r="I2510" s="52"/>
      <c r="J2510" s="52"/>
      <c r="K2510" s="155" t="s">
        <v>1</v>
      </c>
      <c r="L2510" s="154"/>
      <c r="M2510" s="154"/>
      <c r="N2510" s="154"/>
    </row>
    <row r="2511" spans="1:14" ht="19.5" customHeight="1" x14ac:dyDescent="0.2">
      <c r="A2511" s="156" t="s">
        <v>2</v>
      </c>
      <c r="B2511" s="158" t="s">
        <v>3</v>
      </c>
      <c r="C2511" s="148" t="s">
        <v>243</v>
      </c>
      <c r="D2511" s="149"/>
      <c r="E2511" s="150"/>
      <c r="F2511" s="148" t="s">
        <v>244</v>
      </c>
      <c r="G2511" s="149"/>
      <c r="H2511" s="150"/>
      <c r="I2511" s="148" t="s">
        <v>246</v>
      </c>
      <c r="J2511" s="149"/>
      <c r="K2511" s="150"/>
      <c r="L2511" s="148" t="s">
        <v>4</v>
      </c>
      <c r="M2511" s="149"/>
      <c r="N2511" s="150"/>
    </row>
    <row r="2512" spans="1:14" ht="19.5" customHeight="1" thickBot="1" x14ac:dyDescent="0.25">
      <c r="A2512" s="157"/>
      <c r="B2512" s="159"/>
      <c r="C2512" s="85" t="s">
        <v>5</v>
      </c>
      <c r="D2512" s="79" t="s">
        <v>6</v>
      </c>
      <c r="E2512" s="80" t="s">
        <v>7</v>
      </c>
      <c r="F2512" s="85" t="s">
        <v>5</v>
      </c>
      <c r="G2512" s="79" t="s">
        <v>6</v>
      </c>
      <c r="H2512" s="80" t="s">
        <v>7</v>
      </c>
      <c r="I2512" s="85" t="s">
        <v>5</v>
      </c>
      <c r="J2512" s="79" t="s">
        <v>6</v>
      </c>
      <c r="K2512" s="80" t="s">
        <v>7</v>
      </c>
      <c r="L2512" s="85" t="s">
        <v>5</v>
      </c>
      <c r="M2512" s="79" t="s">
        <v>6</v>
      </c>
      <c r="N2512" s="80" t="s">
        <v>7</v>
      </c>
    </row>
    <row r="2513" spans="1:14" ht="19.5" customHeight="1" outlineLevel="1" x14ac:dyDescent="0.2">
      <c r="A2513" s="100">
        <v>1</v>
      </c>
      <c r="B2513" s="86" t="s">
        <v>8</v>
      </c>
      <c r="C2513" s="87">
        <v>3.1</v>
      </c>
      <c r="D2513" s="88">
        <v>85.866722349352514</v>
      </c>
      <c r="E2513" s="89">
        <v>27698.942693339519</v>
      </c>
      <c r="F2513" s="87">
        <v>2.75</v>
      </c>
      <c r="G2513" s="88">
        <v>77.474064829980193</v>
      </c>
      <c r="H2513" s="89">
        <v>28172.387210901888</v>
      </c>
      <c r="I2513" s="87">
        <v>1.88</v>
      </c>
      <c r="J2513" s="88">
        <v>57.038911230120469</v>
      </c>
      <c r="K2513" s="89">
        <v>30339.846399000249</v>
      </c>
      <c r="L2513" s="87">
        <v>2.5766666666666667</v>
      </c>
      <c r="M2513" s="88">
        <v>73.459899469817728</v>
      </c>
      <c r="N2513" s="89">
        <v>28509.663442361343</v>
      </c>
    </row>
    <row r="2514" spans="1:14" ht="19.5" customHeight="1" outlineLevel="1" x14ac:dyDescent="0.2">
      <c r="A2514" s="101">
        <v>2</v>
      </c>
      <c r="B2514" s="81" t="s">
        <v>9</v>
      </c>
      <c r="C2514" s="84">
        <v>5.76</v>
      </c>
      <c r="D2514" s="53">
        <v>158.67187720471941</v>
      </c>
      <c r="E2514" s="78">
        <v>27547.20090359712</v>
      </c>
      <c r="F2514" s="84">
        <v>4.3099999999999996</v>
      </c>
      <c r="G2514" s="53">
        <v>121.47665533970913</v>
      </c>
      <c r="H2514" s="78">
        <v>28184.838825918592</v>
      </c>
      <c r="I2514" s="84">
        <v>3.97</v>
      </c>
      <c r="J2514" s="53">
        <v>120.449190204031</v>
      </c>
      <c r="K2514" s="78">
        <v>30339.846399000249</v>
      </c>
      <c r="L2514" s="84">
        <v>4.6800000000000006</v>
      </c>
      <c r="M2514" s="53">
        <v>133.53257424948652</v>
      </c>
      <c r="N2514" s="78">
        <v>28532.601335360367</v>
      </c>
    </row>
    <row r="2515" spans="1:14" ht="19.5" customHeight="1" outlineLevel="1" x14ac:dyDescent="0.2">
      <c r="A2515" s="101">
        <v>3</v>
      </c>
      <c r="B2515" s="81" t="s">
        <v>10</v>
      </c>
      <c r="C2515" s="84">
        <v>1.2</v>
      </c>
      <c r="D2515" s="53">
        <v>33.056641084316546</v>
      </c>
      <c r="E2515" s="78">
        <v>27547.20090359712</v>
      </c>
      <c r="F2515" s="84">
        <v>1.1000000000000001</v>
      </c>
      <c r="G2515" s="53">
        <v>31.003322708510456</v>
      </c>
      <c r="H2515" s="78">
        <v>28184.838825918592</v>
      </c>
      <c r="I2515" s="84">
        <v>1.91</v>
      </c>
      <c r="J2515" s="53">
        <v>57.949106622090476</v>
      </c>
      <c r="K2515" s="78">
        <v>30339.846399000249</v>
      </c>
      <c r="L2515" s="84">
        <v>1.4033333333333333</v>
      </c>
      <c r="M2515" s="53">
        <v>40.669690138305832</v>
      </c>
      <c r="N2515" s="78">
        <v>28980.776820645482</v>
      </c>
    </row>
    <row r="2516" spans="1:14" ht="19.5" customHeight="1" outlineLevel="1" x14ac:dyDescent="0.2">
      <c r="A2516" s="101">
        <v>4</v>
      </c>
      <c r="B2516" s="81" t="s">
        <v>11</v>
      </c>
      <c r="C2516" s="84">
        <v>2.27</v>
      </c>
      <c r="D2516" s="53">
        <v>62.471953951769784</v>
      </c>
      <c r="E2516" s="78">
        <v>27520.684560251007</v>
      </c>
      <c r="F2516" s="84">
        <v>2.12</v>
      </c>
      <c r="G2516" s="53">
        <v>59.7692457813923</v>
      </c>
      <c r="H2516" s="78">
        <v>28193.040462920897</v>
      </c>
      <c r="I2516" s="84">
        <v>1.74</v>
      </c>
      <c r="J2516" s="53">
        <v>52.604145022340411</v>
      </c>
      <c r="K2516" s="78">
        <v>30232.267254218626</v>
      </c>
      <c r="L2516" s="84">
        <v>2.0433333333333334</v>
      </c>
      <c r="M2516" s="53">
        <v>58.281781585167501</v>
      </c>
      <c r="N2516" s="78">
        <v>28522.894739886215</v>
      </c>
    </row>
    <row r="2517" spans="1:14" ht="19.5" customHeight="1" outlineLevel="1" x14ac:dyDescent="0.2">
      <c r="A2517" s="101">
        <v>5</v>
      </c>
      <c r="B2517" s="81" t="s">
        <v>12</v>
      </c>
      <c r="C2517" s="84">
        <v>0.87</v>
      </c>
      <c r="D2517" s="53">
        <v>23.966064786129497</v>
      </c>
      <c r="E2517" s="78">
        <v>27547.200903597124</v>
      </c>
      <c r="F2517" s="84">
        <v>0.76</v>
      </c>
      <c r="G2517" s="53">
        <v>21.414932342920572</v>
      </c>
      <c r="H2517" s="78">
        <v>28177.542556474436</v>
      </c>
      <c r="I2517" s="84">
        <v>1.39</v>
      </c>
      <c r="J2517" s="53">
        <v>42.172386494610343</v>
      </c>
      <c r="K2517" s="78">
        <v>30339.846399000249</v>
      </c>
      <c r="L2517" s="84">
        <v>1.0066666666666666</v>
      </c>
      <c r="M2517" s="53">
        <v>29.184461207886802</v>
      </c>
      <c r="N2517" s="78">
        <v>28991.186630351131</v>
      </c>
    </row>
    <row r="2518" spans="1:14" ht="19.5" customHeight="1" outlineLevel="1" x14ac:dyDescent="0.2">
      <c r="A2518" s="101">
        <v>6</v>
      </c>
      <c r="B2518" s="81" t="s">
        <v>13</v>
      </c>
      <c r="C2518" s="84">
        <v>0.67</v>
      </c>
      <c r="D2518" s="53">
        <v>18.45662460541007</v>
      </c>
      <c r="E2518" s="78">
        <v>27547.200903597117</v>
      </c>
      <c r="F2518" s="84">
        <v>0.53</v>
      </c>
      <c r="G2518" s="53">
        <v>14.937964577736855</v>
      </c>
      <c r="H2518" s="78">
        <v>28184.838825918592</v>
      </c>
      <c r="I2518" s="84">
        <v>0.05</v>
      </c>
      <c r="J2518" s="53">
        <v>1.5169923199500126</v>
      </c>
      <c r="K2518" s="78">
        <v>30339.846399000253</v>
      </c>
      <c r="L2518" s="84">
        <v>0.41666666666666674</v>
      </c>
      <c r="M2518" s="53">
        <v>11.637193834365647</v>
      </c>
      <c r="N2518" s="78">
        <v>27929.265202477549</v>
      </c>
    </row>
    <row r="2519" spans="1:14" ht="19.5" customHeight="1" outlineLevel="1" x14ac:dyDescent="0.2">
      <c r="A2519" s="101">
        <v>7</v>
      </c>
      <c r="B2519" s="81" t="s">
        <v>14</v>
      </c>
      <c r="C2519" s="84">
        <v>0</v>
      </c>
      <c r="D2519" s="53">
        <v>0</v>
      </c>
      <c r="E2519" s="78">
        <v>0</v>
      </c>
      <c r="F2519" s="84">
        <v>0</v>
      </c>
      <c r="G2519" s="53">
        <v>0</v>
      </c>
      <c r="H2519" s="78">
        <v>0</v>
      </c>
      <c r="I2519" s="84">
        <v>0.01</v>
      </c>
      <c r="J2519" s="53">
        <v>0.26</v>
      </c>
      <c r="K2519" s="78">
        <v>26000</v>
      </c>
      <c r="L2519" s="84">
        <v>0.01</v>
      </c>
      <c r="M2519" s="53">
        <v>0.26</v>
      </c>
      <c r="N2519" s="78">
        <v>26000</v>
      </c>
    </row>
    <row r="2520" spans="1:14" ht="19.5" customHeight="1" outlineLevel="1" x14ac:dyDescent="0.2">
      <c r="A2520" s="101">
        <v>8</v>
      </c>
      <c r="B2520" s="81" t="s">
        <v>15</v>
      </c>
      <c r="C2520" s="84">
        <v>0.61</v>
      </c>
      <c r="D2520" s="53">
        <v>15.896712415654676</v>
      </c>
      <c r="E2520" s="78">
        <v>26060.184287958487</v>
      </c>
      <c r="F2520" s="84">
        <v>0</v>
      </c>
      <c r="G2520" s="53">
        <v>0</v>
      </c>
      <c r="H2520" s="78">
        <v>0</v>
      </c>
      <c r="I2520" s="84">
        <v>0.3</v>
      </c>
      <c r="J2520" s="53">
        <v>7.95</v>
      </c>
      <c r="K2520" s="78">
        <v>26500</v>
      </c>
      <c r="L2520" s="84">
        <v>0.45499999999999996</v>
      </c>
      <c r="M2520" s="53">
        <v>11.923356207827338</v>
      </c>
      <c r="N2520" s="78">
        <v>26205.178478741404</v>
      </c>
    </row>
    <row r="2521" spans="1:14" ht="19.5" customHeight="1" outlineLevel="1" x14ac:dyDescent="0.2">
      <c r="A2521" s="101">
        <v>9</v>
      </c>
      <c r="B2521" s="81" t="s">
        <v>16</v>
      </c>
      <c r="C2521" s="84">
        <v>7.07</v>
      </c>
      <c r="D2521" s="53">
        <v>192.41669052103597</v>
      </c>
      <c r="E2521" s="78">
        <v>27215.939253328994</v>
      </c>
      <c r="F2521" s="84">
        <v>1.87</v>
      </c>
      <c r="G2521" s="53">
        <v>52.705648604467775</v>
      </c>
      <c r="H2521" s="78">
        <v>28184.838825918592</v>
      </c>
      <c r="I2521" s="84">
        <v>1.49</v>
      </c>
      <c r="J2521" s="53">
        <v>45.20637113451037</v>
      </c>
      <c r="K2521" s="78">
        <v>30339.846399000249</v>
      </c>
      <c r="L2521" s="84">
        <v>3.476666666666667</v>
      </c>
      <c r="M2521" s="53">
        <v>96.77623675333804</v>
      </c>
      <c r="N2521" s="78">
        <v>27835.926199426089</v>
      </c>
    </row>
    <row r="2522" spans="1:14" ht="19.5" customHeight="1" outlineLevel="1" x14ac:dyDescent="0.2">
      <c r="A2522" s="101">
        <v>10</v>
      </c>
      <c r="B2522" s="81" t="s">
        <v>17</v>
      </c>
      <c r="C2522" s="84">
        <v>21.4</v>
      </c>
      <c r="D2522" s="53">
        <v>417.22872350597606</v>
      </c>
      <c r="E2522" s="78">
        <v>19496.669322709164</v>
      </c>
      <c r="F2522" s="84">
        <v>17.5</v>
      </c>
      <c r="G2522" s="53">
        <v>433.80379872204475</v>
      </c>
      <c r="H2522" s="78">
        <v>24788.788498402555</v>
      </c>
      <c r="I2522" s="84">
        <v>32.6</v>
      </c>
      <c r="J2522" s="53">
        <v>972.39817755752222</v>
      </c>
      <c r="K2522" s="78">
        <v>29828.164955752214</v>
      </c>
      <c r="L2522" s="84">
        <v>23.833333333333332</v>
      </c>
      <c r="M2522" s="53">
        <v>607.81023326184766</v>
      </c>
      <c r="N2522" s="78">
        <v>25502.527269727874</v>
      </c>
    </row>
    <row r="2523" spans="1:14" ht="19.5" customHeight="1" outlineLevel="1" x14ac:dyDescent="0.2">
      <c r="A2523" s="101">
        <v>11</v>
      </c>
      <c r="B2523" s="81" t="s">
        <v>18</v>
      </c>
      <c r="C2523" s="84">
        <v>113.51</v>
      </c>
      <c r="D2523" s="53">
        <v>3172.7078343460093</v>
      </c>
      <c r="E2523" s="78">
        <v>27950.91035455915</v>
      </c>
      <c r="F2523" s="84">
        <v>112.52</v>
      </c>
      <c r="G2523" s="53">
        <v>2927.0693434561367</v>
      </c>
      <c r="H2523" s="78">
        <v>26013.769493922297</v>
      </c>
      <c r="I2523" s="84">
        <v>137.24</v>
      </c>
      <c r="J2523" s="53">
        <v>4137.0564178166533</v>
      </c>
      <c r="K2523" s="78">
        <v>30144.683895487127</v>
      </c>
      <c r="L2523" s="84">
        <v>121.08999999999999</v>
      </c>
      <c r="M2523" s="53">
        <v>3412.2778652062661</v>
      </c>
      <c r="N2523" s="78">
        <v>28179.683418996337</v>
      </c>
    </row>
    <row r="2524" spans="1:14" ht="19.5" customHeight="1" outlineLevel="1" x14ac:dyDescent="0.2">
      <c r="A2524" s="101">
        <v>12</v>
      </c>
      <c r="B2524" s="81" t="s">
        <v>19</v>
      </c>
      <c r="C2524" s="84">
        <v>14.94</v>
      </c>
      <c r="D2524" s="53">
        <v>399.9271069565217</v>
      </c>
      <c r="E2524" s="78">
        <v>26768.882661079097</v>
      </c>
      <c r="F2524" s="84">
        <v>12.28</v>
      </c>
      <c r="G2524" s="53">
        <v>328.80319826086952</v>
      </c>
      <c r="H2524" s="78">
        <v>26775.504744370486</v>
      </c>
      <c r="I2524" s="84">
        <v>17.13</v>
      </c>
      <c r="J2524" s="53">
        <v>442.180116</v>
      </c>
      <c r="K2524" s="78">
        <v>25813.200000000001</v>
      </c>
      <c r="L2524" s="84">
        <v>14.783333333333331</v>
      </c>
      <c r="M2524" s="53">
        <v>390.30347373913037</v>
      </c>
      <c r="N2524" s="78">
        <v>26401.587851575903</v>
      </c>
    </row>
    <row r="2525" spans="1:14" ht="19.5" customHeight="1" outlineLevel="1" x14ac:dyDescent="0.2">
      <c r="A2525" s="101">
        <v>13</v>
      </c>
      <c r="B2525" s="81" t="s">
        <v>20</v>
      </c>
      <c r="C2525" s="84">
        <v>0</v>
      </c>
      <c r="D2525" s="53">
        <v>0</v>
      </c>
      <c r="E2525" s="78">
        <v>0</v>
      </c>
      <c r="F2525" s="84">
        <v>0</v>
      </c>
      <c r="G2525" s="53">
        <v>0</v>
      </c>
      <c r="H2525" s="78">
        <v>0</v>
      </c>
      <c r="I2525" s="84">
        <v>0</v>
      </c>
      <c r="J2525" s="53">
        <v>0</v>
      </c>
      <c r="K2525" s="78">
        <v>0</v>
      </c>
      <c r="L2525" s="84">
        <v>0</v>
      </c>
      <c r="M2525" s="53">
        <v>0</v>
      </c>
      <c r="N2525" s="78">
        <v>0</v>
      </c>
    </row>
    <row r="2526" spans="1:14" ht="19.5" customHeight="1" outlineLevel="1" x14ac:dyDescent="0.2">
      <c r="A2526" s="101">
        <v>14</v>
      </c>
      <c r="B2526" s="81" t="s">
        <v>21</v>
      </c>
      <c r="C2526" s="84">
        <v>6.5</v>
      </c>
      <c r="D2526" s="53">
        <v>179.05680587338131</v>
      </c>
      <c r="E2526" s="78">
        <v>27547.20090359712</v>
      </c>
      <c r="F2526" s="84">
        <v>5.15</v>
      </c>
      <c r="G2526" s="53">
        <v>145.15191995348076</v>
      </c>
      <c r="H2526" s="78">
        <v>28184.838825918596</v>
      </c>
      <c r="I2526" s="84">
        <v>3.75</v>
      </c>
      <c r="J2526" s="53">
        <v>113.77442399625093</v>
      </c>
      <c r="K2526" s="78">
        <v>30339.846399000249</v>
      </c>
      <c r="L2526" s="84">
        <v>5.1333333333333337</v>
      </c>
      <c r="M2526" s="53">
        <v>145.99438327437099</v>
      </c>
      <c r="N2526" s="78">
        <v>28440.46427422811</v>
      </c>
    </row>
    <row r="2527" spans="1:14" ht="19.5" customHeight="1" outlineLevel="1" x14ac:dyDescent="0.2">
      <c r="A2527" s="101">
        <v>15</v>
      </c>
      <c r="B2527" s="81" t="s">
        <v>22</v>
      </c>
      <c r="C2527" s="84">
        <v>40.049999999999997</v>
      </c>
      <c r="D2527" s="53">
        <v>962.98001999999997</v>
      </c>
      <c r="E2527" s="78">
        <v>24044.444943820228</v>
      </c>
      <c r="F2527" s="84">
        <v>22.799999999999997</v>
      </c>
      <c r="G2527" s="53">
        <v>557.08767772020735</v>
      </c>
      <c r="H2527" s="78">
        <v>24433.670075447695</v>
      </c>
      <c r="I2527" s="84">
        <v>29.82</v>
      </c>
      <c r="J2527" s="53">
        <v>720.87607500000001</v>
      </c>
      <c r="K2527" s="78">
        <v>24174.247987927567</v>
      </c>
      <c r="L2527" s="84">
        <v>30.889999999999997</v>
      </c>
      <c r="M2527" s="53">
        <v>746.98125757340256</v>
      </c>
      <c r="N2527" s="78">
        <v>24181.976612929837</v>
      </c>
    </row>
    <row r="2528" spans="1:14" ht="19.5" customHeight="1" outlineLevel="1" x14ac:dyDescent="0.2">
      <c r="A2528" s="101">
        <v>16</v>
      </c>
      <c r="B2528" s="81" t="s">
        <v>23</v>
      </c>
      <c r="C2528" s="84">
        <v>44.55</v>
      </c>
      <c r="D2528" s="53">
        <v>1333.96065</v>
      </c>
      <c r="E2528" s="78">
        <v>29943</v>
      </c>
      <c r="F2528" s="84">
        <v>55.79</v>
      </c>
      <c r="G2528" s="53">
        <v>1549.3998800000002</v>
      </c>
      <c r="H2528" s="78">
        <v>27772.000000000004</v>
      </c>
      <c r="I2528" s="84">
        <v>60.68</v>
      </c>
      <c r="J2528" s="53">
        <v>1689.7923679999999</v>
      </c>
      <c r="K2528" s="78">
        <v>27847.599999999995</v>
      </c>
      <c r="L2528" s="84">
        <v>53.673333333333339</v>
      </c>
      <c r="M2528" s="53">
        <v>1524.3842993333335</v>
      </c>
      <c r="N2528" s="78">
        <v>28401.148292137623</v>
      </c>
    </row>
    <row r="2529" spans="1:14" ht="19.5" customHeight="1" outlineLevel="1" x14ac:dyDescent="0.2">
      <c r="A2529" s="101">
        <v>17</v>
      </c>
      <c r="B2529" s="81" t="s">
        <v>24</v>
      </c>
      <c r="C2529" s="84">
        <v>144.19</v>
      </c>
      <c r="D2529" s="53">
        <v>4638.7692336626096</v>
      </c>
      <c r="E2529" s="78">
        <v>32171.22708691733</v>
      </c>
      <c r="F2529" s="84">
        <v>154.84</v>
      </c>
      <c r="G2529" s="53">
        <v>4980.2667238171116</v>
      </c>
      <c r="H2529" s="78">
        <v>32163.954558364196</v>
      </c>
      <c r="I2529" s="84">
        <v>254.84</v>
      </c>
      <c r="J2529" s="53">
        <v>8694.1496625521377</v>
      </c>
      <c r="K2529" s="78">
        <v>34116.110746162834</v>
      </c>
      <c r="L2529" s="84">
        <v>184.62333333333333</v>
      </c>
      <c r="M2529" s="53">
        <v>6104.3952066772863</v>
      </c>
      <c r="N2529" s="78">
        <v>33064.050445107801</v>
      </c>
    </row>
    <row r="2530" spans="1:14" ht="19.5" customHeight="1" outlineLevel="1" x14ac:dyDescent="0.2">
      <c r="A2530" s="101">
        <v>18</v>
      </c>
      <c r="B2530" s="81" t="s">
        <v>25</v>
      </c>
      <c r="C2530" s="84">
        <v>372.08</v>
      </c>
      <c r="D2530" s="53">
        <v>9743.306501785828</v>
      </c>
      <c r="E2530" s="78">
        <v>26186.052735395151</v>
      </c>
      <c r="F2530" s="84">
        <v>371.88</v>
      </c>
      <c r="G2530" s="53">
        <v>10219.399465725732</v>
      </c>
      <c r="H2530" s="78">
        <v>27480.368575147175</v>
      </c>
      <c r="I2530" s="84">
        <v>462.80999999999995</v>
      </c>
      <c r="J2530" s="53">
        <v>13437.051550854409</v>
      </c>
      <c r="K2530" s="78">
        <v>29033.624059234699</v>
      </c>
      <c r="L2530" s="84">
        <v>402.25666666666666</v>
      </c>
      <c r="M2530" s="53">
        <v>11133.252506121988</v>
      </c>
      <c r="N2530" s="78">
        <v>27676.986930704246</v>
      </c>
    </row>
    <row r="2531" spans="1:14" ht="19.5" customHeight="1" outlineLevel="1" x14ac:dyDescent="0.2">
      <c r="A2531" s="101">
        <v>19</v>
      </c>
      <c r="B2531" s="81" t="s">
        <v>26</v>
      </c>
      <c r="C2531" s="84">
        <v>7.01</v>
      </c>
      <c r="D2531" s="53">
        <v>194.12645734025898</v>
      </c>
      <c r="E2531" s="78">
        <v>27692.78992015107</v>
      </c>
      <c r="F2531" s="84">
        <v>4.07</v>
      </c>
      <c r="G2531" s="53">
        <v>114.68684237371309</v>
      </c>
      <c r="H2531" s="78">
        <v>28178.585349806654</v>
      </c>
      <c r="I2531" s="84">
        <v>7.3</v>
      </c>
      <c r="J2531" s="53">
        <v>219.25673369036139</v>
      </c>
      <c r="K2531" s="78">
        <v>30035.168998679641</v>
      </c>
      <c r="L2531" s="84">
        <v>6.126666666666666</v>
      </c>
      <c r="M2531" s="53">
        <v>176.02334446811116</v>
      </c>
      <c r="N2531" s="78">
        <v>28730.687345175927</v>
      </c>
    </row>
    <row r="2532" spans="1:14" ht="19.5" customHeight="1" outlineLevel="1" x14ac:dyDescent="0.2">
      <c r="A2532" s="101">
        <v>20</v>
      </c>
      <c r="B2532" s="81" t="s">
        <v>27</v>
      </c>
      <c r="C2532" s="84">
        <v>0.25</v>
      </c>
      <c r="D2532" s="53">
        <v>6.8868002258992798</v>
      </c>
      <c r="E2532" s="78">
        <v>27547.20090359712</v>
      </c>
      <c r="F2532" s="84">
        <v>0</v>
      </c>
      <c r="G2532" s="53">
        <v>0</v>
      </c>
      <c r="H2532" s="78">
        <v>0</v>
      </c>
      <c r="I2532" s="84">
        <v>0</v>
      </c>
      <c r="J2532" s="53">
        <v>0</v>
      </c>
      <c r="K2532" s="78">
        <v>0</v>
      </c>
      <c r="L2532" s="84">
        <v>0.25</v>
      </c>
      <c r="M2532" s="53">
        <v>6.8868002258992798</v>
      </c>
      <c r="N2532" s="78">
        <v>27547.20090359712</v>
      </c>
    </row>
    <row r="2533" spans="1:14" ht="19.5" customHeight="1" outlineLevel="1" x14ac:dyDescent="0.2">
      <c r="A2533" s="101">
        <v>21</v>
      </c>
      <c r="B2533" s="81" t="s">
        <v>28</v>
      </c>
      <c r="C2533" s="84">
        <v>2.44</v>
      </c>
      <c r="D2533" s="53">
        <v>67.227966141525187</v>
      </c>
      <c r="E2533" s="78">
        <v>27552.445139969343</v>
      </c>
      <c r="F2533" s="84">
        <v>2.92</v>
      </c>
      <c r="G2533" s="53">
        <v>82.29972937168229</v>
      </c>
      <c r="H2533" s="78">
        <v>28184.838825918592</v>
      </c>
      <c r="I2533" s="84">
        <v>1.6900000000000002</v>
      </c>
      <c r="J2533" s="53">
        <v>51.092561166380406</v>
      </c>
      <c r="K2533" s="78">
        <v>30232.284713834557</v>
      </c>
      <c r="L2533" s="84">
        <v>2.35</v>
      </c>
      <c r="M2533" s="53">
        <v>66.873418893195961</v>
      </c>
      <c r="N2533" s="78">
        <v>28456.773997104665</v>
      </c>
    </row>
    <row r="2534" spans="1:14" ht="19.5" customHeight="1" outlineLevel="1" x14ac:dyDescent="0.2">
      <c r="A2534" s="101">
        <v>22</v>
      </c>
      <c r="B2534" s="81" t="s">
        <v>29</v>
      </c>
      <c r="C2534" s="84">
        <v>0</v>
      </c>
      <c r="D2534" s="53">
        <v>0</v>
      </c>
      <c r="E2534" s="78">
        <v>0</v>
      </c>
      <c r="F2534" s="84">
        <v>0.01</v>
      </c>
      <c r="G2534" s="53">
        <v>0.2818483882591859</v>
      </c>
      <c r="H2534" s="78">
        <v>28184.838825918592</v>
      </c>
      <c r="I2534" s="84">
        <v>0.06</v>
      </c>
      <c r="J2534" s="53">
        <v>1.8203907839400149</v>
      </c>
      <c r="K2534" s="78">
        <v>30339.846399000249</v>
      </c>
      <c r="L2534" s="84">
        <v>3.4999999999999996E-2</v>
      </c>
      <c r="M2534" s="53">
        <v>1.0511195860996003</v>
      </c>
      <c r="N2534" s="78">
        <v>30031.988174274298</v>
      </c>
    </row>
    <row r="2535" spans="1:14" ht="19.5" customHeight="1" outlineLevel="1" x14ac:dyDescent="0.2">
      <c r="A2535" s="101">
        <v>23</v>
      </c>
      <c r="B2535" s="81" t="s">
        <v>30</v>
      </c>
      <c r="C2535" s="84">
        <v>1.88</v>
      </c>
      <c r="D2535" s="53">
        <v>51.788737698762581</v>
      </c>
      <c r="E2535" s="78">
        <v>27547.20090359712</v>
      </c>
      <c r="F2535" s="84">
        <v>2.37</v>
      </c>
      <c r="G2535" s="53">
        <v>66.79806801742707</v>
      </c>
      <c r="H2535" s="78">
        <v>28184.838825918592</v>
      </c>
      <c r="I2535" s="84">
        <v>2.2799999999999998</v>
      </c>
      <c r="J2535" s="53">
        <v>69.174849789720568</v>
      </c>
      <c r="K2535" s="78">
        <v>30339.846399000253</v>
      </c>
      <c r="L2535" s="84">
        <v>2.1766666666666663</v>
      </c>
      <c r="M2535" s="53">
        <v>62.587218501970064</v>
      </c>
      <c r="N2535" s="78">
        <v>28753.699158638625</v>
      </c>
    </row>
    <row r="2536" spans="1:14" ht="19.5" customHeight="1" outlineLevel="1" x14ac:dyDescent="0.2">
      <c r="A2536" s="101">
        <v>24</v>
      </c>
      <c r="B2536" s="81" t="s">
        <v>31</v>
      </c>
      <c r="C2536" s="84">
        <v>7.13</v>
      </c>
      <c r="D2536" s="53">
        <v>196.41154244264749</v>
      </c>
      <c r="E2536" s="78">
        <v>27547.20090359712</v>
      </c>
      <c r="F2536" s="84">
        <v>6.89</v>
      </c>
      <c r="G2536" s="53">
        <v>194.19353951057909</v>
      </c>
      <c r="H2536" s="78">
        <v>28184.838825918592</v>
      </c>
      <c r="I2536" s="84">
        <v>3.92</v>
      </c>
      <c r="J2536" s="53">
        <v>118.93219788408098</v>
      </c>
      <c r="K2536" s="78">
        <v>30339.846399000249</v>
      </c>
      <c r="L2536" s="84">
        <v>5.9799999999999995</v>
      </c>
      <c r="M2536" s="53">
        <v>169.84575994576917</v>
      </c>
      <c r="N2536" s="78">
        <v>28402.300994275785</v>
      </c>
    </row>
    <row r="2537" spans="1:14" ht="19.5" customHeight="1" outlineLevel="1" x14ac:dyDescent="0.2">
      <c r="A2537" s="101">
        <v>25</v>
      </c>
      <c r="B2537" s="81" t="s">
        <v>32</v>
      </c>
      <c r="C2537" s="84">
        <v>2.4</v>
      </c>
      <c r="D2537" s="53">
        <v>66.212829798158268</v>
      </c>
      <c r="E2537" s="78">
        <v>27588.679082565948</v>
      </c>
      <c r="F2537" s="84">
        <v>0.79</v>
      </c>
      <c r="G2537" s="53">
        <v>22.325674248181738</v>
      </c>
      <c r="H2537" s="78">
        <v>28260.347149597135</v>
      </c>
      <c r="I2537" s="84">
        <v>0.94</v>
      </c>
      <c r="J2537" s="53">
        <v>27.946884799250189</v>
      </c>
      <c r="K2537" s="78">
        <v>29730.728509840625</v>
      </c>
      <c r="L2537" s="84">
        <v>1.3766666666666667</v>
      </c>
      <c r="M2537" s="53">
        <v>38.828462948530067</v>
      </c>
      <c r="N2537" s="78">
        <v>28204.694635736127</v>
      </c>
    </row>
    <row r="2538" spans="1:14" ht="19.5" customHeight="1" outlineLevel="1" x14ac:dyDescent="0.2">
      <c r="A2538" s="101">
        <v>26</v>
      </c>
      <c r="B2538" s="81" t="s">
        <v>33</v>
      </c>
      <c r="C2538" s="84">
        <v>0</v>
      </c>
      <c r="D2538" s="53">
        <v>0</v>
      </c>
      <c r="E2538" s="78">
        <v>0</v>
      </c>
      <c r="F2538" s="84">
        <v>0.02</v>
      </c>
      <c r="G2538" s="53">
        <v>0.5</v>
      </c>
      <c r="H2538" s="78">
        <v>25000</v>
      </c>
      <c r="I2538" s="84">
        <v>0</v>
      </c>
      <c r="J2538" s="53">
        <v>0</v>
      </c>
      <c r="K2538" s="78">
        <v>0</v>
      </c>
      <c r="L2538" s="84">
        <v>0.02</v>
      </c>
      <c r="M2538" s="53">
        <v>0.5</v>
      </c>
      <c r="N2538" s="78">
        <v>25000</v>
      </c>
    </row>
    <row r="2539" spans="1:14" ht="19.5" customHeight="1" outlineLevel="1" x14ac:dyDescent="0.2">
      <c r="A2539" s="101">
        <v>27</v>
      </c>
      <c r="B2539" s="81" t="s">
        <v>34</v>
      </c>
      <c r="C2539" s="84">
        <v>0.21</v>
      </c>
      <c r="D2539" s="53">
        <v>5.9469440180719424</v>
      </c>
      <c r="E2539" s="78">
        <v>28318.781038437821</v>
      </c>
      <c r="F2539" s="84">
        <v>0.16</v>
      </c>
      <c r="G2539" s="53">
        <v>4.5759999999999996</v>
      </c>
      <c r="H2539" s="78">
        <v>28600</v>
      </c>
      <c r="I2539" s="84">
        <v>0</v>
      </c>
      <c r="J2539" s="53">
        <v>0</v>
      </c>
      <c r="K2539" s="78">
        <v>0</v>
      </c>
      <c r="L2539" s="84">
        <v>0.185</v>
      </c>
      <c r="M2539" s="53">
        <v>5.2614720090359715</v>
      </c>
      <c r="N2539" s="78">
        <v>28440.38923803228</v>
      </c>
    </row>
    <row r="2540" spans="1:14" ht="19.5" customHeight="1" outlineLevel="1" x14ac:dyDescent="0.2">
      <c r="A2540" s="101">
        <v>28</v>
      </c>
      <c r="B2540" s="81" t="s">
        <v>35</v>
      </c>
      <c r="C2540" s="84">
        <v>0.55000000000000004</v>
      </c>
      <c r="D2540" s="53">
        <v>15.516900090359712</v>
      </c>
      <c r="E2540" s="78">
        <v>28212.545618835837</v>
      </c>
      <c r="F2540" s="84">
        <v>0.89</v>
      </c>
      <c r="G2540" s="53">
        <v>25.283449300000004</v>
      </c>
      <c r="H2540" s="78">
        <v>28408.370000000003</v>
      </c>
      <c r="I2540" s="84">
        <v>0.71</v>
      </c>
      <c r="J2540" s="53">
        <v>20.169679999999996</v>
      </c>
      <c r="K2540" s="78">
        <v>28407.999999999996</v>
      </c>
      <c r="L2540" s="84">
        <v>0.71666666666666667</v>
      </c>
      <c r="M2540" s="53">
        <v>20.323343130119905</v>
      </c>
      <c r="N2540" s="78">
        <v>28358.153204818471</v>
      </c>
    </row>
    <row r="2541" spans="1:14" ht="19.5" customHeight="1" outlineLevel="1" x14ac:dyDescent="0.2">
      <c r="A2541" s="101">
        <v>29</v>
      </c>
      <c r="B2541" s="81" t="s">
        <v>36</v>
      </c>
      <c r="C2541" s="84">
        <v>7.5600000000000005</v>
      </c>
      <c r="D2541" s="53">
        <v>204.95619661738129</v>
      </c>
      <c r="E2541" s="78">
        <v>27110.608018172126</v>
      </c>
      <c r="F2541" s="84">
        <v>2.8600000000000003</v>
      </c>
      <c r="G2541" s="53">
        <v>79.850051900018912</v>
      </c>
      <c r="H2541" s="78">
        <v>27919.598566440174</v>
      </c>
      <c r="I2541" s="84">
        <v>3.5300000000000002</v>
      </c>
      <c r="J2541" s="53">
        <v>102.49554518169059</v>
      </c>
      <c r="K2541" s="78">
        <v>29035.565207277785</v>
      </c>
      <c r="L2541" s="84">
        <v>4.6500000000000012</v>
      </c>
      <c r="M2541" s="53">
        <v>129.10059789969694</v>
      </c>
      <c r="N2541" s="78">
        <v>27763.569440795032</v>
      </c>
    </row>
    <row r="2542" spans="1:14" ht="19.5" customHeight="1" outlineLevel="1" x14ac:dyDescent="0.2">
      <c r="A2542" s="101">
        <v>30</v>
      </c>
      <c r="B2542" s="81" t="s">
        <v>37</v>
      </c>
      <c r="C2542" s="84">
        <v>1.42</v>
      </c>
      <c r="D2542" s="53">
        <v>39.117025283107914</v>
      </c>
      <c r="E2542" s="78">
        <v>27547.200903597124</v>
      </c>
      <c r="F2542" s="84">
        <v>6.64</v>
      </c>
      <c r="G2542" s="53">
        <v>187.14732980409946</v>
      </c>
      <c r="H2542" s="78">
        <v>28184.838825918596</v>
      </c>
      <c r="I2542" s="84">
        <v>7.48</v>
      </c>
      <c r="J2542" s="53">
        <v>226.94205106452188</v>
      </c>
      <c r="K2542" s="78">
        <v>30339.846399000249</v>
      </c>
      <c r="L2542" s="84">
        <v>5.18</v>
      </c>
      <c r="M2542" s="53">
        <v>151.06880205057641</v>
      </c>
      <c r="N2542" s="78">
        <v>29163.861399725174</v>
      </c>
    </row>
    <row r="2543" spans="1:14" ht="19.5" customHeight="1" outlineLevel="1" x14ac:dyDescent="0.2">
      <c r="A2543" s="101">
        <v>31</v>
      </c>
      <c r="B2543" s="81" t="s">
        <v>38</v>
      </c>
      <c r="C2543" s="84">
        <v>3.9099999999999997</v>
      </c>
      <c r="D2543" s="53">
        <v>98.941124042129488</v>
      </c>
      <c r="E2543" s="78">
        <v>25304.635304892454</v>
      </c>
      <c r="F2543" s="84">
        <v>1.74</v>
      </c>
      <c r="G2543" s="53">
        <v>45.157629119438944</v>
      </c>
      <c r="H2543" s="78">
        <v>25952.660413470658</v>
      </c>
      <c r="I2543" s="84">
        <v>1.87</v>
      </c>
      <c r="J2543" s="53">
        <v>49.788478655210199</v>
      </c>
      <c r="K2543" s="78">
        <v>26624.854895834331</v>
      </c>
      <c r="L2543" s="84">
        <v>2.5066666666666664</v>
      </c>
      <c r="M2543" s="53">
        <v>64.629077272259551</v>
      </c>
      <c r="N2543" s="78">
        <v>25782.876571380144</v>
      </c>
    </row>
    <row r="2544" spans="1:14" ht="19.5" customHeight="1" outlineLevel="1" x14ac:dyDescent="0.2">
      <c r="A2544" s="101">
        <v>32</v>
      </c>
      <c r="B2544" s="81" t="s">
        <v>39</v>
      </c>
      <c r="C2544" s="84">
        <v>3.35</v>
      </c>
      <c r="D2544" s="53">
        <v>92.302130701755402</v>
      </c>
      <c r="E2544" s="78">
        <v>27552.874836344898</v>
      </c>
      <c r="F2544" s="84">
        <v>2.9</v>
      </c>
      <c r="G2544" s="53">
        <v>81.736032595163906</v>
      </c>
      <c r="H2544" s="78">
        <v>28184.838825918592</v>
      </c>
      <c r="I2544" s="84">
        <v>2.7</v>
      </c>
      <c r="J2544" s="53">
        <v>81.917585277300674</v>
      </c>
      <c r="K2544" s="78">
        <v>30339.846399000249</v>
      </c>
      <c r="L2544" s="84">
        <v>2.9833333333333329</v>
      </c>
      <c r="M2544" s="53">
        <v>85.318582858073327</v>
      </c>
      <c r="N2544" s="78">
        <v>28598.407661924022</v>
      </c>
    </row>
    <row r="2545" spans="1:14" ht="19.5" customHeight="1" outlineLevel="1" thickBot="1" x14ac:dyDescent="0.25">
      <c r="A2545" s="102">
        <v>33</v>
      </c>
      <c r="B2545" s="91" t="s">
        <v>40</v>
      </c>
      <c r="C2545" s="92">
        <v>1.63</v>
      </c>
      <c r="D2545" s="93">
        <v>37.967256659625903</v>
      </c>
      <c r="E2545" s="94">
        <v>23292.795496703013</v>
      </c>
      <c r="F2545" s="92">
        <v>1.42</v>
      </c>
      <c r="G2545" s="93">
        <v>40.251235566402194</v>
      </c>
      <c r="H2545" s="94">
        <v>28345.940539719857</v>
      </c>
      <c r="I2545" s="92">
        <v>0.21</v>
      </c>
      <c r="J2545" s="93">
        <v>5.8077815678800295</v>
      </c>
      <c r="K2545" s="94">
        <v>27656.10270419062</v>
      </c>
      <c r="L2545" s="92">
        <v>1.0866666666666667</v>
      </c>
      <c r="M2545" s="93">
        <v>28.008757931302711</v>
      </c>
      <c r="N2545" s="94">
        <v>25774.930611628261</v>
      </c>
    </row>
    <row r="2546" spans="1:14" ht="19.5" customHeight="1" thickBot="1" x14ac:dyDescent="0.25">
      <c r="A2546" s="151" t="s">
        <v>41</v>
      </c>
      <c r="B2546" s="152"/>
      <c r="C2546" s="96">
        <v>818.50999999999988</v>
      </c>
      <c r="D2546" s="97">
        <v>22516.142074108404</v>
      </c>
      <c r="E2546" s="98">
        <v>27508.695158407845</v>
      </c>
      <c r="F2546" s="96">
        <v>799.87999999999988</v>
      </c>
      <c r="G2546" s="97">
        <v>22464.85127203527</v>
      </c>
      <c r="H2546" s="98">
        <v>28085.27688157633</v>
      </c>
      <c r="I2546" s="96">
        <v>1044.3</v>
      </c>
      <c r="J2546" s="97">
        <v>31567.770634664965</v>
      </c>
      <c r="K2546" s="98">
        <v>30228.641802800885</v>
      </c>
      <c r="L2546" s="96">
        <v>887.56333333333316</v>
      </c>
      <c r="M2546" s="97">
        <v>25516.254660269547</v>
      </c>
      <c r="N2546" s="98">
        <v>28748.657928939778</v>
      </c>
    </row>
    <row r="2547" spans="1:14" ht="34.5" customHeight="1" x14ac:dyDescent="0.2">
      <c r="A2547" s="153" t="s">
        <v>247</v>
      </c>
      <c r="B2547" s="154"/>
      <c r="C2547" s="154"/>
      <c r="D2547" s="154"/>
      <c r="E2547" s="154"/>
      <c r="F2547" s="154"/>
      <c r="G2547" s="154"/>
      <c r="H2547" s="154"/>
      <c r="I2547" s="154"/>
      <c r="J2547" s="154"/>
      <c r="K2547" s="154"/>
      <c r="L2547" s="154"/>
      <c r="M2547" s="154"/>
      <c r="N2547" s="154"/>
    </row>
    <row r="2548" spans="1:14" ht="19.5" customHeight="1" thickBot="1" x14ac:dyDescent="0.25">
      <c r="A2548" s="50"/>
      <c r="B2548" s="51" t="s">
        <v>109</v>
      </c>
      <c r="C2548" s="52"/>
      <c r="D2548" s="52"/>
      <c r="E2548" s="52"/>
      <c r="F2548" s="52"/>
      <c r="G2548" s="52"/>
      <c r="H2548" s="52"/>
      <c r="I2548" s="52"/>
      <c r="J2548" s="52"/>
      <c r="K2548" s="155" t="s">
        <v>1</v>
      </c>
      <c r="L2548" s="154"/>
      <c r="M2548" s="154"/>
      <c r="N2548" s="154"/>
    </row>
    <row r="2549" spans="1:14" ht="19.5" customHeight="1" x14ac:dyDescent="0.2">
      <c r="A2549" s="156" t="s">
        <v>2</v>
      </c>
      <c r="B2549" s="158" t="s">
        <v>3</v>
      </c>
      <c r="C2549" s="148" t="s">
        <v>243</v>
      </c>
      <c r="D2549" s="149"/>
      <c r="E2549" s="150"/>
      <c r="F2549" s="148" t="s">
        <v>244</v>
      </c>
      <c r="G2549" s="149"/>
      <c r="H2549" s="150"/>
      <c r="I2549" s="148" t="s">
        <v>246</v>
      </c>
      <c r="J2549" s="149"/>
      <c r="K2549" s="150"/>
      <c r="L2549" s="148" t="s">
        <v>4</v>
      </c>
      <c r="M2549" s="149"/>
      <c r="N2549" s="150"/>
    </row>
    <row r="2550" spans="1:14" ht="19.5" customHeight="1" thickBot="1" x14ac:dyDescent="0.25">
      <c r="A2550" s="157"/>
      <c r="B2550" s="159"/>
      <c r="C2550" s="85" t="s">
        <v>5</v>
      </c>
      <c r="D2550" s="79" t="s">
        <v>6</v>
      </c>
      <c r="E2550" s="80" t="s">
        <v>7</v>
      </c>
      <c r="F2550" s="85" t="s">
        <v>5</v>
      </c>
      <c r="G2550" s="79" t="s">
        <v>6</v>
      </c>
      <c r="H2550" s="80" t="s">
        <v>7</v>
      </c>
      <c r="I2550" s="85" t="s">
        <v>5</v>
      </c>
      <c r="J2550" s="79" t="s">
        <v>6</v>
      </c>
      <c r="K2550" s="80" t="s">
        <v>7</v>
      </c>
      <c r="L2550" s="85" t="s">
        <v>5</v>
      </c>
      <c r="M2550" s="79" t="s">
        <v>6</v>
      </c>
      <c r="N2550" s="80" t="s">
        <v>7</v>
      </c>
    </row>
    <row r="2551" spans="1:14" ht="19.5" customHeight="1" outlineLevel="1" x14ac:dyDescent="0.2">
      <c r="A2551" s="100">
        <v>1</v>
      </c>
      <c r="B2551" s="86" t="s">
        <v>8</v>
      </c>
      <c r="C2551" s="87">
        <v>560.56999999999994</v>
      </c>
      <c r="D2551" s="88">
        <v>1196.7255411314668</v>
      </c>
      <c r="E2551" s="89">
        <v>2134.8369358536256</v>
      </c>
      <c r="F2551" s="87">
        <v>619.34999999999991</v>
      </c>
      <c r="G2551" s="88">
        <v>1393.2991033347876</v>
      </c>
      <c r="H2551" s="89">
        <v>2249.6150857104831</v>
      </c>
      <c r="I2551" s="87">
        <v>640.16</v>
      </c>
      <c r="J2551" s="88">
        <v>1652.3397869483886</v>
      </c>
      <c r="K2551" s="89">
        <v>2581.1356331985576</v>
      </c>
      <c r="L2551" s="87">
        <v>606.69333333333327</v>
      </c>
      <c r="M2551" s="88">
        <v>1414.1214771382145</v>
      </c>
      <c r="N2551" s="89">
        <v>2330.8670121174036</v>
      </c>
    </row>
    <row r="2552" spans="1:14" ht="19.5" customHeight="1" outlineLevel="1" x14ac:dyDescent="0.2">
      <c r="A2552" s="101">
        <v>2</v>
      </c>
      <c r="B2552" s="81" t="s">
        <v>9</v>
      </c>
      <c r="C2552" s="84">
        <v>3824.81</v>
      </c>
      <c r="D2552" s="53">
        <v>9663.2709852512617</v>
      </c>
      <c r="E2552" s="78">
        <v>2526.4708535198511</v>
      </c>
      <c r="F2552" s="84">
        <v>3958.6899999999996</v>
      </c>
      <c r="G2552" s="53">
        <v>10227.386016513963</v>
      </c>
      <c r="H2552" s="78">
        <v>2583.5278883958995</v>
      </c>
      <c r="I2552" s="84">
        <v>3772.95</v>
      </c>
      <c r="J2552" s="53">
        <v>9952.9709001750798</v>
      </c>
      <c r="K2552" s="78">
        <v>2637.981128871329</v>
      </c>
      <c r="L2552" s="84">
        <v>3852.15</v>
      </c>
      <c r="M2552" s="53">
        <v>9947.8759673134355</v>
      </c>
      <c r="N2552" s="78">
        <v>2582.421755983914</v>
      </c>
    </row>
    <row r="2553" spans="1:14" ht="19.5" customHeight="1" outlineLevel="1" x14ac:dyDescent="0.2">
      <c r="A2553" s="101">
        <v>3</v>
      </c>
      <c r="B2553" s="81" t="s">
        <v>10</v>
      </c>
      <c r="C2553" s="84">
        <v>552.49</v>
      </c>
      <c r="D2553" s="53">
        <v>1522.4126015588554</v>
      </c>
      <c r="E2553" s="78">
        <v>2755.5477955417387</v>
      </c>
      <c r="F2553" s="84">
        <v>516.61</v>
      </c>
      <c r="G2553" s="53">
        <v>1381.2385698950136</v>
      </c>
      <c r="H2553" s="78">
        <v>2673.6582139234888</v>
      </c>
      <c r="I2553" s="84">
        <v>555.18000000000006</v>
      </c>
      <c r="J2553" s="53">
        <v>1415.406510852328</v>
      </c>
      <c r="K2553" s="78">
        <v>2549.4551512164126</v>
      </c>
      <c r="L2553" s="84">
        <v>541.42666666666662</v>
      </c>
      <c r="M2553" s="53">
        <v>1439.6858941020657</v>
      </c>
      <c r="N2553" s="78">
        <v>2659.0598186927118</v>
      </c>
    </row>
    <row r="2554" spans="1:14" ht="19.5" customHeight="1" outlineLevel="1" x14ac:dyDescent="0.2">
      <c r="A2554" s="101">
        <v>4</v>
      </c>
      <c r="B2554" s="81" t="s">
        <v>11</v>
      </c>
      <c r="C2554" s="84">
        <v>878.16</v>
      </c>
      <c r="D2554" s="53">
        <v>2675.0039152090662</v>
      </c>
      <c r="E2554" s="78">
        <v>3046.146391556284</v>
      </c>
      <c r="F2554" s="84">
        <v>898.53</v>
      </c>
      <c r="G2554" s="53">
        <v>2785.7169704127245</v>
      </c>
      <c r="H2554" s="78">
        <v>3100.304909588689</v>
      </c>
      <c r="I2554" s="84">
        <v>923.21</v>
      </c>
      <c r="J2554" s="53">
        <v>2913.097279410531</v>
      </c>
      <c r="K2554" s="78">
        <v>3155.4004824585204</v>
      </c>
      <c r="L2554" s="84">
        <v>899.9666666666667</v>
      </c>
      <c r="M2554" s="53">
        <v>2791.2727216774406</v>
      </c>
      <c r="N2554" s="78">
        <v>3101.5290066418465</v>
      </c>
    </row>
    <row r="2555" spans="1:14" ht="19.5" customHeight="1" outlineLevel="1" x14ac:dyDescent="0.2">
      <c r="A2555" s="101">
        <v>5</v>
      </c>
      <c r="B2555" s="81" t="s">
        <v>12</v>
      </c>
      <c r="C2555" s="84">
        <v>1116.3399999999999</v>
      </c>
      <c r="D2555" s="53">
        <v>3503.009380059565</v>
      </c>
      <c r="E2555" s="78">
        <v>3137.9412903412626</v>
      </c>
      <c r="F2555" s="84">
        <v>1121.0999999999999</v>
      </c>
      <c r="G2555" s="53">
        <v>3429.1741663718244</v>
      </c>
      <c r="H2555" s="78">
        <v>3058.7585107232403</v>
      </c>
      <c r="I2555" s="84">
        <v>1089.25</v>
      </c>
      <c r="J2555" s="53">
        <v>3376.9086254015006</v>
      </c>
      <c r="K2555" s="78">
        <v>3100.2144828106502</v>
      </c>
      <c r="L2555" s="84">
        <v>1108.8966666666665</v>
      </c>
      <c r="M2555" s="53">
        <v>3436.3640572776299</v>
      </c>
      <c r="N2555" s="78">
        <v>3098.9037667570142</v>
      </c>
    </row>
    <row r="2556" spans="1:14" ht="19.5" customHeight="1" outlineLevel="1" x14ac:dyDescent="0.2">
      <c r="A2556" s="101">
        <v>6</v>
      </c>
      <c r="B2556" s="81" t="s">
        <v>13</v>
      </c>
      <c r="C2556" s="84">
        <v>1254.3799999999999</v>
      </c>
      <c r="D2556" s="53">
        <v>3597.9781905437799</v>
      </c>
      <c r="E2556" s="78">
        <v>2868.3319173964669</v>
      </c>
      <c r="F2556" s="84">
        <v>1269.8900000000001</v>
      </c>
      <c r="G2556" s="53">
        <v>3800.1497363212184</v>
      </c>
      <c r="H2556" s="78">
        <v>2992.5030800472623</v>
      </c>
      <c r="I2556" s="84">
        <v>1329.93</v>
      </c>
      <c r="J2556" s="53">
        <v>3836.5032563590285</v>
      </c>
      <c r="K2556" s="78">
        <v>2884.7407430158191</v>
      </c>
      <c r="L2556" s="84">
        <v>1284.7333333333333</v>
      </c>
      <c r="M2556" s="53">
        <v>3744.8770610746756</v>
      </c>
      <c r="N2556" s="78">
        <v>2914.9061240267829</v>
      </c>
    </row>
    <row r="2557" spans="1:14" ht="19.5" customHeight="1" outlineLevel="1" x14ac:dyDescent="0.2">
      <c r="A2557" s="101">
        <v>7</v>
      </c>
      <c r="B2557" s="81" t="s">
        <v>14</v>
      </c>
      <c r="C2557" s="84">
        <v>538.33999999999992</v>
      </c>
      <c r="D2557" s="53">
        <v>1772.0415197064754</v>
      </c>
      <c r="E2557" s="78">
        <v>3291.6772294581037</v>
      </c>
      <c r="F2557" s="84">
        <v>520.41999999999996</v>
      </c>
      <c r="G2557" s="53">
        <v>1679.8155288246928</v>
      </c>
      <c r="H2557" s="78">
        <v>3227.8074032986683</v>
      </c>
      <c r="I2557" s="84">
        <v>491.42999999999995</v>
      </c>
      <c r="J2557" s="53">
        <v>1555.8233613809082</v>
      </c>
      <c r="K2557" s="78">
        <v>3165.9104274889778</v>
      </c>
      <c r="L2557" s="84">
        <v>516.7299999999999</v>
      </c>
      <c r="M2557" s="53">
        <v>1669.2268033040255</v>
      </c>
      <c r="N2557" s="78">
        <v>3230.3655744857579</v>
      </c>
    </row>
    <row r="2558" spans="1:14" ht="19.5" customHeight="1" outlineLevel="1" x14ac:dyDescent="0.2">
      <c r="A2558" s="101">
        <v>8</v>
      </c>
      <c r="B2558" s="81" t="s">
        <v>15</v>
      </c>
      <c r="C2558" s="84">
        <v>3372.66</v>
      </c>
      <c r="D2558" s="53">
        <v>8841.4337693455236</v>
      </c>
      <c r="E2558" s="78">
        <v>2621.5016542863864</v>
      </c>
      <c r="F2558" s="84">
        <v>3274.82</v>
      </c>
      <c r="G2558" s="53">
        <v>8361.0746149846545</v>
      </c>
      <c r="H2558" s="78">
        <v>2553.1402077013863</v>
      </c>
      <c r="I2558" s="84">
        <v>3475.74</v>
      </c>
      <c r="J2558" s="53">
        <v>8682.7174682430468</v>
      </c>
      <c r="K2558" s="78">
        <v>2498.0917641259266</v>
      </c>
      <c r="L2558" s="84">
        <v>3374.4066666666663</v>
      </c>
      <c r="M2558" s="53">
        <v>8628.4086175244083</v>
      </c>
      <c r="N2558" s="78">
        <v>2557.0150458622084</v>
      </c>
    </row>
    <row r="2559" spans="1:14" ht="19.5" customHeight="1" outlineLevel="1" x14ac:dyDescent="0.2">
      <c r="A2559" s="101">
        <v>9</v>
      </c>
      <c r="B2559" s="81" t="s">
        <v>16</v>
      </c>
      <c r="C2559" s="84">
        <v>516.26</v>
      </c>
      <c r="D2559" s="53">
        <v>1492.585785551935</v>
      </c>
      <c r="E2559" s="78">
        <v>2891.151329856923</v>
      </c>
      <c r="F2559" s="84">
        <v>413.20000000000005</v>
      </c>
      <c r="G2559" s="53">
        <v>1060.2886379806348</v>
      </c>
      <c r="H2559" s="78">
        <v>2566.0422022764633</v>
      </c>
      <c r="I2559" s="84">
        <v>575.2700000000001</v>
      </c>
      <c r="J2559" s="53">
        <v>1547.0886974870339</v>
      </c>
      <c r="K2559" s="78">
        <v>2689.3262250543808</v>
      </c>
      <c r="L2559" s="84">
        <v>501.57666666666665</v>
      </c>
      <c r="M2559" s="53">
        <v>1366.6543736732012</v>
      </c>
      <c r="N2559" s="78">
        <v>2724.7168070149487</v>
      </c>
    </row>
    <row r="2560" spans="1:14" ht="19.5" customHeight="1" outlineLevel="1" x14ac:dyDescent="0.2">
      <c r="A2560" s="101">
        <v>10</v>
      </c>
      <c r="B2560" s="81" t="s">
        <v>17</v>
      </c>
      <c r="C2560" s="84">
        <v>469.92</v>
      </c>
      <c r="D2560" s="53">
        <v>1633.1943938491934</v>
      </c>
      <c r="E2560" s="78">
        <v>3475.473258957255</v>
      </c>
      <c r="F2560" s="84">
        <v>338.87</v>
      </c>
      <c r="G2560" s="53">
        <v>1115.6107250806451</v>
      </c>
      <c r="H2560" s="78">
        <v>3292.1495708697885</v>
      </c>
      <c r="I2560" s="84">
        <v>659.82</v>
      </c>
      <c r="J2560" s="53">
        <v>2429.5988059951137</v>
      </c>
      <c r="K2560" s="78">
        <v>3682.2145524462935</v>
      </c>
      <c r="L2560" s="84">
        <v>489.53666666666669</v>
      </c>
      <c r="M2560" s="53">
        <v>1726.1346416416509</v>
      </c>
      <c r="N2560" s="78">
        <v>3526.0579220657305</v>
      </c>
    </row>
    <row r="2561" spans="1:14" ht="19.5" customHeight="1" outlineLevel="1" x14ac:dyDescent="0.2">
      <c r="A2561" s="101">
        <v>11</v>
      </c>
      <c r="B2561" s="81" t="s">
        <v>18</v>
      </c>
      <c r="C2561" s="84">
        <v>913.43</v>
      </c>
      <c r="D2561" s="53">
        <v>3506.3635924899845</v>
      </c>
      <c r="E2561" s="78">
        <v>3838.6779419221884</v>
      </c>
      <c r="F2561" s="84">
        <v>869.59</v>
      </c>
      <c r="G2561" s="53">
        <v>3546.7110715946542</v>
      </c>
      <c r="H2561" s="78">
        <v>4078.6014921913247</v>
      </c>
      <c r="I2561" s="84">
        <v>1105.58</v>
      </c>
      <c r="J2561" s="53">
        <v>4623.4200420143807</v>
      </c>
      <c r="K2561" s="78">
        <v>4181.8955136800423</v>
      </c>
      <c r="L2561" s="84">
        <v>962.86666666666667</v>
      </c>
      <c r="M2561" s="53">
        <v>3892.1649020330065</v>
      </c>
      <c r="N2561" s="78">
        <v>4042.2677788890878</v>
      </c>
    </row>
    <row r="2562" spans="1:14" ht="19.5" customHeight="1" outlineLevel="1" x14ac:dyDescent="0.2">
      <c r="A2562" s="101">
        <v>12</v>
      </c>
      <c r="B2562" s="81" t="s">
        <v>19</v>
      </c>
      <c r="C2562" s="84">
        <v>332.29999999999995</v>
      </c>
      <c r="D2562" s="53">
        <v>1403.7685984502789</v>
      </c>
      <c r="E2562" s="78">
        <v>4224.4014398142617</v>
      </c>
      <c r="F2562" s="84">
        <v>285.31000000000006</v>
      </c>
      <c r="G2562" s="53">
        <v>1200.0815271727799</v>
      </c>
      <c r="H2562" s="78">
        <v>4206.2371707012708</v>
      </c>
      <c r="I2562" s="84">
        <v>374.96999999999997</v>
      </c>
      <c r="J2562" s="53">
        <v>1535.6172751150009</v>
      </c>
      <c r="K2562" s="78">
        <v>4095.3070248686586</v>
      </c>
      <c r="L2562" s="84">
        <v>330.85999999999996</v>
      </c>
      <c r="M2562" s="53">
        <v>1379.8224669126867</v>
      </c>
      <c r="N2562" s="78">
        <v>4170.4118567148844</v>
      </c>
    </row>
    <row r="2563" spans="1:14" ht="19.5" customHeight="1" outlineLevel="1" x14ac:dyDescent="0.2">
      <c r="A2563" s="101">
        <v>13</v>
      </c>
      <c r="B2563" s="81" t="s">
        <v>20</v>
      </c>
      <c r="C2563" s="84">
        <v>83.539999999999992</v>
      </c>
      <c r="D2563" s="53">
        <v>332.88590785670755</v>
      </c>
      <c r="E2563" s="78">
        <v>3984.748717461187</v>
      </c>
      <c r="F2563" s="84">
        <v>52.36</v>
      </c>
      <c r="G2563" s="53">
        <v>193.14911535072974</v>
      </c>
      <c r="H2563" s="78">
        <v>3688.8677492499955</v>
      </c>
      <c r="I2563" s="84">
        <v>140</v>
      </c>
      <c r="J2563" s="53">
        <v>549.64550821377827</v>
      </c>
      <c r="K2563" s="78">
        <v>3926.0393443841303</v>
      </c>
      <c r="L2563" s="84">
        <v>91.966666666666654</v>
      </c>
      <c r="M2563" s="53">
        <v>358.56017714040519</v>
      </c>
      <c r="N2563" s="78">
        <v>3898.8058405988245</v>
      </c>
    </row>
    <row r="2564" spans="1:14" ht="19.5" customHeight="1" outlineLevel="1" x14ac:dyDescent="0.2">
      <c r="A2564" s="101">
        <v>14</v>
      </c>
      <c r="B2564" s="81" t="s">
        <v>21</v>
      </c>
      <c r="C2564" s="84">
        <v>283.3</v>
      </c>
      <c r="D2564" s="53">
        <v>990.76215954830172</v>
      </c>
      <c r="E2564" s="78">
        <v>3497.2190594715908</v>
      </c>
      <c r="F2564" s="84">
        <v>286.25</v>
      </c>
      <c r="G2564" s="53">
        <v>824.6509073090765</v>
      </c>
      <c r="H2564" s="78">
        <v>2880.8765320841103</v>
      </c>
      <c r="I2564" s="84">
        <v>336.87</v>
      </c>
      <c r="J2564" s="53">
        <v>1097.931564175627</v>
      </c>
      <c r="K2564" s="78">
        <v>3259.214427451619</v>
      </c>
      <c r="L2564" s="84">
        <v>302.14</v>
      </c>
      <c r="M2564" s="53">
        <v>971.11487701100179</v>
      </c>
      <c r="N2564" s="78">
        <v>3214.1221851161777</v>
      </c>
    </row>
    <row r="2565" spans="1:14" ht="19.5" customHeight="1" outlineLevel="1" x14ac:dyDescent="0.2">
      <c r="A2565" s="101">
        <v>15</v>
      </c>
      <c r="B2565" s="81" t="s">
        <v>22</v>
      </c>
      <c r="C2565" s="84">
        <v>970.37</v>
      </c>
      <c r="D2565" s="53">
        <v>3833.5731461393925</v>
      </c>
      <c r="E2565" s="78">
        <v>3950.6303225979705</v>
      </c>
      <c r="F2565" s="84">
        <v>971</v>
      </c>
      <c r="G2565" s="53">
        <v>3753.5514831167629</v>
      </c>
      <c r="H2565" s="78">
        <v>3865.655492396254</v>
      </c>
      <c r="I2565" s="84">
        <v>1105.2699999999998</v>
      </c>
      <c r="J2565" s="53">
        <v>4421.5505951096084</v>
      </c>
      <c r="K2565" s="78">
        <v>4000.4257738919982</v>
      </c>
      <c r="L2565" s="84">
        <v>1015.5466666666665</v>
      </c>
      <c r="M2565" s="53">
        <v>4002.8917414552548</v>
      </c>
      <c r="N2565" s="78">
        <v>3941.6128011073724</v>
      </c>
    </row>
    <row r="2566" spans="1:14" ht="19.5" customHeight="1" outlineLevel="1" x14ac:dyDescent="0.2">
      <c r="A2566" s="101">
        <v>16</v>
      </c>
      <c r="B2566" s="81" t="s">
        <v>23</v>
      </c>
      <c r="C2566" s="84">
        <v>569</v>
      </c>
      <c r="D2566" s="53">
        <v>2216.2517155553733</v>
      </c>
      <c r="E2566" s="78">
        <v>3894.9942276895836</v>
      </c>
      <c r="F2566" s="84">
        <v>579.5</v>
      </c>
      <c r="G2566" s="53">
        <v>2163.3217421769909</v>
      </c>
      <c r="H2566" s="78">
        <v>3733.083247932685</v>
      </c>
      <c r="I2566" s="84">
        <v>591.32000000000005</v>
      </c>
      <c r="J2566" s="53">
        <v>2388.5460878214744</v>
      </c>
      <c r="K2566" s="78">
        <v>4039.3460187740548</v>
      </c>
      <c r="L2566" s="84">
        <v>579.94000000000005</v>
      </c>
      <c r="M2566" s="53">
        <v>2256.0398485179462</v>
      </c>
      <c r="N2566" s="78">
        <v>3890.1263036140745</v>
      </c>
    </row>
    <row r="2567" spans="1:14" ht="19.5" customHeight="1" outlineLevel="1" x14ac:dyDescent="0.2">
      <c r="A2567" s="101">
        <v>17</v>
      </c>
      <c r="B2567" s="81" t="s">
        <v>24</v>
      </c>
      <c r="C2567" s="84">
        <v>351.19</v>
      </c>
      <c r="D2567" s="53">
        <v>1231.8744203132565</v>
      </c>
      <c r="E2567" s="78">
        <v>3507.7149699970287</v>
      </c>
      <c r="F2567" s="84">
        <v>446.83</v>
      </c>
      <c r="G2567" s="53">
        <v>1569.8072367142875</v>
      </c>
      <c r="H2567" s="78">
        <v>3513.209132587981</v>
      </c>
      <c r="I2567" s="84">
        <v>508.33</v>
      </c>
      <c r="J2567" s="53">
        <v>1896.7585374847151</v>
      </c>
      <c r="K2567" s="78">
        <v>3731.3527383485439</v>
      </c>
      <c r="L2567" s="84">
        <v>435.45</v>
      </c>
      <c r="M2567" s="53">
        <v>1566.1467315040863</v>
      </c>
      <c r="N2567" s="78">
        <v>3596.6166758619506</v>
      </c>
    </row>
    <row r="2568" spans="1:14" ht="19.5" customHeight="1" outlineLevel="1" x14ac:dyDescent="0.2">
      <c r="A2568" s="101">
        <v>18</v>
      </c>
      <c r="B2568" s="81" t="s">
        <v>25</v>
      </c>
      <c r="C2568" s="84">
        <v>445.44</v>
      </c>
      <c r="D2568" s="53">
        <v>1266.6850758062633</v>
      </c>
      <c r="E2568" s="78">
        <v>2843.6715961886302</v>
      </c>
      <c r="F2568" s="84">
        <v>396.11</v>
      </c>
      <c r="G2568" s="53">
        <v>1199.4117192103736</v>
      </c>
      <c r="H2568" s="78">
        <v>3027.9763682067442</v>
      </c>
      <c r="I2568" s="84">
        <v>524.2600000000001</v>
      </c>
      <c r="J2568" s="53">
        <v>1814.1084199101124</v>
      </c>
      <c r="K2568" s="78">
        <v>3460.3220156222333</v>
      </c>
      <c r="L2568" s="84">
        <v>455.27</v>
      </c>
      <c r="M2568" s="53">
        <v>1426.7350716422497</v>
      </c>
      <c r="N2568" s="78">
        <v>3133.8218455910774</v>
      </c>
    </row>
    <row r="2569" spans="1:14" ht="19.5" customHeight="1" outlineLevel="1" x14ac:dyDescent="0.2">
      <c r="A2569" s="101">
        <v>19</v>
      </c>
      <c r="B2569" s="81" t="s">
        <v>26</v>
      </c>
      <c r="C2569" s="84">
        <v>126.56</v>
      </c>
      <c r="D2569" s="53">
        <v>457.59503483815479</v>
      </c>
      <c r="E2569" s="78">
        <v>3615.6371273558375</v>
      </c>
      <c r="F2569" s="84">
        <v>191.01</v>
      </c>
      <c r="G2569" s="53">
        <v>712.06717984197849</v>
      </c>
      <c r="H2569" s="78">
        <v>3727.9052397360269</v>
      </c>
      <c r="I2569" s="84">
        <v>243.38</v>
      </c>
      <c r="J2569" s="53">
        <v>892.51791159665345</v>
      </c>
      <c r="K2569" s="78">
        <v>3667.1785339660341</v>
      </c>
      <c r="L2569" s="84">
        <v>186.98333333333335</v>
      </c>
      <c r="M2569" s="53">
        <v>687.39337542559554</v>
      </c>
      <c r="N2569" s="78">
        <v>3676.2280529045129</v>
      </c>
    </row>
    <row r="2570" spans="1:14" ht="19.5" customHeight="1" outlineLevel="1" x14ac:dyDescent="0.2">
      <c r="A2570" s="101">
        <v>20</v>
      </c>
      <c r="B2570" s="81" t="s">
        <v>27</v>
      </c>
      <c r="C2570" s="84">
        <v>2247.52</v>
      </c>
      <c r="D2570" s="53">
        <v>6397.5660980314897</v>
      </c>
      <c r="E2570" s="78">
        <v>2846.5001859967833</v>
      </c>
      <c r="F2570" s="84">
        <v>2241.7399999999998</v>
      </c>
      <c r="G2570" s="53">
        <v>6680.0299690540151</v>
      </c>
      <c r="H2570" s="78">
        <v>2979.8415378473937</v>
      </c>
      <c r="I2570" s="84">
        <v>2208.71</v>
      </c>
      <c r="J2570" s="53">
        <v>6311.3921962669647</v>
      </c>
      <c r="K2570" s="78">
        <v>2857.5015263511123</v>
      </c>
      <c r="L2570" s="84">
        <v>2232.6566666666668</v>
      </c>
      <c r="M2570" s="53">
        <v>6462.9960877841559</v>
      </c>
      <c r="N2570" s="78">
        <v>2894.7559131128487</v>
      </c>
    </row>
    <row r="2571" spans="1:14" ht="19.5" customHeight="1" outlineLevel="1" x14ac:dyDescent="0.2">
      <c r="A2571" s="101">
        <v>21</v>
      </c>
      <c r="B2571" s="81" t="s">
        <v>28</v>
      </c>
      <c r="C2571" s="84">
        <v>2359.1800000000003</v>
      </c>
      <c r="D2571" s="53">
        <v>6924.0967897752744</v>
      </c>
      <c r="E2571" s="78">
        <v>2934.9590916230527</v>
      </c>
      <c r="F2571" s="84">
        <v>2333.38</v>
      </c>
      <c r="G2571" s="53">
        <v>6585.2135813642117</v>
      </c>
      <c r="H2571" s="78">
        <v>2822.1779484542644</v>
      </c>
      <c r="I2571" s="84">
        <v>2233.9499999999998</v>
      </c>
      <c r="J2571" s="53">
        <v>6117.3195279825595</v>
      </c>
      <c r="K2571" s="78">
        <v>2738.3421867018328</v>
      </c>
      <c r="L2571" s="84">
        <v>2308.8366666666666</v>
      </c>
      <c r="M2571" s="53">
        <v>6542.2099663740155</v>
      </c>
      <c r="N2571" s="78">
        <v>2833.5525248822346</v>
      </c>
    </row>
    <row r="2572" spans="1:14" ht="19.5" customHeight="1" outlineLevel="1" x14ac:dyDescent="0.2">
      <c r="A2572" s="101">
        <v>22</v>
      </c>
      <c r="B2572" s="81" t="s">
        <v>29</v>
      </c>
      <c r="C2572" s="84">
        <v>1405.29</v>
      </c>
      <c r="D2572" s="53">
        <v>2533.9498099181174</v>
      </c>
      <c r="E2572" s="78">
        <v>1803.1508157875721</v>
      </c>
      <c r="F2572" s="84">
        <v>1533.94</v>
      </c>
      <c r="G2572" s="53">
        <v>3557.2417839776831</v>
      </c>
      <c r="H2572" s="78">
        <v>2319.0227674991738</v>
      </c>
      <c r="I2572" s="84">
        <v>1567.0500000000002</v>
      </c>
      <c r="J2572" s="53">
        <v>3027.3072511615255</v>
      </c>
      <c r="K2572" s="78">
        <v>1931.8510903682238</v>
      </c>
      <c r="L2572" s="84">
        <v>1502.0933333333335</v>
      </c>
      <c r="M2572" s="53">
        <v>3039.4996150191087</v>
      </c>
      <c r="N2572" s="78">
        <v>2023.509157233311</v>
      </c>
    </row>
    <row r="2573" spans="1:14" ht="19.5" customHeight="1" outlineLevel="1" x14ac:dyDescent="0.2">
      <c r="A2573" s="101">
        <v>23</v>
      </c>
      <c r="B2573" s="81" t="s">
        <v>30</v>
      </c>
      <c r="C2573" s="84">
        <v>1082.7599999999998</v>
      </c>
      <c r="D2573" s="53">
        <v>2711.6423753719109</v>
      </c>
      <c r="E2573" s="78">
        <v>2504.3798952417078</v>
      </c>
      <c r="F2573" s="84">
        <v>1106.45</v>
      </c>
      <c r="G2573" s="53">
        <v>2555.8265874667068</v>
      </c>
      <c r="H2573" s="78">
        <v>2309.9341022790968</v>
      </c>
      <c r="I2573" s="84">
        <v>1132.71</v>
      </c>
      <c r="J2573" s="53">
        <v>2809.2760927233553</v>
      </c>
      <c r="K2573" s="78">
        <v>2480.1370983953129</v>
      </c>
      <c r="L2573" s="84">
        <v>1107.3066666666666</v>
      </c>
      <c r="M2573" s="53">
        <v>2692.2483518539907</v>
      </c>
      <c r="N2573" s="78">
        <v>2431.3484537743152</v>
      </c>
    </row>
    <row r="2574" spans="1:14" ht="19.5" customHeight="1" outlineLevel="1" x14ac:dyDescent="0.2">
      <c r="A2574" s="101">
        <v>24</v>
      </c>
      <c r="B2574" s="81" t="s">
        <v>31</v>
      </c>
      <c r="C2574" s="84">
        <v>2614.6999999999998</v>
      </c>
      <c r="D2574" s="53">
        <v>5448.9503330631187</v>
      </c>
      <c r="E2574" s="78">
        <v>2083.9676953620374</v>
      </c>
      <c r="F2574" s="84">
        <v>2580.14</v>
      </c>
      <c r="G2574" s="53">
        <v>5071.4761073419704</v>
      </c>
      <c r="H2574" s="78">
        <v>1965.5817542234029</v>
      </c>
      <c r="I2574" s="84">
        <v>2565.4500000000003</v>
      </c>
      <c r="J2574" s="53">
        <v>4525.0783321678409</v>
      </c>
      <c r="K2574" s="78">
        <v>1763.8536444552963</v>
      </c>
      <c r="L2574" s="84">
        <v>2586.7633333333338</v>
      </c>
      <c r="M2574" s="53">
        <v>5015.1682575243094</v>
      </c>
      <c r="N2574" s="78">
        <v>1938.7812533517338</v>
      </c>
    </row>
    <row r="2575" spans="1:14" ht="19.5" customHeight="1" outlineLevel="1" x14ac:dyDescent="0.2">
      <c r="A2575" s="101">
        <v>25</v>
      </c>
      <c r="B2575" s="81" t="s">
        <v>32</v>
      </c>
      <c r="C2575" s="84">
        <v>728.76</v>
      </c>
      <c r="D2575" s="53">
        <v>1763.5297438069065</v>
      </c>
      <c r="E2575" s="78">
        <v>2419.9046926380515</v>
      </c>
      <c r="F2575" s="84">
        <v>750.43000000000006</v>
      </c>
      <c r="G2575" s="53">
        <v>1751.806913538099</v>
      </c>
      <c r="H2575" s="78">
        <v>2334.4041596659235</v>
      </c>
      <c r="I2575" s="84">
        <v>754.72</v>
      </c>
      <c r="J2575" s="53">
        <v>1804.1576836871695</v>
      </c>
      <c r="K2575" s="78">
        <v>2390.499368888024</v>
      </c>
      <c r="L2575" s="84">
        <v>744.63666666666666</v>
      </c>
      <c r="M2575" s="53">
        <v>1773.1647803440585</v>
      </c>
      <c r="N2575" s="78">
        <v>2381.2482781455724</v>
      </c>
    </row>
    <row r="2576" spans="1:14" ht="19.5" customHeight="1" outlineLevel="1" x14ac:dyDescent="0.2">
      <c r="A2576" s="101">
        <v>26</v>
      </c>
      <c r="B2576" s="81" t="s">
        <v>33</v>
      </c>
      <c r="C2576" s="84">
        <v>536.07999999999993</v>
      </c>
      <c r="D2576" s="53">
        <v>1051.0726460213627</v>
      </c>
      <c r="E2576" s="78">
        <v>1960.6637927573552</v>
      </c>
      <c r="F2576" s="84">
        <v>515.05999999999995</v>
      </c>
      <c r="G2576" s="53">
        <v>1139.6230956381594</v>
      </c>
      <c r="H2576" s="78">
        <v>2212.6026009361231</v>
      </c>
      <c r="I2576" s="84">
        <v>536.3599999999999</v>
      </c>
      <c r="J2576" s="53">
        <v>1117.4416611704482</v>
      </c>
      <c r="K2576" s="78">
        <v>2083.3799335715721</v>
      </c>
      <c r="L2576" s="84">
        <v>529.16666666666663</v>
      </c>
      <c r="M2576" s="53">
        <v>1102.7124676099902</v>
      </c>
      <c r="N2576" s="78">
        <v>2083.866080522816</v>
      </c>
    </row>
    <row r="2577" spans="1:14" ht="19.5" customHeight="1" outlineLevel="1" x14ac:dyDescent="0.2">
      <c r="A2577" s="101">
        <v>27</v>
      </c>
      <c r="B2577" s="81" t="s">
        <v>34</v>
      </c>
      <c r="C2577" s="84">
        <v>235.68</v>
      </c>
      <c r="D2577" s="53">
        <v>363.66646785890185</v>
      </c>
      <c r="E2577" s="78">
        <v>1543.0518833117014</v>
      </c>
      <c r="F2577" s="84">
        <v>238.66000000000003</v>
      </c>
      <c r="G2577" s="53">
        <v>367.29373389513103</v>
      </c>
      <c r="H2577" s="78">
        <v>1538.9832141755257</v>
      </c>
      <c r="I2577" s="84">
        <v>321.60000000000002</v>
      </c>
      <c r="J2577" s="53">
        <v>557.94368229743168</v>
      </c>
      <c r="K2577" s="78">
        <v>1734.8995096313172</v>
      </c>
      <c r="L2577" s="84">
        <v>265.31333333333333</v>
      </c>
      <c r="M2577" s="53">
        <v>429.63462801715485</v>
      </c>
      <c r="N2577" s="78">
        <v>1619.3480463998098</v>
      </c>
    </row>
    <row r="2578" spans="1:14" ht="19.5" customHeight="1" outlineLevel="1" x14ac:dyDescent="0.2">
      <c r="A2578" s="101">
        <v>28</v>
      </c>
      <c r="B2578" s="81" t="s">
        <v>35</v>
      </c>
      <c r="C2578" s="84">
        <v>357.11</v>
      </c>
      <c r="D2578" s="53">
        <v>690.66187519528228</v>
      </c>
      <c r="E2578" s="78">
        <v>1934.0311814154804</v>
      </c>
      <c r="F2578" s="84">
        <v>376.53</v>
      </c>
      <c r="G2578" s="53">
        <v>779.7040322214674</v>
      </c>
      <c r="H2578" s="78">
        <v>2070.7620434532905</v>
      </c>
      <c r="I2578" s="84">
        <v>431.1</v>
      </c>
      <c r="J2578" s="53">
        <v>917.3041645590946</v>
      </c>
      <c r="K2578" s="78">
        <v>2127.8222327977142</v>
      </c>
      <c r="L2578" s="84">
        <v>388.24666666666667</v>
      </c>
      <c r="M2578" s="53">
        <v>795.89002399194806</v>
      </c>
      <c r="N2578" s="78">
        <v>2049.959709442317</v>
      </c>
    </row>
    <row r="2579" spans="1:14" ht="19.5" customHeight="1" outlineLevel="1" x14ac:dyDescent="0.2">
      <c r="A2579" s="101">
        <v>29</v>
      </c>
      <c r="B2579" s="81" t="s">
        <v>36</v>
      </c>
      <c r="C2579" s="84">
        <v>709.6400000000001</v>
      </c>
      <c r="D2579" s="53">
        <v>1584.1127757678137</v>
      </c>
      <c r="E2579" s="78">
        <v>2232.2766131669769</v>
      </c>
      <c r="F2579" s="84">
        <v>735.0200000000001</v>
      </c>
      <c r="G2579" s="53">
        <v>1683.7106539246943</v>
      </c>
      <c r="H2579" s="78">
        <v>2290.7004624699925</v>
      </c>
      <c r="I2579" s="84">
        <v>850.69</v>
      </c>
      <c r="J2579" s="53">
        <v>1748.69413955045</v>
      </c>
      <c r="K2579" s="78">
        <v>2055.6185444174139</v>
      </c>
      <c r="L2579" s="84">
        <v>765.11666666666679</v>
      </c>
      <c r="M2579" s="53">
        <v>1672.1725230809861</v>
      </c>
      <c r="N2579" s="78">
        <v>2185.513132743572</v>
      </c>
    </row>
    <row r="2580" spans="1:14" ht="19.5" customHeight="1" outlineLevel="1" x14ac:dyDescent="0.2">
      <c r="A2580" s="101">
        <v>30</v>
      </c>
      <c r="B2580" s="81" t="s">
        <v>37</v>
      </c>
      <c r="C2580" s="84">
        <v>391.12</v>
      </c>
      <c r="D2580" s="53">
        <v>594.74040156589479</v>
      </c>
      <c r="E2580" s="78">
        <v>1520.6085129011424</v>
      </c>
      <c r="F2580" s="84">
        <v>411.34</v>
      </c>
      <c r="G2580" s="53">
        <v>718.81338887668699</v>
      </c>
      <c r="H2580" s="78">
        <v>1747.4920719518818</v>
      </c>
      <c r="I2580" s="84">
        <v>412.84000000000003</v>
      </c>
      <c r="J2580" s="53">
        <v>550.17512143172951</v>
      </c>
      <c r="K2580" s="78">
        <v>1332.6594356935605</v>
      </c>
      <c r="L2580" s="84">
        <v>405.10000000000008</v>
      </c>
      <c r="M2580" s="53">
        <v>621.24297062477046</v>
      </c>
      <c r="N2580" s="78">
        <v>1533.5546053437927</v>
      </c>
    </row>
    <row r="2581" spans="1:14" ht="19.5" customHeight="1" outlineLevel="1" x14ac:dyDescent="0.2">
      <c r="A2581" s="101">
        <v>31</v>
      </c>
      <c r="B2581" s="81" t="s">
        <v>38</v>
      </c>
      <c r="C2581" s="84">
        <v>514.84</v>
      </c>
      <c r="D2581" s="53">
        <v>1492.4567539079005</v>
      </c>
      <c r="E2581" s="78">
        <v>2898.8749007612082</v>
      </c>
      <c r="F2581" s="84">
        <v>509.26</v>
      </c>
      <c r="G2581" s="53">
        <v>1491.5452790810648</v>
      </c>
      <c r="H2581" s="78">
        <v>2928.8482878707632</v>
      </c>
      <c r="I2581" s="84">
        <v>510.68</v>
      </c>
      <c r="J2581" s="53">
        <v>1527.6521834933167</v>
      </c>
      <c r="K2581" s="78">
        <v>2991.4078943630388</v>
      </c>
      <c r="L2581" s="84">
        <v>511.59333333333331</v>
      </c>
      <c r="M2581" s="53">
        <v>1503.8847388274273</v>
      </c>
      <c r="N2581" s="78">
        <v>2939.6097267896912</v>
      </c>
    </row>
    <row r="2582" spans="1:14" ht="19.5" customHeight="1" outlineLevel="1" x14ac:dyDescent="0.2">
      <c r="A2582" s="101">
        <v>32</v>
      </c>
      <c r="B2582" s="81" t="s">
        <v>39</v>
      </c>
      <c r="C2582" s="84">
        <v>784.83999999999992</v>
      </c>
      <c r="D2582" s="53">
        <v>1993.9048716867346</v>
      </c>
      <c r="E2582" s="78">
        <v>2540.5240197833123</v>
      </c>
      <c r="F2582" s="84">
        <v>784.03</v>
      </c>
      <c r="G2582" s="53">
        <v>2139.8985255057978</v>
      </c>
      <c r="H2582" s="78">
        <v>2729.3579652638268</v>
      </c>
      <c r="I2582" s="84">
        <v>779.42000000000007</v>
      </c>
      <c r="J2582" s="53">
        <v>1957.8030499918113</v>
      </c>
      <c r="K2582" s="78">
        <v>2511.8717122883827</v>
      </c>
      <c r="L2582" s="84">
        <v>782.76333333333332</v>
      </c>
      <c r="M2582" s="53">
        <v>2030.5354823947812</v>
      </c>
      <c r="N2582" s="78">
        <v>2594.0605492440641</v>
      </c>
    </row>
    <row r="2583" spans="1:14" ht="19.5" customHeight="1" outlineLevel="1" thickBot="1" x14ac:dyDescent="0.25">
      <c r="A2583" s="102">
        <v>33</v>
      </c>
      <c r="B2583" s="91" t="s">
        <v>40</v>
      </c>
      <c r="C2583" s="92">
        <v>797.37</v>
      </c>
      <c r="D2583" s="93">
        <v>2299.6816649169732</v>
      </c>
      <c r="E2583" s="94">
        <v>2884.0835056711103</v>
      </c>
      <c r="F2583" s="92">
        <v>854.03</v>
      </c>
      <c r="G2583" s="93">
        <v>2216.7942795443855</v>
      </c>
      <c r="H2583" s="94">
        <v>2595.6866615275644</v>
      </c>
      <c r="I2583" s="92">
        <v>849.85</v>
      </c>
      <c r="J2583" s="93">
        <v>2488.6238379492584</v>
      </c>
      <c r="K2583" s="94">
        <v>2928.3095110304857</v>
      </c>
      <c r="L2583" s="92">
        <v>833.75</v>
      </c>
      <c r="M2583" s="93">
        <v>2335.0332608035392</v>
      </c>
      <c r="N2583" s="94">
        <v>2800.6395931676634</v>
      </c>
    </row>
    <row r="2584" spans="1:14" ht="19.5" customHeight="1" thickBot="1" x14ac:dyDescent="0.25">
      <c r="A2584" s="151" t="s">
        <v>41</v>
      </c>
      <c r="B2584" s="152"/>
      <c r="C2584" s="96">
        <v>31923.949999999997</v>
      </c>
      <c r="D2584" s="97">
        <v>86987.448340092553</v>
      </c>
      <c r="E2584" s="98">
        <v>2724.8334977373588</v>
      </c>
      <c r="F2584" s="96">
        <v>31979.449999999997</v>
      </c>
      <c r="G2584" s="97">
        <v>87135.483983637852</v>
      </c>
      <c r="H2584" s="98">
        <v>2724.7336643887829</v>
      </c>
      <c r="I2584" s="96">
        <v>33598.049999999996</v>
      </c>
      <c r="J2584" s="97">
        <v>92042.719558127312</v>
      </c>
      <c r="K2584" s="98">
        <v>2739.5256438432389</v>
      </c>
      <c r="L2584" s="96">
        <v>32500.483333333326</v>
      </c>
      <c r="M2584" s="97">
        <v>88721.883960619234</v>
      </c>
      <c r="N2584" s="98">
        <v>2729.8635238948527</v>
      </c>
    </row>
    <row r="2585" spans="1:14" ht="34.5" customHeight="1" x14ac:dyDescent="0.2">
      <c r="A2585" s="153" t="s">
        <v>247</v>
      </c>
      <c r="B2585" s="154"/>
      <c r="C2585" s="154"/>
      <c r="D2585" s="154"/>
      <c r="E2585" s="154"/>
      <c r="F2585" s="154"/>
      <c r="G2585" s="154"/>
      <c r="H2585" s="154"/>
      <c r="I2585" s="154"/>
      <c r="J2585" s="154"/>
      <c r="K2585" s="154"/>
      <c r="L2585" s="154"/>
      <c r="M2585" s="154"/>
      <c r="N2585" s="154"/>
    </row>
    <row r="2586" spans="1:14" ht="19.5" customHeight="1" thickBot="1" x14ac:dyDescent="0.25">
      <c r="A2586" s="50"/>
      <c r="B2586" s="51" t="s">
        <v>110</v>
      </c>
      <c r="C2586" s="52"/>
      <c r="D2586" s="52"/>
      <c r="E2586" s="52"/>
      <c r="F2586" s="52"/>
      <c r="G2586" s="52"/>
      <c r="H2586" s="52"/>
      <c r="I2586" s="52"/>
      <c r="J2586" s="52"/>
      <c r="K2586" s="155" t="s">
        <v>1</v>
      </c>
      <c r="L2586" s="154"/>
      <c r="M2586" s="154"/>
      <c r="N2586" s="154"/>
    </row>
    <row r="2587" spans="1:14" ht="19.5" customHeight="1" x14ac:dyDescent="0.2">
      <c r="A2587" s="156" t="s">
        <v>2</v>
      </c>
      <c r="B2587" s="158" t="s">
        <v>3</v>
      </c>
      <c r="C2587" s="148" t="s">
        <v>243</v>
      </c>
      <c r="D2587" s="149"/>
      <c r="E2587" s="150"/>
      <c r="F2587" s="148" t="s">
        <v>244</v>
      </c>
      <c r="G2587" s="149"/>
      <c r="H2587" s="150"/>
      <c r="I2587" s="148" t="s">
        <v>246</v>
      </c>
      <c r="J2587" s="149"/>
      <c r="K2587" s="150"/>
      <c r="L2587" s="148" t="s">
        <v>4</v>
      </c>
      <c r="M2587" s="149"/>
      <c r="N2587" s="150"/>
    </row>
    <row r="2588" spans="1:14" ht="19.5" customHeight="1" thickBot="1" x14ac:dyDescent="0.25">
      <c r="A2588" s="157"/>
      <c r="B2588" s="159"/>
      <c r="C2588" s="85" t="s">
        <v>5</v>
      </c>
      <c r="D2588" s="79" t="s">
        <v>6</v>
      </c>
      <c r="E2588" s="80" t="s">
        <v>7</v>
      </c>
      <c r="F2588" s="85" t="s">
        <v>5</v>
      </c>
      <c r="G2588" s="79" t="s">
        <v>6</v>
      </c>
      <c r="H2588" s="80" t="s">
        <v>7</v>
      </c>
      <c r="I2588" s="85" t="s">
        <v>5</v>
      </c>
      <c r="J2588" s="79" t="s">
        <v>6</v>
      </c>
      <c r="K2588" s="80" t="s">
        <v>7</v>
      </c>
      <c r="L2588" s="85" t="s">
        <v>5</v>
      </c>
      <c r="M2588" s="79" t="s">
        <v>6</v>
      </c>
      <c r="N2588" s="80" t="s">
        <v>7</v>
      </c>
    </row>
    <row r="2589" spans="1:14" ht="19.5" customHeight="1" outlineLevel="1" x14ac:dyDescent="0.2">
      <c r="A2589" s="100">
        <v>1</v>
      </c>
      <c r="B2589" s="86" t="s">
        <v>8</v>
      </c>
      <c r="C2589" s="87">
        <v>468.90999999999997</v>
      </c>
      <c r="D2589" s="88">
        <v>267.03716528448604</v>
      </c>
      <c r="E2589" s="89">
        <v>569.48490176043595</v>
      </c>
      <c r="F2589" s="87">
        <v>466.6</v>
      </c>
      <c r="G2589" s="88">
        <v>289.78442106227152</v>
      </c>
      <c r="H2589" s="89">
        <v>621.0553387532608</v>
      </c>
      <c r="I2589" s="87">
        <v>609.55999999999995</v>
      </c>
      <c r="J2589" s="88">
        <v>527.33853596861582</v>
      </c>
      <c r="K2589" s="89">
        <v>865.11341946422965</v>
      </c>
      <c r="L2589" s="87">
        <v>515.02333333333331</v>
      </c>
      <c r="M2589" s="88">
        <v>361.38670743845779</v>
      </c>
      <c r="N2589" s="89">
        <v>701.68997023783618</v>
      </c>
    </row>
    <row r="2590" spans="1:14" ht="19.5" customHeight="1" outlineLevel="1" x14ac:dyDescent="0.2">
      <c r="A2590" s="101">
        <v>2</v>
      </c>
      <c r="B2590" s="81" t="s">
        <v>9</v>
      </c>
      <c r="C2590" s="84">
        <v>85.75</v>
      </c>
      <c r="D2590" s="53">
        <v>69.825092220980565</v>
      </c>
      <c r="E2590" s="78">
        <v>814.2867897490446</v>
      </c>
      <c r="F2590" s="84">
        <v>70.240000000000009</v>
      </c>
      <c r="G2590" s="53">
        <v>59.516101714465094</v>
      </c>
      <c r="H2590" s="78">
        <v>847.32491051345517</v>
      </c>
      <c r="I2590" s="84">
        <v>49.58</v>
      </c>
      <c r="J2590" s="53">
        <v>41.229508411541602</v>
      </c>
      <c r="K2590" s="78">
        <v>831.57540160430824</v>
      </c>
      <c r="L2590" s="84">
        <v>68.523333333333326</v>
      </c>
      <c r="M2590" s="53">
        <v>56.856900782329092</v>
      </c>
      <c r="N2590" s="78">
        <v>829.74511041001745</v>
      </c>
    </row>
    <row r="2591" spans="1:14" ht="19.5" customHeight="1" outlineLevel="1" x14ac:dyDescent="0.2">
      <c r="A2591" s="101">
        <v>3</v>
      </c>
      <c r="B2591" s="81" t="s">
        <v>10</v>
      </c>
      <c r="C2591" s="84">
        <v>745.29</v>
      </c>
      <c r="D2591" s="53">
        <v>722.70075947678117</v>
      </c>
      <c r="E2591" s="78">
        <v>969.69067004358192</v>
      </c>
      <c r="F2591" s="84">
        <v>684.08999999999992</v>
      </c>
      <c r="G2591" s="53">
        <v>778.36885488275857</v>
      </c>
      <c r="H2591" s="78">
        <v>1137.8164494185833</v>
      </c>
      <c r="I2591" s="84">
        <v>1013.5799999999999</v>
      </c>
      <c r="J2591" s="53">
        <v>1114.9422625850448</v>
      </c>
      <c r="K2591" s="78">
        <v>1100.0042054746984</v>
      </c>
      <c r="L2591" s="84">
        <v>814.32</v>
      </c>
      <c r="M2591" s="53">
        <v>872.00395898152817</v>
      </c>
      <c r="N2591" s="78">
        <v>1070.8369670173004</v>
      </c>
    </row>
    <row r="2592" spans="1:14" ht="19.5" customHeight="1" outlineLevel="1" x14ac:dyDescent="0.2">
      <c r="A2592" s="101">
        <v>4</v>
      </c>
      <c r="B2592" s="81" t="s">
        <v>11</v>
      </c>
      <c r="C2592" s="84">
        <v>151.80999999999997</v>
      </c>
      <c r="D2592" s="53">
        <v>101.09292042115348</v>
      </c>
      <c r="E2592" s="78">
        <v>665.91739952014689</v>
      </c>
      <c r="F2592" s="84">
        <v>151.69</v>
      </c>
      <c r="G2592" s="53">
        <v>93.096018434043089</v>
      </c>
      <c r="H2592" s="78">
        <v>613.72548245792791</v>
      </c>
      <c r="I2592" s="84">
        <v>148.46</v>
      </c>
      <c r="J2592" s="53">
        <v>112.53913907539257</v>
      </c>
      <c r="K2592" s="78">
        <v>758.0435071762937</v>
      </c>
      <c r="L2592" s="84">
        <v>150.65333333333334</v>
      </c>
      <c r="M2592" s="53">
        <v>102.24269264352972</v>
      </c>
      <c r="N2592" s="78">
        <v>678.66200090846348</v>
      </c>
    </row>
    <row r="2593" spans="1:14" ht="19.5" customHeight="1" outlineLevel="1" x14ac:dyDescent="0.2">
      <c r="A2593" s="101">
        <v>5</v>
      </c>
      <c r="B2593" s="81" t="s">
        <v>12</v>
      </c>
      <c r="C2593" s="84">
        <v>212.61</v>
      </c>
      <c r="D2593" s="53">
        <v>231.54101130192305</v>
      </c>
      <c r="E2593" s="78">
        <v>1089.0410201868351</v>
      </c>
      <c r="F2593" s="84">
        <v>139.38999999999999</v>
      </c>
      <c r="G2593" s="53">
        <v>157.8327917194876</v>
      </c>
      <c r="H2593" s="78">
        <v>1132.3107232906782</v>
      </c>
      <c r="I2593" s="84">
        <v>126.89000000000001</v>
      </c>
      <c r="J2593" s="53">
        <v>163.38126298091512</v>
      </c>
      <c r="K2593" s="78">
        <v>1287.5818660329032</v>
      </c>
      <c r="L2593" s="84">
        <v>159.63</v>
      </c>
      <c r="M2593" s="53">
        <v>184.25168866744193</v>
      </c>
      <c r="N2593" s="78">
        <v>1154.242239350009</v>
      </c>
    </row>
    <row r="2594" spans="1:14" ht="19.5" customHeight="1" outlineLevel="1" x14ac:dyDescent="0.2">
      <c r="A2594" s="101">
        <v>6</v>
      </c>
      <c r="B2594" s="81" t="s">
        <v>13</v>
      </c>
      <c r="C2594" s="84">
        <v>266.5</v>
      </c>
      <c r="D2594" s="53">
        <v>266.95460587379364</v>
      </c>
      <c r="E2594" s="78">
        <v>1001.705838175586</v>
      </c>
      <c r="F2594" s="84">
        <v>208.95</v>
      </c>
      <c r="G2594" s="53">
        <v>226.06020053831122</v>
      </c>
      <c r="H2594" s="78">
        <v>1081.88657831209</v>
      </c>
      <c r="I2594" s="84">
        <v>193.17000000000002</v>
      </c>
      <c r="J2594" s="53">
        <v>211.91284178538587</v>
      </c>
      <c r="K2594" s="78">
        <v>1097.0277050545417</v>
      </c>
      <c r="L2594" s="84">
        <v>222.87333333333333</v>
      </c>
      <c r="M2594" s="53">
        <v>234.9758827324969</v>
      </c>
      <c r="N2594" s="78">
        <v>1054.302366362793</v>
      </c>
    </row>
    <row r="2595" spans="1:14" ht="19.5" customHeight="1" outlineLevel="1" x14ac:dyDescent="0.2">
      <c r="A2595" s="101">
        <v>7</v>
      </c>
      <c r="B2595" s="81" t="s">
        <v>14</v>
      </c>
      <c r="C2595" s="84">
        <v>40.31</v>
      </c>
      <c r="D2595" s="53">
        <v>38.108148411722198</v>
      </c>
      <c r="E2595" s="78">
        <v>945.37703824664345</v>
      </c>
      <c r="F2595" s="84">
        <v>32.96</v>
      </c>
      <c r="G2595" s="53">
        <v>37.824437896229185</v>
      </c>
      <c r="H2595" s="78">
        <v>1147.5861012205455</v>
      </c>
      <c r="I2595" s="84">
        <v>28.84</v>
      </c>
      <c r="J2595" s="53">
        <v>27.463039521136881</v>
      </c>
      <c r="K2595" s="78">
        <v>952.25518450543973</v>
      </c>
      <c r="L2595" s="84">
        <v>34.036666666666669</v>
      </c>
      <c r="M2595" s="53">
        <v>34.465208609696084</v>
      </c>
      <c r="N2595" s="78">
        <v>1012.5905967005019</v>
      </c>
    </row>
    <row r="2596" spans="1:14" ht="19.5" customHeight="1" outlineLevel="1" x14ac:dyDescent="0.2">
      <c r="A2596" s="101">
        <v>8</v>
      </c>
      <c r="B2596" s="81" t="s">
        <v>15</v>
      </c>
      <c r="C2596" s="84">
        <v>857.28</v>
      </c>
      <c r="D2596" s="53">
        <v>706.74263823225215</v>
      </c>
      <c r="E2596" s="78">
        <v>824.40117374982754</v>
      </c>
      <c r="F2596" s="84">
        <v>761.3599999999999</v>
      </c>
      <c r="G2596" s="53">
        <v>711.43253195380396</v>
      </c>
      <c r="H2596" s="78">
        <v>934.42331085663034</v>
      </c>
      <c r="I2596" s="84">
        <v>779.6</v>
      </c>
      <c r="J2596" s="53">
        <v>791.31636778163613</v>
      </c>
      <c r="K2596" s="78">
        <v>1015.0286913566396</v>
      </c>
      <c r="L2596" s="84">
        <v>799.4133333333333</v>
      </c>
      <c r="M2596" s="53">
        <v>736.49717932256408</v>
      </c>
      <c r="N2596" s="78">
        <v>921.29709202068693</v>
      </c>
    </row>
    <row r="2597" spans="1:14" ht="19.5" customHeight="1" outlineLevel="1" x14ac:dyDescent="0.2">
      <c r="A2597" s="101">
        <v>9</v>
      </c>
      <c r="B2597" s="81" t="s">
        <v>16</v>
      </c>
      <c r="C2597" s="84">
        <v>453.99</v>
      </c>
      <c r="D2597" s="53">
        <v>627.15759390227561</v>
      </c>
      <c r="E2597" s="78">
        <v>1381.434819934967</v>
      </c>
      <c r="F2597" s="84">
        <v>325.55</v>
      </c>
      <c r="G2597" s="53">
        <v>475.99891356894528</v>
      </c>
      <c r="H2597" s="78">
        <v>1462.1376549499164</v>
      </c>
      <c r="I2597" s="84">
        <v>804.49</v>
      </c>
      <c r="J2597" s="53">
        <v>1159.0745908597326</v>
      </c>
      <c r="K2597" s="78">
        <v>1440.7569899684677</v>
      </c>
      <c r="L2597" s="84">
        <v>528.01</v>
      </c>
      <c r="M2597" s="53">
        <v>754.07703277698454</v>
      </c>
      <c r="N2597" s="78">
        <v>1428.1491501618993</v>
      </c>
    </row>
    <row r="2598" spans="1:14" ht="19.5" customHeight="1" outlineLevel="1" x14ac:dyDescent="0.2">
      <c r="A2598" s="101">
        <v>10</v>
      </c>
      <c r="B2598" s="81" t="s">
        <v>17</v>
      </c>
      <c r="C2598" s="84">
        <v>326.73</v>
      </c>
      <c r="D2598" s="53">
        <v>523.40952307996076</v>
      </c>
      <c r="E2598" s="78">
        <v>1601.9634654912643</v>
      </c>
      <c r="F2598" s="84">
        <v>175.7</v>
      </c>
      <c r="G2598" s="53">
        <v>257.11163899527111</v>
      </c>
      <c r="H2598" s="78">
        <v>1463.3559419195853</v>
      </c>
      <c r="I2598" s="84">
        <v>288.95999999999998</v>
      </c>
      <c r="J2598" s="53">
        <v>430.09458432076957</v>
      </c>
      <c r="K2598" s="78">
        <v>1488.4225647867165</v>
      </c>
      <c r="L2598" s="84">
        <v>263.79666666666668</v>
      </c>
      <c r="M2598" s="53">
        <v>403.5385821320005</v>
      </c>
      <c r="N2598" s="78">
        <v>1529.7334391336778</v>
      </c>
    </row>
    <row r="2599" spans="1:14" ht="19.5" customHeight="1" outlineLevel="1" x14ac:dyDescent="0.2">
      <c r="A2599" s="101">
        <v>11</v>
      </c>
      <c r="B2599" s="81" t="s">
        <v>18</v>
      </c>
      <c r="C2599" s="84">
        <v>828.33999999999992</v>
      </c>
      <c r="D2599" s="53">
        <v>1601.8502071317216</v>
      </c>
      <c r="E2599" s="78">
        <v>1933.8076238401161</v>
      </c>
      <c r="F2599" s="84">
        <v>680.81</v>
      </c>
      <c r="G2599" s="53">
        <v>1350.2683627296676</v>
      </c>
      <c r="H2599" s="78">
        <v>1983.3262771252887</v>
      </c>
      <c r="I2599" s="84">
        <v>1202.93</v>
      </c>
      <c r="J2599" s="53">
        <v>2717.8356203899725</v>
      </c>
      <c r="K2599" s="78">
        <v>2259.346446085784</v>
      </c>
      <c r="L2599" s="84">
        <v>904.02666666666664</v>
      </c>
      <c r="M2599" s="53">
        <v>1889.9847300837871</v>
      </c>
      <c r="N2599" s="78">
        <v>2090.6294026176815</v>
      </c>
    </row>
    <row r="2600" spans="1:14" ht="19.5" customHeight="1" outlineLevel="1" x14ac:dyDescent="0.2">
      <c r="A2600" s="101">
        <v>12</v>
      </c>
      <c r="B2600" s="81" t="s">
        <v>19</v>
      </c>
      <c r="C2600" s="84">
        <v>912.40000000000009</v>
      </c>
      <c r="D2600" s="53">
        <v>1768.5550373852409</v>
      </c>
      <c r="E2600" s="78">
        <v>1938.3549291815439</v>
      </c>
      <c r="F2600" s="84">
        <v>641.08999999999992</v>
      </c>
      <c r="G2600" s="53">
        <v>1316.3116559699426</v>
      </c>
      <c r="H2600" s="78">
        <v>2053.2400380132945</v>
      </c>
      <c r="I2600" s="84">
        <v>894.18999999999994</v>
      </c>
      <c r="J2600" s="53">
        <v>1773.4658160828153</v>
      </c>
      <c r="K2600" s="78">
        <v>1983.3210124054347</v>
      </c>
      <c r="L2600" s="84">
        <v>815.89333333333332</v>
      </c>
      <c r="M2600" s="53">
        <v>1619.4441698126664</v>
      </c>
      <c r="N2600" s="78">
        <v>1984.8724136480255</v>
      </c>
    </row>
    <row r="2601" spans="1:14" ht="19.5" customHeight="1" outlineLevel="1" x14ac:dyDescent="0.2">
      <c r="A2601" s="101">
        <v>13</v>
      </c>
      <c r="B2601" s="81" t="s">
        <v>20</v>
      </c>
      <c r="C2601" s="84">
        <v>662.83999999999992</v>
      </c>
      <c r="D2601" s="53">
        <v>1008.9188773575138</v>
      </c>
      <c r="E2601" s="78">
        <v>1522.1152576149809</v>
      </c>
      <c r="F2601" s="84">
        <v>232.25</v>
      </c>
      <c r="G2601" s="53">
        <v>354.57325941838388</v>
      </c>
      <c r="H2601" s="78">
        <v>1526.687876935991</v>
      </c>
      <c r="I2601" s="84">
        <v>724.73</v>
      </c>
      <c r="J2601" s="53">
        <v>1340.1598946636736</v>
      </c>
      <c r="K2601" s="78">
        <v>1849.185068458148</v>
      </c>
      <c r="L2601" s="84">
        <v>539.93999999999994</v>
      </c>
      <c r="M2601" s="53">
        <v>901.21734381319038</v>
      </c>
      <c r="N2601" s="78">
        <v>1669.1064633351677</v>
      </c>
    </row>
    <row r="2602" spans="1:14" ht="19.5" customHeight="1" outlineLevel="1" x14ac:dyDescent="0.2">
      <c r="A2602" s="101">
        <v>14</v>
      </c>
      <c r="B2602" s="81" t="s">
        <v>21</v>
      </c>
      <c r="C2602" s="84">
        <v>538.05000000000007</v>
      </c>
      <c r="D2602" s="53">
        <v>1105.1067360401714</v>
      </c>
      <c r="E2602" s="78">
        <v>2053.9108559430747</v>
      </c>
      <c r="F2602" s="84">
        <v>373.2</v>
      </c>
      <c r="G2602" s="53">
        <v>715.33765797072272</v>
      </c>
      <c r="H2602" s="78">
        <v>1916.7675722688177</v>
      </c>
      <c r="I2602" s="84">
        <v>559.02</v>
      </c>
      <c r="J2602" s="53">
        <v>1177.5090196466945</v>
      </c>
      <c r="K2602" s="78">
        <v>2106.3808444182578</v>
      </c>
      <c r="L2602" s="84">
        <v>490.09</v>
      </c>
      <c r="M2602" s="53">
        <v>999.31780455252954</v>
      </c>
      <c r="N2602" s="78">
        <v>2039.0495716144578</v>
      </c>
    </row>
    <row r="2603" spans="1:14" ht="19.5" customHeight="1" outlineLevel="1" x14ac:dyDescent="0.2">
      <c r="A2603" s="101">
        <v>15</v>
      </c>
      <c r="B2603" s="81" t="s">
        <v>22</v>
      </c>
      <c r="C2603" s="84">
        <v>959.88</v>
      </c>
      <c r="D2603" s="53">
        <v>1796.6768268542883</v>
      </c>
      <c r="E2603" s="78">
        <v>1871.7723328481563</v>
      </c>
      <c r="F2603" s="84">
        <v>1061.0899999999999</v>
      </c>
      <c r="G2603" s="53">
        <v>2068.7126935993542</v>
      </c>
      <c r="H2603" s="78">
        <v>1949.6109600499058</v>
      </c>
      <c r="I2603" s="84">
        <v>1324.7</v>
      </c>
      <c r="J2603" s="53">
        <v>2312.068934219295</v>
      </c>
      <c r="K2603" s="78">
        <v>1745.352860435793</v>
      </c>
      <c r="L2603" s="84">
        <v>1115.2233333333334</v>
      </c>
      <c r="M2603" s="53">
        <v>2059.1528182243123</v>
      </c>
      <c r="N2603" s="78">
        <v>1846.4039952155881</v>
      </c>
    </row>
    <row r="2604" spans="1:14" ht="19.5" customHeight="1" outlineLevel="1" x14ac:dyDescent="0.2">
      <c r="A2604" s="101">
        <v>16</v>
      </c>
      <c r="B2604" s="81" t="s">
        <v>23</v>
      </c>
      <c r="C2604" s="84">
        <v>430.74</v>
      </c>
      <c r="D2604" s="53">
        <v>761.58376265183836</v>
      </c>
      <c r="E2604" s="78">
        <v>1768.0822831681255</v>
      </c>
      <c r="F2604" s="84">
        <v>468.45</v>
      </c>
      <c r="G2604" s="53">
        <v>818.85012541281947</v>
      </c>
      <c r="H2604" s="78">
        <v>1747.9989868989635</v>
      </c>
      <c r="I2604" s="84">
        <v>466.92</v>
      </c>
      <c r="J2604" s="53">
        <v>837.6945511365376</v>
      </c>
      <c r="K2604" s="78">
        <v>1794.0858201330796</v>
      </c>
      <c r="L2604" s="84">
        <v>455.37000000000006</v>
      </c>
      <c r="M2604" s="53">
        <v>806.04281306706514</v>
      </c>
      <c r="N2604" s="78">
        <v>1770.0832577180424</v>
      </c>
    </row>
    <row r="2605" spans="1:14" ht="19.5" customHeight="1" outlineLevel="1" x14ac:dyDescent="0.2">
      <c r="A2605" s="101">
        <v>17</v>
      </c>
      <c r="B2605" s="81" t="s">
        <v>24</v>
      </c>
      <c r="C2605" s="84">
        <v>932.7600000000001</v>
      </c>
      <c r="D2605" s="53">
        <v>1714.7334597593069</v>
      </c>
      <c r="E2605" s="78">
        <v>1838.3436894370541</v>
      </c>
      <c r="F2605" s="84">
        <v>813.22</v>
      </c>
      <c r="G2605" s="53">
        <v>1515.8135749275368</v>
      </c>
      <c r="H2605" s="78">
        <v>1863.9649478954486</v>
      </c>
      <c r="I2605" s="84">
        <v>990.72</v>
      </c>
      <c r="J2605" s="53">
        <v>1741.7168700311895</v>
      </c>
      <c r="K2605" s="78">
        <v>1758.0314014365204</v>
      </c>
      <c r="L2605" s="84">
        <v>912.23333333333323</v>
      </c>
      <c r="M2605" s="53">
        <v>1657.4213015726775</v>
      </c>
      <c r="N2605" s="78">
        <v>1816.8830725757418</v>
      </c>
    </row>
    <row r="2606" spans="1:14" ht="19.5" customHeight="1" outlineLevel="1" x14ac:dyDescent="0.2">
      <c r="A2606" s="101">
        <v>18</v>
      </c>
      <c r="B2606" s="81" t="s">
        <v>25</v>
      </c>
      <c r="C2606" s="84">
        <v>301.28999999999996</v>
      </c>
      <c r="D2606" s="53">
        <v>448.53933885875102</v>
      </c>
      <c r="E2606" s="78">
        <v>1488.729592282356</v>
      </c>
      <c r="F2606" s="84">
        <v>177.09</v>
      </c>
      <c r="G2606" s="53">
        <v>333.13239738745881</v>
      </c>
      <c r="H2606" s="78">
        <v>1881.1474244026135</v>
      </c>
      <c r="I2606" s="84">
        <v>251.04000000000002</v>
      </c>
      <c r="J2606" s="53">
        <v>534.38299916505275</v>
      </c>
      <c r="K2606" s="78">
        <v>2128.6767015816313</v>
      </c>
      <c r="L2606" s="84">
        <v>243.14000000000001</v>
      </c>
      <c r="M2606" s="53">
        <v>438.68491180375418</v>
      </c>
      <c r="N2606" s="78">
        <v>1804.2482183258787</v>
      </c>
    </row>
    <row r="2607" spans="1:14" ht="19.5" customHeight="1" outlineLevel="1" x14ac:dyDescent="0.2">
      <c r="A2607" s="101">
        <v>19</v>
      </c>
      <c r="B2607" s="81" t="s">
        <v>26</v>
      </c>
      <c r="C2607" s="84">
        <v>132.67999999999998</v>
      </c>
      <c r="D2607" s="53">
        <v>282.66022975562493</v>
      </c>
      <c r="E2607" s="78">
        <v>2130.3906372899082</v>
      </c>
      <c r="F2607" s="84">
        <v>69.12</v>
      </c>
      <c r="G2607" s="53">
        <v>159.58112805088231</v>
      </c>
      <c r="H2607" s="78">
        <v>2308.7547461065146</v>
      </c>
      <c r="I2607" s="84">
        <v>259.14</v>
      </c>
      <c r="J2607" s="53">
        <v>630.83654515743615</v>
      </c>
      <c r="K2607" s="78">
        <v>2434.3464735565185</v>
      </c>
      <c r="L2607" s="84">
        <v>153.64666666666665</v>
      </c>
      <c r="M2607" s="53">
        <v>357.69263432131447</v>
      </c>
      <c r="N2607" s="78">
        <v>2328.0207900463042</v>
      </c>
    </row>
    <row r="2608" spans="1:14" ht="19.5" customHeight="1" outlineLevel="1" x14ac:dyDescent="0.2">
      <c r="A2608" s="101">
        <v>20</v>
      </c>
      <c r="B2608" s="81" t="s">
        <v>27</v>
      </c>
      <c r="C2608" s="84">
        <v>96.140000000000015</v>
      </c>
      <c r="D2608" s="53">
        <v>96.111564843007187</v>
      </c>
      <c r="E2608" s="78">
        <v>999.70423177665043</v>
      </c>
      <c r="F2608" s="84">
        <v>96.22</v>
      </c>
      <c r="G2608" s="53">
        <v>93.031078612041199</v>
      </c>
      <c r="H2608" s="78">
        <v>966.85801924798579</v>
      </c>
      <c r="I2608" s="84">
        <v>82.610000000000014</v>
      </c>
      <c r="J2608" s="53">
        <v>77.698768255590224</v>
      </c>
      <c r="K2608" s="78">
        <v>940.54918600157623</v>
      </c>
      <c r="L2608" s="84">
        <v>91.65666666666668</v>
      </c>
      <c r="M2608" s="53">
        <v>88.947137236879541</v>
      </c>
      <c r="N2608" s="78">
        <v>970.4382722138364</v>
      </c>
    </row>
    <row r="2609" spans="1:14" ht="19.5" customHeight="1" outlineLevel="1" x14ac:dyDescent="0.2">
      <c r="A2609" s="101">
        <v>21</v>
      </c>
      <c r="B2609" s="81" t="s">
        <v>28</v>
      </c>
      <c r="C2609" s="84">
        <v>41.370000000000005</v>
      </c>
      <c r="D2609" s="53">
        <v>46.363676199605791</v>
      </c>
      <c r="E2609" s="78">
        <v>1120.7076673823008</v>
      </c>
      <c r="F2609" s="84">
        <v>37.589999999999996</v>
      </c>
      <c r="G2609" s="53">
        <v>62.15690222431347</v>
      </c>
      <c r="H2609" s="78">
        <v>1653.5488753475252</v>
      </c>
      <c r="I2609" s="84">
        <v>28.39</v>
      </c>
      <c r="J2609" s="53">
        <v>43.948053381412322</v>
      </c>
      <c r="K2609" s="78">
        <v>1548.0117429169538</v>
      </c>
      <c r="L2609" s="84">
        <v>35.783333333333339</v>
      </c>
      <c r="M2609" s="53">
        <v>50.822877268443868</v>
      </c>
      <c r="N2609" s="78">
        <v>1420.2946605061163</v>
      </c>
    </row>
    <row r="2610" spans="1:14" ht="19.5" customHeight="1" outlineLevel="1" x14ac:dyDescent="0.2">
      <c r="A2610" s="101">
        <v>22</v>
      </c>
      <c r="B2610" s="81" t="s">
        <v>29</v>
      </c>
      <c r="C2610" s="84">
        <v>184.29</v>
      </c>
      <c r="D2610" s="53">
        <v>283.40118423247776</v>
      </c>
      <c r="E2610" s="78">
        <v>1537.8001206385466</v>
      </c>
      <c r="F2610" s="84">
        <v>200.45000000000002</v>
      </c>
      <c r="G2610" s="53">
        <v>336.08857407574936</v>
      </c>
      <c r="H2610" s="78">
        <v>1676.6703620641026</v>
      </c>
      <c r="I2610" s="84">
        <v>191.55</v>
      </c>
      <c r="J2610" s="53">
        <v>285.17114326416606</v>
      </c>
      <c r="K2610" s="78">
        <v>1488.755642203947</v>
      </c>
      <c r="L2610" s="84">
        <v>192.09666666666666</v>
      </c>
      <c r="M2610" s="53">
        <v>301.55363385746438</v>
      </c>
      <c r="N2610" s="78">
        <v>1569.8014915622223</v>
      </c>
    </row>
    <row r="2611" spans="1:14" ht="19.5" customHeight="1" outlineLevel="1" x14ac:dyDescent="0.2">
      <c r="A2611" s="101">
        <v>23</v>
      </c>
      <c r="B2611" s="81" t="s">
        <v>30</v>
      </c>
      <c r="C2611" s="84">
        <v>193.63</v>
      </c>
      <c r="D2611" s="53">
        <v>237.46703161303742</v>
      </c>
      <c r="E2611" s="78">
        <v>1226.395866410357</v>
      </c>
      <c r="F2611" s="84">
        <v>188.25000000000003</v>
      </c>
      <c r="G2611" s="53">
        <v>229.38583889972131</v>
      </c>
      <c r="H2611" s="78">
        <v>1218.5170725084795</v>
      </c>
      <c r="I2611" s="84">
        <v>175.02999999999997</v>
      </c>
      <c r="J2611" s="53">
        <v>223.03410434156166</v>
      </c>
      <c r="K2611" s="78">
        <v>1274.262151297273</v>
      </c>
      <c r="L2611" s="84">
        <v>185.63666666666666</v>
      </c>
      <c r="M2611" s="53">
        <v>229.96232495144014</v>
      </c>
      <c r="N2611" s="78">
        <v>1238.7764178311045</v>
      </c>
    </row>
    <row r="2612" spans="1:14" ht="19.5" customHeight="1" outlineLevel="1" x14ac:dyDescent="0.2">
      <c r="A2612" s="101">
        <v>24</v>
      </c>
      <c r="B2612" s="81" t="s">
        <v>31</v>
      </c>
      <c r="C2612" s="84">
        <v>554.43000000000006</v>
      </c>
      <c r="D2612" s="53">
        <v>657.35030109165609</v>
      </c>
      <c r="E2612" s="78">
        <v>1185.6326336808181</v>
      </c>
      <c r="F2612" s="84">
        <v>559.85</v>
      </c>
      <c r="G2612" s="53">
        <v>712.47761580159579</v>
      </c>
      <c r="H2612" s="78">
        <v>1272.6223377718954</v>
      </c>
      <c r="I2612" s="84">
        <v>557.93999999999994</v>
      </c>
      <c r="J2612" s="53">
        <v>741.33661386016411</v>
      </c>
      <c r="K2612" s="78">
        <v>1328.7031111950464</v>
      </c>
      <c r="L2612" s="84">
        <v>557.40666666666675</v>
      </c>
      <c r="M2612" s="53">
        <v>703.72151025113862</v>
      </c>
      <c r="N2612" s="78">
        <v>1262.4920947922017</v>
      </c>
    </row>
    <row r="2613" spans="1:14" ht="19.5" customHeight="1" outlineLevel="1" x14ac:dyDescent="0.2">
      <c r="A2613" s="101">
        <v>25</v>
      </c>
      <c r="B2613" s="81" t="s">
        <v>32</v>
      </c>
      <c r="C2613" s="84">
        <v>281.8</v>
      </c>
      <c r="D2613" s="53">
        <v>378.86517184390658</v>
      </c>
      <c r="E2613" s="78">
        <v>1344.4470257058431</v>
      </c>
      <c r="F2613" s="84">
        <v>219.56</v>
      </c>
      <c r="G2613" s="53">
        <v>273.21781908373219</v>
      </c>
      <c r="H2613" s="78">
        <v>1244.387953560449</v>
      </c>
      <c r="I2613" s="84">
        <v>251.45999999999998</v>
      </c>
      <c r="J2613" s="53">
        <v>318.43603329331796</v>
      </c>
      <c r="K2613" s="78">
        <v>1266.3486570162968</v>
      </c>
      <c r="L2613" s="84">
        <v>250.93999999999997</v>
      </c>
      <c r="M2613" s="53">
        <v>323.50634140698554</v>
      </c>
      <c r="N2613" s="78">
        <v>1289.1780561368678</v>
      </c>
    </row>
    <row r="2614" spans="1:14" ht="19.5" customHeight="1" outlineLevel="1" x14ac:dyDescent="0.2">
      <c r="A2614" s="101">
        <v>26</v>
      </c>
      <c r="B2614" s="81" t="s">
        <v>33</v>
      </c>
      <c r="C2614" s="84">
        <v>239.70000000000002</v>
      </c>
      <c r="D2614" s="53">
        <v>236.23716174383429</v>
      </c>
      <c r="E2614" s="78">
        <v>985.55344907732285</v>
      </c>
      <c r="F2614" s="84">
        <v>211</v>
      </c>
      <c r="G2614" s="53">
        <v>215.565016720448</v>
      </c>
      <c r="H2614" s="78">
        <v>1021.6351503338768</v>
      </c>
      <c r="I2614" s="84">
        <v>253.76</v>
      </c>
      <c r="J2614" s="53">
        <v>226.48680864688868</v>
      </c>
      <c r="K2614" s="78">
        <v>892.52367846346419</v>
      </c>
      <c r="L2614" s="84">
        <v>234.82000000000002</v>
      </c>
      <c r="M2614" s="53">
        <v>226.09632903705699</v>
      </c>
      <c r="N2614" s="78">
        <v>962.84954023105774</v>
      </c>
    </row>
    <row r="2615" spans="1:14" ht="19.5" customHeight="1" outlineLevel="1" x14ac:dyDescent="0.2">
      <c r="A2615" s="101">
        <v>27</v>
      </c>
      <c r="B2615" s="81" t="s">
        <v>34</v>
      </c>
      <c r="C2615" s="84">
        <v>225.50000000000003</v>
      </c>
      <c r="D2615" s="53">
        <v>254.1563206610777</v>
      </c>
      <c r="E2615" s="78">
        <v>1127.0790273218522</v>
      </c>
      <c r="F2615" s="84">
        <v>199.43</v>
      </c>
      <c r="G2615" s="53">
        <v>223.65897801321628</v>
      </c>
      <c r="H2615" s="78">
        <v>1121.4911398145528</v>
      </c>
      <c r="I2615" s="84">
        <v>175.20999999999998</v>
      </c>
      <c r="J2615" s="53">
        <v>199.93625375313567</v>
      </c>
      <c r="K2615" s="78">
        <v>1141.1235303529234</v>
      </c>
      <c r="L2615" s="84">
        <v>200.04666666666671</v>
      </c>
      <c r="M2615" s="53">
        <v>225.91718414247657</v>
      </c>
      <c r="N2615" s="78">
        <v>1129.3224121495477</v>
      </c>
    </row>
    <row r="2616" spans="1:14" ht="19.5" customHeight="1" outlineLevel="1" x14ac:dyDescent="0.2">
      <c r="A2616" s="101">
        <v>28</v>
      </c>
      <c r="B2616" s="81" t="s">
        <v>35</v>
      </c>
      <c r="C2616" s="84">
        <v>1133.3700000000001</v>
      </c>
      <c r="D2616" s="53">
        <v>1143.4243504251422</v>
      </c>
      <c r="E2616" s="78">
        <v>1008.8711986598745</v>
      </c>
      <c r="F2616" s="84">
        <v>803.97000000000014</v>
      </c>
      <c r="G2616" s="53">
        <v>893.34210051869434</v>
      </c>
      <c r="H2616" s="78">
        <v>1111.1634768942799</v>
      </c>
      <c r="I2616" s="84">
        <v>871.39</v>
      </c>
      <c r="J2616" s="53">
        <v>894.37927292163056</v>
      </c>
      <c r="K2616" s="78">
        <v>1026.3823006020616</v>
      </c>
      <c r="L2616" s="84">
        <v>936.24333333333334</v>
      </c>
      <c r="M2616" s="53">
        <v>977.04857462182235</v>
      </c>
      <c r="N2616" s="78">
        <v>1043.5840126553521</v>
      </c>
    </row>
    <row r="2617" spans="1:14" ht="19.5" customHeight="1" outlineLevel="1" x14ac:dyDescent="0.2">
      <c r="A2617" s="101">
        <v>29</v>
      </c>
      <c r="B2617" s="81" t="s">
        <v>36</v>
      </c>
      <c r="C2617" s="84">
        <v>144.44</v>
      </c>
      <c r="D2617" s="53">
        <v>172.49732948417761</v>
      </c>
      <c r="E2617" s="78">
        <v>1194.2490271682193</v>
      </c>
      <c r="F2617" s="84">
        <v>148.76</v>
      </c>
      <c r="G2617" s="53">
        <v>159.69003135471439</v>
      </c>
      <c r="H2617" s="78">
        <v>1073.4742629383866</v>
      </c>
      <c r="I2617" s="84">
        <v>109.2</v>
      </c>
      <c r="J2617" s="53">
        <v>105.96030788427963</v>
      </c>
      <c r="K2617" s="78">
        <v>970.33248978278039</v>
      </c>
      <c r="L2617" s="84">
        <v>134.13333333333333</v>
      </c>
      <c r="M2617" s="53">
        <v>146.04922290772387</v>
      </c>
      <c r="N2617" s="78">
        <v>1088.836154878657</v>
      </c>
    </row>
    <row r="2618" spans="1:14" ht="19.5" customHeight="1" outlineLevel="1" x14ac:dyDescent="0.2">
      <c r="A2618" s="101">
        <v>30</v>
      </c>
      <c r="B2618" s="81" t="s">
        <v>37</v>
      </c>
      <c r="C2618" s="84">
        <v>297.98</v>
      </c>
      <c r="D2618" s="53">
        <v>245.5205702550542</v>
      </c>
      <c r="E2618" s="78">
        <v>823.94982970351759</v>
      </c>
      <c r="F2618" s="84">
        <v>291.09999999999997</v>
      </c>
      <c r="G2618" s="53">
        <v>269.52172554930951</v>
      </c>
      <c r="H2618" s="78">
        <v>925.87332720477343</v>
      </c>
      <c r="I2618" s="84">
        <v>263.61</v>
      </c>
      <c r="J2618" s="53">
        <v>222.28566753392812</v>
      </c>
      <c r="K2618" s="78">
        <v>843.23685571081569</v>
      </c>
      <c r="L2618" s="84">
        <v>284.22999999999996</v>
      </c>
      <c r="M2618" s="53">
        <v>245.77598777943058</v>
      </c>
      <c r="N2618" s="78">
        <v>864.70811589005598</v>
      </c>
    </row>
    <row r="2619" spans="1:14" ht="19.5" customHeight="1" outlineLevel="1" x14ac:dyDescent="0.2">
      <c r="A2619" s="101">
        <v>31</v>
      </c>
      <c r="B2619" s="81" t="s">
        <v>38</v>
      </c>
      <c r="C2619" s="84">
        <v>31.51</v>
      </c>
      <c r="D2619" s="53">
        <v>28.421392546108692</v>
      </c>
      <c r="E2619" s="78">
        <v>901.98008715038679</v>
      </c>
      <c r="F2619" s="84">
        <v>30.39</v>
      </c>
      <c r="G2619" s="53">
        <v>24.601678352998327</v>
      </c>
      <c r="H2619" s="78">
        <v>809.53202872649968</v>
      </c>
      <c r="I2619" s="84">
        <v>32.61</v>
      </c>
      <c r="J2619" s="53">
        <v>30.089683881860733</v>
      </c>
      <c r="K2619" s="78">
        <v>922.71339717450883</v>
      </c>
      <c r="L2619" s="84">
        <v>31.503333333333334</v>
      </c>
      <c r="M2619" s="53">
        <v>27.704251593655915</v>
      </c>
      <c r="N2619" s="78">
        <v>879.40699165133572</v>
      </c>
    </row>
    <row r="2620" spans="1:14" ht="19.5" customHeight="1" outlineLevel="1" x14ac:dyDescent="0.2">
      <c r="A2620" s="101">
        <v>32</v>
      </c>
      <c r="B2620" s="81" t="s">
        <v>39</v>
      </c>
      <c r="C2620" s="84">
        <v>188.35000000000002</v>
      </c>
      <c r="D2620" s="53">
        <v>129.38798352767861</v>
      </c>
      <c r="E2620" s="78">
        <v>686.95504925765124</v>
      </c>
      <c r="F2620" s="84">
        <v>220.23000000000002</v>
      </c>
      <c r="G2620" s="53">
        <v>152.25567921501681</v>
      </c>
      <c r="H2620" s="78">
        <v>691.34849573181123</v>
      </c>
      <c r="I2620" s="84">
        <v>205.82</v>
      </c>
      <c r="J2620" s="53">
        <v>140.19274134656158</v>
      </c>
      <c r="K2620" s="78">
        <v>681.14246111437944</v>
      </c>
      <c r="L2620" s="84">
        <v>204.80000000000004</v>
      </c>
      <c r="M2620" s="53">
        <v>140.61213469641902</v>
      </c>
      <c r="N2620" s="78">
        <v>686.58268894735841</v>
      </c>
    </row>
    <row r="2621" spans="1:14" ht="19.5" customHeight="1" outlineLevel="1" thickBot="1" x14ac:dyDescent="0.25">
      <c r="A2621" s="102">
        <v>33</v>
      </c>
      <c r="B2621" s="91" t="s">
        <v>40</v>
      </c>
      <c r="C2621" s="92">
        <v>183.21</v>
      </c>
      <c r="D2621" s="93">
        <v>156.18889277552137</v>
      </c>
      <c r="E2621" s="94">
        <v>852.51292383342275</v>
      </c>
      <c r="F2621" s="92">
        <v>153.13</v>
      </c>
      <c r="G2621" s="93">
        <v>148.36451744560208</v>
      </c>
      <c r="H2621" s="94">
        <v>968.87949745707624</v>
      </c>
      <c r="I2621" s="92">
        <v>148.13999999999999</v>
      </c>
      <c r="J2621" s="93">
        <v>131.80785258391046</v>
      </c>
      <c r="K2621" s="94">
        <v>889.75194129816703</v>
      </c>
      <c r="L2621" s="92">
        <v>161.49333333333334</v>
      </c>
      <c r="M2621" s="93">
        <v>145.45375426834462</v>
      </c>
      <c r="N2621" s="94">
        <v>900.67962104737842</v>
      </c>
    </row>
    <row r="2622" spans="1:14" ht="19.5" customHeight="1" thickBot="1" x14ac:dyDescent="0.25">
      <c r="A2622" s="151" t="s">
        <v>41</v>
      </c>
      <c r="B2622" s="152"/>
      <c r="C2622" s="96">
        <v>13103.880000000001</v>
      </c>
      <c r="D2622" s="97">
        <v>18108.586865242072</v>
      </c>
      <c r="E2622" s="98">
        <v>1381.9255720627837</v>
      </c>
      <c r="F2622" s="96">
        <v>10892.779999999997</v>
      </c>
      <c r="G2622" s="97">
        <v>15512.964322099506</v>
      </c>
      <c r="H2622" s="98">
        <v>1424.1510727380439</v>
      </c>
      <c r="I2622" s="96">
        <v>14063.24</v>
      </c>
      <c r="J2622" s="97">
        <v>21285.725688731243</v>
      </c>
      <c r="K2622" s="98">
        <v>1513.5719570121282</v>
      </c>
      <c r="L2622" s="96">
        <v>12686.633333333331</v>
      </c>
      <c r="M2622" s="97">
        <v>18302.425625357606</v>
      </c>
      <c r="N2622" s="98">
        <v>1442.6542601549879</v>
      </c>
    </row>
    <row r="2623" spans="1:14" ht="34.5" customHeight="1" x14ac:dyDescent="0.2">
      <c r="A2623" s="153" t="s">
        <v>247</v>
      </c>
      <c r="B2623" s="154"/>
      <c r="C2623" s="154"/>
      <c r="D2623" s="154"/>
      <c r="E2623" s="154"/>
      <c r="F2623" s="154"/>
      <c r="G2623" s="154"/>
      <c r="H2623" s="154"/>
      <c r="I2623" s="154"/>
      <c r="J2623" s="154"/>
      <c r="K2623" s="154"/>
      <c r="L2623" s="154"/>
      <c r="M2623" s="154"/>
      <c r="N2623" s="154"/>
    </row>
    <row r="2624" spans="1:14" ht="19.5" customHeight="1" thickBot="1" x14ac:dyDescent="0.25">
      <c r="A2624" s="50"/>
      <c r="B2624" s="51" t="s">
        <v>111</v>
      </c>
      <c r="C2624" s="52"/>
      <c r="D2624" s="52"/>
      <c r="E2624" s="52"/>
      <c r="F2624" s="52"/>
      <c r="G2624" s="52"/>
      <c r="H2624" s="52"/>
      <c r="I2624" s="52"/>
      <c r="J2624" s="52"/>
      <c r="K2624" s="155" t="s">
        <v>1</v>
      </c>
      <c r="L2624" s="154"/>
      <c r="M2624" s="154"/>
      <c r="N2624" s="154"/>
    </row>
    <row r="2625" spans="1:14" ht="19.5" customHeight="1" x14ac:dyDescent="0.2">
      <c r="A2625" s="156" t="s">
        <v>2</v>
      </c>
      <c r="B2625" s="158" t="s">
        <v>3</v>
      </c>
      <c r="C2625" s="148" t="s">
        <v>243</v>
      </c>
      <c r="D2625" s="149"/>
      <c r="E2625" s="150"/>
      <c r="F2625" s="148" t="s">
        <v>244</v>
      </c>
      <c r="G2625" s="149"/>
      <c r="H2625" s="150"/>
      <c r="I2625" s="148" t="s">
        <v>246</v>
      </c>
      <c r="J2625" s="149"/>
      <c r="K2625" s="150"/>
      <c r="L2625" s="148" t="s">
        <v>4</v>
      </c>
      <c r="M2625" s="149"/>
      <c r="N2625" s="150"/>
    </row>
    <row r="2626" spans="1:14" ht="19.5" customHeight="1" thickBot="1" x14ac:dyDescent="0.25">
      <c r="A2626" s="157"/>
      <c r="B2626" s="159"/>
      <c r="C2626" s="85" t="s">
        <v>5</v>
      </c>
      <c r="D2626" s="79" t="s">
        <v>6</v>
      </c>
      <c r="E2626" s="80" t="s">
        <v>7</v>
      </c>
      <c r="F2626" s="85" t="s">
        <v>5</v>
      </c>
      <c r="G2626" s="79" t="s">
        <v>6</v>
      </c>
      <c r="H2626" s="80" t="s">
        <v>7</v>
      </c>
      <c r="I2626" s="85" t="s">
        <v>5</v>
      </c>
      <c r="J2626" s="79" t="s">
        <v>6</v>
      </c>
      <c r="K2626" s="80" t="s">
        <v>7</v>
      </c>
      <c r="L2626" s="85" t="s">
        <v>5</v>
      </c>
      <c r="M2626" s="79" t="s">
        <v>6</v>
      </c>
      <c r="N2626" s="80" t="s">
        <v>7</v>
      </c>
    </row>
    <row r="2627" spans="1:14" ht="19.5" customHeight="1" outlineLevel="1" x14ac:dyDescent="0.2">
      <c r="A2627" s="100">
        <v>1</v>
      </c>
      <c r="B2627" s="86" t="s">
        <v>8</v>
      </c>
      <c r="C2627" s="87">
        <v>1029.48</v>
      </c>
      <c r="D2627" s="88">
        <v>1463.7627064159528</v>
      </c>
      <c r="E2627" s="89">
        <v>1421.8466666821628</v>
      </c>
      <c r="F2627" s="87">
        <v>1085.9499999999998</v>
      </c>
      <c r="G2627" s="88">
        <v>1683.0835243970591</v>
      </c>
      <c r="H2627" s="89">
        <v>1549.8720239394627</v>
      </c>
      <c r="I2627" s="87">
        <v>1249.7199999999998</v>
      </c>
      <c r="J2627" s="88">
        <v>2179.6783229170042</v>
      </c>
      <c r="K2627" s="89">
        <v>1744.1333442027051</v>
      </c>
      <c r="L2627" s="87">
        <v>1121.7166666666665</v>
      </c>
      <c r="M2627" s="88">
        <v>1775.508184576672</v>
      </c>
      <c r="N2627" s="89">
        <v>1582.8490717293485</v>
      </c>
    </row>
    <row r="2628" spans="1:14" ht="19.5" customHeight="1" outlineLevel="1" x14ac:dyDescent="0.2">
      <c r="A2628" s="101">
        <v>2</v>
      </c>
      <c r="B2628" s="81" t="s">
        <v>9</v>
      </c>
      <c r="C2628" s="84">
        <v>3910.56</v>
      </c>
      <c r="D2628" s="53">
        <v>9733.0960774722425</v>
      </c>
      <c r="E2628" s="78">
        <v>2488.9264139847601</v>
      </c>
      <c r="F2628" s="84">
        <v>4028.9299999999994</v>
      </c>
      <c r="G2628" s="53">
        <v>10286.902118228429</v>
      </c>
      <c r="H2628" s="78">
        <v>2553.2590832375913</v>
      </c>
      <c r="I2628" s="84">
        <v>3822.5299999999997</v>
      </c>
      <c r="J2628" s="53">
        <v>9994.2004085866211</v>
      </c>
      <c r="K2628" s="78">
        <v>2614.5512026293113</v>
      </c>
      <c r="L2628" s="84">
        <v>3920.6733333333336</v>
      </c>
      <c r="M2628" s="53">
        <v>10004.732868095763</v>
      </c>
      <c r="N2628" s="78">
        <v>2551.7894548969725</v>
      </c>
    </row>
    <row r="2629" spans="1:14" ht="19.5" customHeight="1" outlineLevel="1" x14ac:dyDescent="0.2">
      <c r="A2629" s="101">
        <v>3</v>
      </c>
      <c r="B2629" s="81" t="s">
        <v>10</v>
      </c>
      <c r="C2629" s="84">
        <v>1297.78</v>
      </c>
      <c r="D2629" s="53">
        <v>2245.1133610356364</v>
      </c>
      <c r="E2629" s="78">
        <v>1729.9645248313557</v>
      </c>
      <c r="F2629" s="84">
        <v>1200.6999999999998</v>
      </c>
      <c r="G2629" s="53">
        <v>2159.6074247777724</v>
      </c>
      <c r="H2629" s="78">
        <v>1798.6236568483157</v>
      </c>
      <c r="I2629" s="84">
        <v>1568.76</v>
      </c>
      <c r="J2629" s="53">
        <v>2530.348773437373</v>
      </c>
      <c r="K2629" s="78">
        <v>1612.9610478577813</v>
      </c>
      <c r="L2629" s="84">
        <v>1355.7466666666667</v>
      </c>
      <c r="M2629" s="53">
        <v>2311.6898530835938</v>
      </c>
      <c r="N2629" s="78">
        <v>1705.1045817927591</v>
      </c>
    </row>
    <row r="2630" spans="1:14" ht="19.5" customHeight="1" outlineLevel="1" x14ac:dyDescent="0.2">
      <c r="A2630" s="101">
        <v>4</v>
      </c>
      <c r="B2630" s="81" t="s">
        <v>11</v>
      </c>
      <c r="C2630" s="84">
        <v>1029.97</v>
      </c>
      <c r="D2630" s="53">
        <v>2776.0968356302196</v>
      </c>
      <c r="E2630" s="78">
        <v>2695.3181506550864</v>
      </c>
      <c r="F2630" s="84">
        <v>1050.22</v>
      </c>
      <c r="G2630" s="53">
        <v>2878.8129888467674</v>
      </c>
      <c r="H2630" s="78">
        <v>2741.152319368101</v>
      </c>
      <c r="I2630" s="84">
        <v>1071.67</v>
      </c>
      <c r="J2630" s="53">
        <v>3025.6364184859235</v>
      </c>
      <c r="K2630" s="78">
        <v>2823.2911423161268</v>
      </c>
      <c r="L2630" s="84">
        <v>1050.6200000000001</v>
      </c>
      <c r="M2630" s="53">
        <v>2893.5154143209697</v>
      </c>
      <c r="N2630" s="78">
        <v>2754.1027339294606</v>
      </c>
    </row>
    <row r="2631" spans="1:14" ht="19.5" customHeight="1" outlineLevel="1" x14ac:dyDescent="0.2">
      <c r="A2631" s="101">
        <v>5</v>
      </c>
      <c r="B2631" s="81" t="s">
        <v>12</v>
      </c>
      <c r="C2631" s="84">
        <v>1328.9499999999998</v>
      </c>
      <c r="D2631" s="53">
        <v>3734.550391361488</v>
      </c>
      <c r="E2631" s="78">
        <v>2810.1511654776241</v>
      </c>
      <c r="F2631" s="84">
        <v>1260.4899999999998</v>
      </c>
      <c r="G2631" s="53">
        <v>3587.0069580913118</v>
      </c>
      <c r="H2631" s="78">
        <v>2845.7242485789752</v>
      </c>
      <c r="I2631" s="84">
        <v>1216.1400000000001</v>
      </c>
      <c r="J2631" s="53">
        <v>3540.2898883824155</v>
      </c>
      <c r="K2631" s="78">
        <v>2911.0874474833613</v>
      </c>
      <c r="L2631" s="84">
        <v>1268.5266666666666</v>
      </c>
      <c r="M2631" s="53">
        <v>3620.6157459450719</v>
      </c>
      <c r="N2631" s="78">
        <v>2854.1896998184811</v>
      </c>
    </row>
    <row r="2632" spans="1:14" ht="19.5" customHeight="1" outlineLevel="1" x14ac:dyDescent="0.2">
      <c r="A2632" s="101">
        <v>6</v>
      </c>
      <c r="B2632" s="81" t="s">
        <v>13</v>
      </c>
      <c r="C2632" s="84">
        <v>1520.8799999999999</v>
      </c>
      <c r="D2632" s="53">
        <v>3864.9327964175736</v>
      </c>
      <c r="E2632" s="78">
        <v>2541.2476963452564</v>
      </c>
      <c r="F2632" s="84">
        <v>1478.8400000000001</v>
      </c>
      <c r="G2632" s="53">
        <v>4026.2099368595295</v>
      </c>
      <c r="H2632" s="78">
        <v>2722.5460069105034</v>
      </c>
      <c r="I2632" s="84">
        <v>1523.1000000000001</v>
      </c>
      <c r="J2632" s="53">
        <v>4048.4160981444143</v>
      </c>
      <c r="K2632" s="78">
        <v>2658.010700639757</v>
      </c>
      <c r="L2632" s="84">
        <v>1507.6066666666668</v>
      </c>
      <c r="M2632" s="53">
        <v>3979.8529438071728</v>
      </c>
      <c r="N2632" s="78">
        <v>2639.8483316650932</v>
      </c>
    </row>
    <row r="2633" spans="1:14" ht="19.5" customHeight="1" outlineLevel="1" x14ac:dyDescent="0.2">
      <c r="A2633" s="101">
        <v>7</v>
      </c>
      <c r="B2633" s="81" t="s">
        <v>14</v>
      </c>
      <c r="C2633" s="84">
        <v>578.64999999999986</v>
      </c>
      <c r="D2633" s="53">
        <v>1810.1496681181975</v>
      </c>
      <c r="E2633" s="78">
        <v>3128.228926152593</v>
      </c>
      <c r="F2633" s="84">
        <v>553.38</v>
      </c>
      <c r="G2633" s="53">
        <v>1717.6399667209221</v>
      </c>
      <c r="H2633" s="78">
        <v>3103.9068392802815</v>
      </c>
      <c r="I2633" s="84">
        <v>520.27</v>
      </c>
      <c r="J2633" s="53">
        <v>1583.286400902045</v>
      </c>
      <c r="K2633" s="78">
        <v>3043.2014163838871</v>
      </c>
      <c r="L2633" s="84">
        <v>550.76666666666654</v>
      </c>
      <c r="M2633" s="53">
        <v>1703.6920119137214</v>
      </c>
      <c r="N2633" s="78">
        <v>3093.3099532416422</v>
      </c>
    </row>
    <row r="2634" spans="1:14" ht="19.5" customHeight="1" outlineLevel="1" x14ac:dyDescent="0.2">
      <c r="A2634" s="101">
        <v>8</v>
      </c>
      <c r="B2634" s="81" t="s">
        <v>15</v>
      </c>
      <c r="C2634" s="84">
        <v>4229.9399999999996</v>
      </c>
      <c r="D2634" s="53">
        <v>9548.1764075777755</v>
      </c>
      <c r="E2634" s="78">
        <v>2257.284124024874</v>
      </c>
      <c r="F2634" s="84">
        <v>4036.1800000000003</v>
      </c>
      <c r="G2634" s="53">
        <v>9072.5071469384584</v>
      </c>
      <c r="H2634" s="78">
        <v>2247.7954766483304</v>
      </c>
      <c r="I2634" s="84">
        <v>4255.34</v>
      </c>
      <c r="J2634" s="53">
        <v>9474.0338360246824</v>
      </c>
      <c r="K2634" s="78">
        <v>2226.3870421692936</v>
      </c>
      <c r="L2634" s="84">
        <v>4173.82</v>
      </c>
      <c r="M2634" s="53">
        <v>9364.9057968469715</v>
      </c>
      <c r="N2634" s="78">
        <v>2243.7253635391494</v>
      </c>
    </row>
    <row r="2635" spans="1:14" ht="19.5" customHeight="1" outlineLevel="1" x14ac:dyDescent="0.2">
      <c r="A2635" s="101">
        <v>9</v>
      </c>
      <c r="B2635" s="81" t="s">
        <v>16</v>
      </c>
      <c r="C2635" s="84">
        <v>970.25</v>
      </c>
      <c r="D2635" s="53">
        <v>2119.7433794542108</v>
      </c>
      <c r="E2635" s="78">
        <v>2184.7393758868443</v>
      </c>
      <c r="F2635" s="84">
        <v>738.75</v>
      </c>
      <c r="G2635" s="53">
        <v>1536.28755154958</v>
      </c>
      <c r="H2635" s="78">
        <v>2079.5770579351338</v>
      </c>
      <c r="I2635" s="84">
        <v>1379.7600000000002</v>
      </c>
      <c r="J2635" s="53">
        <v>2706.1632883467664</v>
      </c>
      <c r="K2635" s="78">
        <v>1961.3289908004044</v>
      </c>
      <c r="L2635" s="84">
        <v>1029.5866666666668</v>
      </c>
      <c r="M2635" s="53">
        <v>2120.7314064501857</v>
      </c>
      <c r="N2635" s="78">
        <v>2059.7891125728629</v>
      </c>
    </row>
    <row r="2636" spans="1:14" ht="19.5" customHeight="1" outlineLevel="1" x14ac:dyDescent="0.2">
      <c r="A2636" s="101">
        <v>10</v>
      </c>
      <c r="B2636" s="81" t="s">
        <v>17</v>
      </c>
      <c r="C2636" s="84">
        <v>796.65000000000009</v>
      </c>
      <c r="D2636" s="53">
        <v>2156.6039169291544</v>
      </c>
      <c r="E2636" s="78">
        <v>2707.090839049964</v>
      </c>
      <c r="F2636" s="84">
        <v>514.56999999999994</v>
      </c>
      <c r="G2636" s="53">
        <v>1372.7223640759162</v>
      </c>
      <c r="H2636" s="78">
        <v>2667.7077250440489</v>
      </c>
      <c r="I2636" s="84">
        <v>948.78</v>
      </c>
      <c r="J2636" s="53">
        <v>2859.6933903158833</v>
      </c>
      <c r="K2636" s="78">
        <v>3014.0742746641827</v>
      </c>
      <c r="L2636" s="84">
        <v>753.33333333333337</v>
      </c>
      <c r="M2636" s="53">
        <v>2129.673223773651</v>
      </c>
      <c r="N2636" s="78">
        <v>2826.9998545667931</v>
      </c>
    </row>
    <row r="2637" spans="1:14" ht="19.5" customHeight="1" outlineLevel="1" x14ac:dyDescent="0.2">
      <c r="A2637" s="101">
        <v>11</v>
      </c>
      <c r="B2637" s="81" t="s">
        <v>18</v>
      </c>
      <c r="C2637" s="84">
        <v>1741.77</v>
      </c>
      <c r="D2637" s="53">
        <v>5108.2137996217061</v>
      </c>
      <c r="E2637" s="78">
        <v>2932.7717205036865</v>
      </c>
      <c r="F2637" s="84">
        <v>1550.4</v>
      </c>
      <c r="G2637" s="53">
        <v>4896.979434324322</v>
      </c>
      <c r="H2637" s="78">
        <v>3158.5264669274525</v>
      </c>
      <c r="I2637" s="84">
        <v>2308.5100000000002</v>
      </c>
      <c r="J2637" s="53">
        <v>7341.2556624043536</v>
      </c>
      <c r="K2637" s="78">
        <v>3180.0839772859345</v>
      </c>
      <c r="L2637" s="84">
        <v>1866.8933333333334</v>
      </c>
      <c r="M2637" s="53">
        <v>5782.1496321167942</v>
      </c>
      <c r="N2637" s="78">
        <v>3097.2040709968046</v>
      </c>
    </row>
    <row r="2638" spans="1:14" ht="19.5" customHeight="1" outlineLevel="1" x14ac:dyDescent="0.2">
      <c r="A2638" s="101">
        <v>12</v>
      </c>
      <c r="B2638" s="81" t="s">
        <v>19</v>
      </c>
      <c r="C2638" s="84">
        <v>1244.7</v>
      </c>
      <c r="D2638" s="53">
        <v>3172.3236358355198</v>
      </c>
      <c r="E2638" s="78">
        <v>2548.665249325556</v>
      </c>
      <c r="F2638" s="84">
        <v>926.4</v>
      </c>
      <c r="G2638" s="53">
        <v>2516.3931831427226</v>
      </c>
      <c r="H2638" s="78">
        <v>2716.3138850849768</v>
      </c>
      <c r="I2638" s="84">
        <v>1269.1599999999999</v>
      </c>
      <c r="J2638" s="53">
        <v>3309.0830911978164</v>
      </c>
      <c r="K2638" s="78">
        <v>2607.3017517080725</v>
      </c>
      <c r="L2638" s="84">
        <v>1146.7533333333333</v>
      </c>
      <c r="M2638" s="53">
        <v>2999.2666367253528</v>
      </c>
      <c r="N2638" s="78">
        <v>2615.4418300291427</v>
      </c>
    </row>
    <row r="2639" spans="1:14" ht="19.5" customHeight="1" outlineLevel="1" x14ac:dyDescent="0.2">
      <c r="A2639" s="101">
        <v>13</v>
      </c>
      <c r="B2639" s="81" t="s">
        <v>20</v>
      </c>
      <c r="C2639" s="84">
        <v>746.37999999999988</v>
      </c>
      <c r="D2639" s="53">
        <v>1341.8047852142213</v>
      </c>
      <c r="E2639" s="78">
        <v>1797.7501878590283</v>
      </c>
      <c r="F2639" s="84">
        <v>284.61</v>
      </c>
      <c r="G2639" s="53">
        <v>547.72237476911369</v>
      </c>
      <c r="H2639" s="78">
        <v>1924.4663742282903</v>
      </c>
      <c r="I2639" s="84">
        <v>864.73</v>
      </c>
      <c r="J2639" s="53">
        <v>1889.8054028774518</v>
      </c>
      <c r="K2639" s="78">
        <v>2185.4282873006046</v>
      </c>
      <c r="L2639" s="84">
        <v>631.90666666666664</v>
      </c>
      <c r="M2639" s="53">
        <v>1259.7775209535955</v>
      </c>
      <c r="N2639" s="78">
        <v>1993.6132777313032</v>
      </c>
    </row>
    <row r="2640" spans="1:14" ht="19.5" customHeight="1" outlineLevel="1" x14ac:dyDescent="0.2">
      <c r="A2640" s="101">
        <v>14</v>
      </c>
      <c r="B2640" s="81" t="s">
        <v>21</v>
      </c>
      <c r="C2640" s="84">
        <v>821.35000000000014</v>
      </c>
      <c r="D2640" s="53">
        <v>2095.8688955884732</v>
      </c>
      <c r="E2640" s="78">
        <v>2551.7366477000946</v>
      </c>
      <c r="F2640" s="84">
        <v>659.45</v>
      </c>
      <c r="G2640" s="53">
        <v>1539.9885652797993</v>
      </c>
      <c r="H2640" s="78">
        <v>2335.2620597161258</v>
      </c>
      <c r="I2640" s="84">
        <v>895.89</v>
      </c>
      <c r="J2640" s="53">
        <v>2275.4405838223215</v>
      </c>
      <c r="K2640" s="78">
        <v>2539.8660369267673</v>
      </c>
      <c r="L2640" s="84">
        <v>792.23</v>
      </c>
      <c r="M2640" s="53">
        <v>1970.4326815635313</v>
      </c>
      <c r="N2640" s="78">
        <v>2487.1977602003599</v>
      </c>
    </row>
    <row r="2641" spans="1:14" ht="19.5" customHeight="1" outlineLevel="1" x14ac:dyDescent="0.2">
      <c r="A2641" s="101">
        <v>15</v>
      </c>
      <c r="B2641" s="81" t="s">
        <v>22</v>
      </c>
      <c r="C2641" s="84">
        <v>1930.25</v>
      </c>
      <c r="D2641" s="53">
        <v>5630.2499729936808</v>
      </c>
      <c r="E2641" s="78">
        <v>2916.8501349533381</v>
      </c>
      <c r="F2641" s="84">
        <v>2032.09</v>
      </c>
      <c r="G2641" s="53">
        <v>5822.2641767161167</v>
      </c>
      <c r="H2641" s="78">
        <v>2865.1605867437547</v>
      </c>
      <c r="I2641" s="84">
        <v>2429.9699999999998</v>
      </c>
      <c r="J2641" s="53">
        <v>6733.6195293289038</v>
      </c>
      <c r="K2641" s="78">
        <v>2771.0710540989826</v>
      </c>
      <c r="L2641" s="84">
        <v>2130.77</v>
      </c>
      <c r="M2641" s="53">
        <v>6062.0445596795662</v>
      </c>
      <c r="N2641" s="78">
        <v>2845.0018348670042</v>
      </c>
    </row>
    <row r="2642" spans="1:14" ht="19.5" customHeight="1" outlineLevel="1" x14ac:dyDescent="0.2">
      <c r="A2642" s="101">
        <v>16</v>
      </c>
      <c r="B2642" s="81" t="s">
        <v>23</v>
      </c>
      <c r="C2642" s="84">
        <v>999.74</v>
      </c>
      <c r="D2642" s="53">
        <v>2977.8354782072115</v>
      </c>
      <c r="E2642" s="78">
        <v>2978.6099167855755</v>
      </c>
      <c r="F2642" s="84">
        <v>1047.95</v>
      </c>
      <c r="G2642" s="53">
        <v>2982.1718675898105</v>
      </c>
      <c r="H2642" s="78">
        <v>2845.719612185515</v>
      </c>
      <c r="I2642" s="84">
        <v>1058.24</v>
      </c>
      <c r="J2642" s="53">
        <v>3226.2406389580119</v>
      </c>
      <c r="K2642" s="78">
        <v>3048.6852121995121</v>
      </c>
      <c r="L2642" s="84">
        <v>1035.3100000000002</v>
      </c>
      <c r="M2642" s="53">
        <v>3062.0826615850115</v>
      </c>
      <c r="N2642" s="78">
        <v>2957.6481069293363</v>
      </c>
    </row>
    <row r="2643" spans="1:14" ht="19.5" customHeight="1" outlineLevel="1" x14ac:dyDescent="0.2">
      <c r="A2643" s="101">
        <v>17</v>
      </c>
      <c r="B2643" s="81" t="s">
        <v>24</v>
      </c>
      <c r="C2643" s="84">
        <v>1283.95</v>
      </c>
      <c r="D2643" s="53">
        <v>2946.6078800725636</v>
      </c>
      <c r="E2643" s="78">
        <v>2294.9553176311874</v>
      </c>
      <c r="F2643" s="84">
        <v>1260.05</v>
      </c>
      <c r="G2643" s="53">
        <v>3085.6208116418243</v>
      </c>
      <c r="H2643" s="78">
        <v>2448.8082311351332</v>
      </c>
      <c r="I2643" s="84">
        <v>1499.05</v>
      </c>
      <c r="J2643" s="53">
        <v>3638.4754075159044</v>
      </c>
      <c r="K2643" s="78">
        <v>2427.1874904212032</v>
      </c>
      <c r="L2643" s="84">
        <v>1347.6833333333334</v>
      </c>
      <c r="M2643" s="53">
        <v>3223.5680330767646</v>
      </c>
      <c r="N2643" s="78">
        <v>2391.9328475359675</v>
      </c>
    </row>
    <row r="2644" spans="1:14" ht="19.5" customHeight="1" outlineLevel="1" x14ac:dyDescent="0.2">
      <c r="A2644" s="101">
        <v>18</v>
      </c>
      <c r="B2644" s="81" t="s">
        <v>25</v>
      </c>
      <c r="C2644" s="84">
        <v>746.73</v>
      </c>
      <c r="D2644" s="53">
        <v>1715.2244146650144</v>
      </c>
      <c r="E2644" s="78">
        <v>2296.9807221686742</v>
      </c>
      <c r="F2644" s="84">
        <v>573.20000000000005</v>
      </c>
      <c r="G2644" s="53">
        <v>1532.5441165978323</v>
      </c>
      <c r="H2644" s="78">
        <v>2673.6638461232242</v>
      </c>
      <c r="I2644" s="84">
        <v>775.30000000000018</v>
      </c>
      <c r="J2644" s="53">
        <v>2348.4914190751651</v>
      </c>
      <c r="K2644" s="78">
        <v>3029.1389385723778</v>
      </c>
      <c r="L2644" s="84">
        <v>698.4100000000002</v>
      </c>
      <c r="M2644" s="53">
        <v>1865.4199834460039</v>
      </c>
      <c r="N2644" s="78">
        <v>2670.9525686144289</v>
      </c>
    </row>
    <row r="2645" spans="1:14" ht="19.5" customHeight="1" outlineLevel="1" x14ac:dyDescent="0.2">
      <c r="A2645" s="101">
        <v>19</v>
      </c>
      <c r="B2645" s="81" t="s">
        <v>26</v>
      </c>
      <c r="C2645" s="84">
        <v>259.24</v>
      </c>
      <c r="D2645" s="53">
        <v>740.25526459377966</v>
      </c>
      <c r="E2645" s="78">
        <v>2855.4824278420756</v>
      </c>
      <c r="F2645" s="84">
        <v>260.13</v>
      </c>
      <c r="G2645" s="53">
        <v>871.64830789286077</v>
      </c>
      <c r="H2645" s="78">
        <v>3350.8180828541913</v>
      </c>
      <c r="I2645" s="84">
        <v>502.52</v>
      </c>
      <c r="J2645" s="53">
        <v>1523.3544567540896</v>
      </c>
      <c r="K2645" s="78">
        <v>3031.4305037691825</v>
      </c>
      <c r="L2645" s="84">
        <v>340.63</v>
      </c>
      <c r="M2645" s="53">
        <v>1045.0860097469101</v>
      </c>
      <c r="N2645" s="78">
        <v>3068.097377644101</v>
      </c>
    </row>
    <row r="2646" spans="1:14" ht="19.5" customHeight="1" outlineLevel="1" x14ac:dyDescent="0.2">
      <c r="A2646" s="101">
        <v>20</v>
      </c>
      <c r="B2646" s="81" t="s">
        <v>27</v>
      </c>
      <c r="C2646" s="84">
        <v>2343.66</v>
      </c>
      <c r="D2646" s="53">
        <v>6493.6776628744965</v>
      </c>
      <c r="E2646" s="78">
        <v>2770.7421993269063</v>
      </c>
      <c r="F2646" s="84">
        <v>2337.9599999999996</v>
      </c>
      <c r="G2646" s="53">
        <v>6773.0610476660559</v>
      </c>
      <c r="H2646" s="78">
        <v>2896.9961195512574</v>
      </c>
      <c r="I2646" s="84">
        <v>2291.3200000000002</v>
      </c>
      <c r="J2646" s="53">
        <v>6389.0909645225547</v>
      </c>
      <c r="K2646" s="78">
        <v>2788.3887735115804</v>
      </c>
      <c r="L2646" s="84">
        <v>2324.313333333333</v>
      </c>
      <c r="M2646" s="53">
        <v>6551.9432250210348</v>
      </c>
      <c r="N2646" s="78">
        <v>2818.8726240385126</v>
      </c>
    </row>
    <row r="2647" spans="1:14" ht="19.5" customHeight="1" outlineLevel="1" x14ac:dyDescent="0.2">
      <c r="A2647" s="101">
        <v>21</v>
      </c>
      <c r="B2647" s="81" t="s">
        <v>28</v>
      </c>
      <c r="C2647" s="84">
        <v>2400.5500000000002</v>
      </c>
      <c r="D2647" s="53">
        <v>6970.4604659748802</v>
      </c>
      <c r="E2647" s="78">
        <v>2903.6930978212827</v>
      </c>
      <c r="F2647" s="84">
        <v>2370.9700000000003</v>
      </c>
      <c r="G2647" s="53">
        <v>6647.3704835885255</v>
      </c>
      <c r="H2647" s="78">
        <v>2803.6501868806963</v>
      </c>
      <c r="I2647" s="84">
        <v>2262.3399999999997</v>
      </c>
      <c r="J2647" s="53">
        <v>6161.2675813639717</v>
      </c>
      <c r="K2647" s="78">
        <v>2723.4047850296474</v>
      </c>
      <c r="L2647" s="84">
        <v>2344.6200000000003</v>
      </c>
      <c r="M2647" s="53">
        <v>6593.0328436424597</v>
      </c>
      <c r="N2647" s="78">
        <v>2811.9835383313539</v>
      </c>
    </row>
    <row r="2648" spans="1:14" ht="19.5" customHeight="1" outlineLevel="1" x14ac:dyDescent="0.2">
      <c r="A2648" s="101">
        <v>22</v>
      </c>
      <c r="B2648" s="81" t="s">
        <v>29</v>
      </c>
      <c r="C2648" s="84">
        <v>1589.58</v>
      </c>
      <c r="D2648" s="53">
        <v>2817.3509941505949</v>
      </c>
      <c r="E2648" s="78">
        <v>1772.3870419548527</v>
      </c>
      <c r="F2648" s="84">
        <v>1734.39</v>
      </c>
      <c r="G2648" s="53">
        <v>3893.3303580534325</v>
      </c>
      <c r="H2648" s="78">
        <v>2244.783674982808</v>
      </c>
      <c r="I2648" s="84">
        <v>1758.6000000000001</v>
      </c>
      <c r="J2648" s="53">
        <v>3312.4783944256915</v>
      </c>
      <c r="K2648" s="78">
        <v>1883.5883057123231</v>
      </c>
      <c r="L2648" s="84">
        <v>1694.1900000000003</v>
      </c>
      <c r="M2648" s="53">
        <v>3341.053248876573</v>
      </c>
      <c r="N2648" s="78">
        <v>1972.0652635634565</v>
      </c>
    </row>
    <row r="2649" spans="1:14" ht="19.5" customHeight="1" outlineLevel="1" x14ac:dyDescent="0.2">
      <c r="A2649" s="101">
        <v>23</v>
      </c>
      <c r="B2649" s="81" t="s">
        <v>30</v>
      </c>
      <c r="C2649" s="84">
        <v>1276.3899999999999</v>
      </c>
      <c r="D2649" s="53">
        <v>2949.1094069849482</v>
      </c>
      <c r="E2649" s="78">
        <v>2310.508079023612</v>
      </c>
      <c r="F2649" s="84">
        <v>1294.7</v>
      </c>
      <c r="G2649" s="53">
        <v>2785.2124263664282</v>
      </c>
      <c r="H2649" s="78">
        <v>2151.241543497666</v>
      </c>
      <c r="I2649" s="84">
        <v>1307.74</v>
      </c>
      <c r="J2649" s="53">
        <v>3032.3101970649168</v>
      </c>
      <c r="K2649" s="78">
        <v>2318.7408789705269</v>
      </c>
      <c r="L2649" s="84">
        <v>1292.9433333333334</v>
      </c>
      <c r="M2649" s="53">
        <v>2922.2106768054309</v>
      </c>
      <c r="N2649" s="78">
        <v>2260.122776820921</v>
      </c>
    </row>
    <row r="2650" spans="1:14" ht="19.5" customHeight="1" outlineLevel="1" x14ac:dyDescent="0.2">
      <c r="A2650" s="101">
        <v>24</v>
      </c>
      <c r="B2650" s="81" t="s">
        <v>31</v>
      </c>
      <c r="C2650" s="84">
        <v>3169.13</v>
      </c>
      <c r="D2650" s="53">
        <v>6106.3006341547753</v>
      </c>
      <c r="E2650" s="78">
        <v>1926.8066106959245</v>
      </c>
      <c r="F2650" s="84">
        <v>3139.99</v>
      </c>
      <c r="G2650" s="53">
        <v>5783.9537231435661</v>
      </c>
      <c r="H2650" s="78">
        <v>1842.0293450436361</v>
      </c>
      <c r="I2650" s="84">
        <v>3123.3900000000003</v>
      </c>
      <c r="J2650" s="53">
        <v>5266.414946028005</v>
      </c>
      <c r="K2650" s="78">
        <v>1686.1214725115994</v>
      </c>
      <c r="L2650" s="84">
        <v>3144.17</v>
      </c>
      <c r="M2650" s="53">
        <v>5718.8897677754494</v>
      </c>
      <c r="N2650" s="78">
        <v>1818.8869456089997</v>
      </c>
    </row>
    <row r="2651" spans="1:14" ht="19.5" customHeight="1" outlineLevel="1" x14ac:dyDescent="0.2">
      <c r="A2651" s="101">
        <v>25</v>
      </c>
      <c r="B2651" s="81" t="s">
        <v>32</v>
      </c>
      <c r="C2651" s="84">
        <v>1010.56</v>
      </c>
      <c r="D2651" s="53">
        <v>2142.3949156508129</v>
      </c>
      <c r="E2651" s="78">
        <v>2120.0076350249496</v>
      </c>
      <c r="F2651" s="84">
        <v>969.99</v>
      </c>
      <c r="G2651" s="53">
        <v>2025.0247326218312</v>
      </c>
      <c r="H2651" s="78">
        <v>2087.6758859594747</v>
      </c>
      <c r="I2651" s="84">
        <v>1006.1800000000001</v>
      </c>
      <c r="J2651" s="53">
        <v>2122.5937169804874</v>
      </c>
      <c r="K2651" s="78">
        <v>2109.5566568412087</v>
      </c>
      <c r="L2651" s="84">
        <v>995.57666666666671</v>
      </c>
      <c r="M2651" s="53">
        <v>2096.6711217510438</v>
      </c>
      <c r="N2651" s="78">
        <v>2105.9866024893881</v>
      </c>
    </row>
    <row r="2652" spans="1:14" ht="19.5" customHeight="1" outlineLevel="1" x14ac:dyDescent="0.2">
      <c r="A2652" s="101">
        <v>26</v>
      </c>
      <c r="B2652" s="81" t="s">
        <v>33</v>
      </c>
      <c r="C2652" s="84">
        <v>775.78</v>
      </c>
      <c r="D2652" s="53">
        <v>1287.3098077651971</v>
      </c>
      <c r="E2652" s="78">
        <v>1659.3748327685646</v>
      </c>
      <c r="F2652" s="84">
        <v>726.06</v>
      </c>
      <c r="G2652" s="53">
        <v>1355.1881123586074</v>
      </c>
      <c r="H2652" s="78">
        <v>1866.4960366341727</v>
      </c>
      <c r="I2652" s="84">
        <v>790.11999999999989</v>
      </c>
      <c r="J2652" s="53">
        <v>1343.9284698173369</v>
      </c>
      <c r="K2652" s="78">
        <v>1700.9169111240533</v>
      </c>
      <c r="L2652" s="84">
        <v>763.98666666666668</v>
      </c>
      <c r="M2652" s="53">
        <v>1328.8087966470473</v>
      </c>
      <c r="N2652" s="78">
        <v>1739.3088840735188</v>
      </c>
    </row>
    <row r="2653" spans="1:14" ht="19.5" customHeight="1" outlineLevel="1" x14ac:dyDescent="0.2">
      <c r="A2653" s="101">
        <v>27</v>
      </c>
      <c r="B2653" s="81" t="s">
        <v>34</v>
      </c>
      <c r="C2653" s="84">
        <v>461.18000000000006</v>
      </c>
      <c r="D2653" s="53">
        <v>617.82278851997955</v>
      </c>
      <c r="E2653" s="78">
        <v>1339.6565083481059</v>
      </c>
      <c r="F2653" s="84">
        <v>438.09000000000003</v>
      </c>
      <c r="G2653" s="53">
        <v>590.95271190834728</v>
      </c>
      <c r="H2653" s="78">
        <v>1348.9299274312293</v>
      </c>
      <c r="I2653" s="84">
        <v>496.81</v>
      </c>
      <c r="J2653" s="53">
        <v>757.87993605056738</v>
      </c>
      <c r="K2653" s="78">
        <v>1525.4925143426408</v>
      </c>
      <c r="L2653" s="84">
        <v>465.36000000000007</v>
      </c>
      <c r="M2653" s="53">
        <v>655.55181215963137</v>
      </c>
      <c r="N2653" s="78">
        <v>1408.6982382663557</v>
      </c>
    </row>
    <row r="2654" spans="1:14" ht="19.5" customHeight="1" outlineLevel="1" x14ac:dyDescent="0.2">
      <c r="A2654" s="101">
        <v>28</v>
      </c>
      <c r="B2654" s="81" t="s">
        <v>35</v>
      </c>
      <c r="C2654" s="84">
        <v>1490.48</v>
      </c>
      <c r="D2654" s="53">
        <v>1834.0862256204246</v>
      </c>
      <c r="E2654" s="78">
        <v>1230.5339391474054</v>
      </c>
      <c r="F2654" s="84">
        <v>1180.5</v>
      </c>
      <c r="G2654" s="53">
        <v>1673.0461327401617</v>
      </c>
      <c r="H2654" s="78">
        <v>1417.2351823296585</v>
      </c>
      <c r="I2654" s="84">
        <v>1302.49</v>
      </c>
      <c r="J2654" s="53">
        <v>1811.6834374807252</v>
      </c>
      <c r="K2654" s="78">
        <v>1390.9384620847186</v>
      </c>
      <c r="L2654" s="84">
        <v>1324.49</v>
      </c>
      <c r="M2654" s="53">
        <v>1772.9385986137704</v>
      </c>
      <c r="N2654" s="78">
        <v>1338.5820947034485</v>
      </c>
    </row>
    <row r="2655" spans="1:14" ht="19.5" customHeight="1" outlineLevel="1" x14ac:dyDescent="0.2">
      <c r="A2655" s="101">
        <v>29</v>
      </c>
      <c r="B2655" s="81" t="s">
        <v>36</v>
      </c>
      <c r="C2655" s="84">
        <v>854.08000000000015</v>
      </c>
      <c r="D2655" s="53">
        <v>1756.6101052519912</v>
      </c>
      <c r="E2655" s="78">
        <v>2056.7278302407162</v>
      </c>
      <c r="F2655" s="84">
        <v>883.78000000000009</v>
      </c>
      <c r="G2655" s="53">
        <v>1843.4006852794087</v>
      </c>
      <c r="H2655" s="78">
        <v>2085.8139868286321</v>
      </c>
      <c r="I2655" s="84">
        <v>959.8900000000001</v>
      </c>
      <c r="J2655" s="53">
        <v>1854.6544474347297</v>
      </c>
      <c r="K2655" s="78">
        <v>1932.1531086215393</v>
      </c>
      <c r="L2655" s="84">
        <v>899.25</v>
      </c>
      <c r="M2655" s="53">
        <v>1818.2217459887099</v>
      </c>
      <c r="N2655" s="78">
        <v>2021.9313272045704</v>
      </c>
    </row>
    <row r="2656" spans="1:14" ht="19.5" customHeight="1" outlineLevel="1" x14ac:dyDescent="0.2">
      <c r="A2656" s="101">
        <v>30</v>
      </c>
      <c r="B2656" s="81" t="s">
        <v>37</v>
      </c>
      <c r="C2656" s="84">
        <v>689.1</v>
      </c>
      <c r="D2656" s="53">
        <v>840.26097182094895</v>
      </c>
      <c r="E2656" s="78">
        <v>1219.359993935494</v>
      </c>
      <c r="F2656" s="84">
        <v>702.43999999999994</v>
      </c>
      <c r="G2656" s="53">
        <v>988.33511442599649</v>
      </c>
      <c r="H2656" s="78">
        <v>1407.0028962274309</v>
      </c>
      <c r="I2656" s="84">
        <v>676.45</v>
      </c>
      <c r="J2656" s="53">
        <v>772.46078896565768</v>
      </c>
      <c r="K2656" s="78">
        <v>1141.9333120935141</v>
      </c>
      <c r="L2656" s="84">
        <v>689.32999999999993</v>
      </c>
      <c r="M2656" s="53">
        <v>867.01895840420104</v>
      </c>
      <c r="N2656" s="78">
        <v>1257.770528490275</v>
      </c>
    </row>
    <row r="2657" spans="1:14" ht="19.5" customHeight="1" outlineLevel="1" x14ac:dyDescent="0.2">
      <c r="A2657" s="101">
        <v>31</v>
      </c>
      <c r="B2657" s="81" t="s">
        <v>38</v>
      </c>
      <c r="C2657" s="84">
        <v>546.35</v>
      </c>
      <c r="D2657" s="53">
        <v>1520.8781464540093</v>
      </c>
      <c r="E2657" s="78">
        <v>2783.7066833604999</v>
      </c>
      <c r="F2657" s="84">
        <v>539.65</v>
      </c>
      <c r="G2657" s="53">
        <v>1516.1469574340631</v>
      </c>
      <c r="H2657" s="78">
        <v>2809.500523365261</v>
      </c>
      <c r="I2657" s="84">
        <v>543.29</v>
      </c>
      <c r="J2657" s="53">
        <v>1557.7418673751774</v>
      </c>
      <c r="K2657" s="78">
        <v>2867.2382472991908</v>
      </c>
      <c r="L2657" s="84">
        <v>543.09666666666669</v>
      </c>
      <c r="M2657" s="53">
        <v>1531.5889904210833</v>
      </c>
      <c r="N2657" s="78">
        <v>2820.1038312781948</v>
      </c>
    </row>
    <row r="2658" spans="1:14" ht="19.5" customHeight="1" outlineLevel="1" x14ac:dyDescent="0.2">
      <c r="A2658" s="101">
        <v>32</v>
      </c>
      <c r="B2658" s="81" t="s">
        <v>39</v>
      </c>
      <c r="C2658" s="84">
        <v>973.18999999999994</v>
      </c>
      <c r="D2658" s="53">
        <v>2123.2928552144131</v>
      </c>
      <c r="E2658" s="78">
        <v>2181.7865526920882</v>
      </c>
      <c r="F2658" s="84">
        <v>1004.26</v>
      </c>
      <c r="G2658" s="53">
        <v>2292.1542047208145</v>
      </c>
      <c r="H2658" s="78">
        <v>2282.4310484543989</v>
      </c>
      <c r="I2658" s="84">
        <v>985.24</v>
      </c>
      <c r="J2658" s="53">
        <v>2097.9957913383728</v>
      </c>
      <c r="K2658" s="78">
        <v>2129.4261208826001</v>
      </c>
      <c r="L2658" s="84">
        <v>987.56333333333316</v>
      </c>
      <c r="M2658" s="53">
        <v>2171.1476170912006</v>
      </c>
      <c r="N2658" s="78">
        <v>2198.4894981498583</v>
      </c>
    </row>
    <row r="2659" spans="1:14" ht="19.5" customHeight="1" outlineLevel="1" thickBot="1" x14ac:dyDescent="0.25">
      <c r="A2659" s="102">
        <v>33</v>
      </c>
      <c r="B2659" s="91" t="s">
        <v>40</v>
      </c>
      <c r="C2659" s="92">
        <v>980.58</v>
      </c>
      <c r="D2659" s="93">
        <v>2455.8705576924945</v>
      </c>
      <c r="E2659" s="94">
        <v>2504.5081050934082</v>
      </c>
      <c r="F2659" s="92">
        <v>1007.16</v>
      </c>
      <c r="G2659" s="93">
        <v>2365.1587969899874</v>
      </c>
      <c r="H2659" s="94">
        <v>2348.3446493009924</v>
      </c>
      <c r="I2659" s="92">
        <v>997.99</v>
      </c>
      <c r="J2659" s="93">
        <v>2620.4316905331689</v>
      </c>
      <c r="K2659" s="94">
        <v>2625.709366359552</v>
      </c>
      <c r="L2659" s="92">
        <v>995.24333333333334</v>
      </c>
      <c r="M2659" s="93">
        <v>2480.4870150718834</v>
      </c>
      <c r="N2659" s="94">
        <v>2492.3422564048492</v>
      </c>
    </row>
    <row r="2660" spans="1:14" ht="19.5" customHeight="1" thickBot="1" x14ac:dyDescent="0.25">
      <c r="A2660" s="151" t="s">
        <v>41</v>
      </c>
      <c r="B2660" s="152"/>
      <c r="C2660" s="96">
        <v>45027.83</v>
      </c>
      <c r="D2660" s="97">
        <v>105096.03520533459</v>
      </c>
      <c r="E2660" s="98">
        <v>2334.0239848408105</v>
      </c>
      <c r="F2660" s="96">
        <v>42872.23</v>
      </c>
      <c r="G2660" s="97">
        <v>102648.44830573739</v>
      </c>
      <c r="H2660" s="98">
        <v>2394.2875914254373</v>
      </c>
      <c r="I2660" s="96">
        <v>47661.289999999986</v>
      </c>
      <c r="J2660" s="97">
        <v>113328.44524685851</v>
      </c>
      <c r="K2660" s="98">
        <v>2377.7880381932287</v>
      </c>
      <c r="L2660" s="96">
        <v>45187.116666666661</v>
      </c>
      <c r="M2660" s="97">
        <v>107024.30958597682</v>
      </c>
      <c r="N2660" s="98">
        <v>2368.4695435530152</v>
      </c>
    </row>
    <row r="2661" spans="1:14" ht="34.5" customHeight="1" x14ac:dyDescent="0.2">
      <c r="A2661" s="153" t="s">
        <v>247</v>
      </c>
      <c r="B2661" s="154"/>
      <c r="C2661" s="154"/>
      <c r="D2661" s="154"/>
      <c r="E2661" s="154"/>
      <c r="F2661" s="154"/>
      <c r="G2661" s="154"/>
      <c r="H2661" s="154"/>
      <c r="I2661" s="154"/>
      <c r="J2661" s="154"/>
      <c r="K2661" s="154"/>
      <c r="L2661" s="154"/>
      <c r="M2661" s="154"/>
      <c r="N2661" s="154"/>
    </row>
    <row r="2662" spans="1:14" ht="19.5" customHeight="1" thickBot="1" x14ac:dyDescent="0.25">
      <c r="A2662" s="50"/>
      <c r="B2662" s="51" t="s">
        <v>112</v>
      </c>
      <c r="C2662" s="52"/>
      <c r="D2662" s="52"/>
      <c r="E2662" s="52"/>
      <c r="F2662" s="52"/>
      <c r="G2662" s="52"/>
      <c r="H2662" s="52"/>
      <c r="I2662" s="52"/>
      <c r="J2662" s="52"/>
      <c r="K2662" s="155" t="s">
        <v>1</v>
      </c>
      <c r="L2662" s="154"/>
      <c r="M2662" s="154"/>
      <c r="N2662" s="154"/>
    </row>
    <row r="2663" spans="1:14" ht="19.5" customHeight="1" x14ac:dyDescent="0.2">
      <c r="A2663" s="156" t="s">
        <v>2</v>
      </c>
      <c r="B2663" s="158" t="s">
        <v>3</v>
      </c>
      <c r="C2663" s="148" t="s">
        <v>243</v>
      </c>
      <c r="D2663" s="149"/>
      <c r="E2663" s="150"/>
      <c r="F2663" s="148" t="s">
        <v>244</v>
      </c>
      <c r="G2663" s="149"/>
      <c r="H2663" s="150"/>
      <c r="I2663" s="148" t="s">
        <v>246</v>
      </c>
      <c r="J2663" s="149"/>
      <c r="K2663" s="150"/>
      <c r="L2663" s="148" t="s">
        <v>4</v>
      </c>
      <c r="M2663" s="149"/>
      <c r="N2663" s="150"/>
    </row>
    <row r="2664" spans="1:14" ht="19.5" customHeight="1" thickBot="1" x14ac:dyDescent="0.25">
      <c r="A2664" s="157"/>
      <c r="B2664" s="159"/>
      <c r="C2664" s="85" t="s">
        <v>5</v>
      </c>
      <c r="D2664" s="79" t="s">
        <v>6</v>
      </c>
      <c r="E2664" s="80" t="s">
        <v>7</v>
      </c>
      <c r="F2664" s="85" t="s">
        <v>5</v>
      </c>
      <c r="G2664" s="79" t="s">
        <v>6</v>
      </c>
      <c r="H2664" s="80" t="s">
        <v>7</v>
      </c>
      <c r="I2664" s="85" t="s">
        <v>5</v>
      </c>
      <c r="J2664" s="79" t="s">
        <v>6</v>
      </c>
      <c r="K2664" s="80" t="s">
        <v>7</v>
      </c>
      <c r="L2664" s="85" t="s">
        <v>5</v>
      </c>
      <c r="M2664" s="79" t="s">
        <v>6</v>
      </c>
      <c r="N2664" s="80" t="s">
        <v>7</v>
      </c>
    </row>
    <row r="2665" spans="1:14" ht="19.5" customHeight="1" outlineLevel="1" x14ac:dyDescent="0.2">
      <c r="A2665" s="100">
        <v>1</v>
      </c>
      <c r="B2665" s="86" t="s">
        <v>8</v>
      </c>
      <c r="C2665" s="87">
        <v>3253.09</v>
      </c>
      <c r="D2665" s="88">
        <v>5599.0085320610233</v>
      </c>
      <c r="E2665" s="89">
        <v>1721.1354533877093</v>
      </c>
      <c r="F2665" s="87">
        <v>3260.87</v>
      </c>
      <c r="G2665" s="88">
        <v>5738.3653062175781</v>
      </c>
      <c r="H2665" s="89">
        <v>1759.7651259380407</v>
      </c>
      <c r="I2665" s="87">
        <v>3157.13</v>
      </c>
      <c r="J2665" s="88">
        <v>5651.8719882795749</v>
      </c>
      <c r="K2665" s="89">
        <v>1790.1929880237983</v>
      </c>
      <c r="L2665" s="87">
        <v>3223.6966666666667</v>
      </c>
      <c r="M2665" s="88">
        <v>5663.0819421860588</v>
      </c>
      <c r="N2665" s="89">
        <v>1756.7043452763003</v>
      </c>
    </row>
    <row r="2666" spans="1:14" ht="19.5" customHeight="1" outlineLevel="1" x14ac:dyDescent="0.2">
      <c r="A2666" s="101">
        <v>2</v>
      </c>
      <c r="B2666" s="81" t="s">
        <v>9</v>
      </c>
      <c r="C2666" s="84">
        <v>4093.81</v>
      </c>
      <c r="D2666" s="53">
        <v>9846.4704736952754</v>
      </c>
      <c r="E2666" s="78">
        <v>2405.2094439398202</v>
      </c>
      <c r="F2666" s="84">
        <v>4336.08</v>
      </c>
      <c r="G2666" s="53">
        <v>10766.472871221053</v>
      </c>
      <c r="H2666" s="78">
        <v>2482.9968246021872</v>
      </c>
      <c r="I2666" s="84">
        <v>4569.07</v>
      </c>
      <c r="J2666" s="53">
        <v>11330.333991101266</v>
      </c>
      <c r="K2666" s="78">
        <v>2479.7899771947614</v>
      </c>
      <c r="L2666" s="84">
        <v>4332.9866666666667</v>
      </c>
      <c r="M2666" s="53">
        <v>10647.759112005864</v>
      </c>
      <c r="N2666" s="78">
        <v>2457.3717694352154</v>
      </c>
    </row>
    <row r="2667" spans="1:14" ht="19.5" customHeight="1" outlineLevel="1" x14ac:dyDescent="0.2">
      <c r="A2667" s="101">
        <v>3</v>
      </c>
      <c r="B2667" s="81" t="s">
        <v>10</v>
      </c>
      <c r="C2667" s="84">
        <v>1245.67</v>
      </c>
      <c r="D2667" s="53">
        <v>2580.505966889571</v>
      </c>
      <c r="E2667" s="78">
        <v>2071.5807291574579</v>
      </c>
      <c r="F2667" s="84">
        <v>1313.4</v>
      </c>
      <c r="G2667" s="53">
        <v>2732.2092613129635</v>
      </c>
      <c r="H2667" s="78">
        <v>2080.2567849192656</v>
      </c>
      <c r="I2667" s="84">
        <v>1196.5</v>
      </c>
      <c r="J2667" s="53">
        <v>2338.8672326395981</v>
      </c>
      <c r="K2667" s="78">
        <v>1954.7574029582936</v>
      </c>
      <c r="L2667" s="84">
        <v>1251.8566666666668</v>
      </c>
      <c r="M2667" s="53">
        <v>2550.5274869473774</v>
      </c>
      <c r="N2667" s="78">
        <v>2037.395777696097</v>
      </c>
    </row>
    <row r="2668" spans="1:14" ht="19.5" customHeight="1" outlineLevel="1" x14ac:dyDescent="0.2">
      <c r="A2668" s="101">
        <v>4</v>
      </c>
      <c r="B2668" s="81" t="s">
        <v>11</v>
      </c>
      <c r="C2668" s="84">
        <v>1368.57</v>
      </c>
      <c r="D2668" s="53">
        <v>3280.2963788433826</v>
      </c>
      <c r="E2668" s="78">
        <v>2396.8787704270753</v>
      </c>
      <c r="F2668" s="84">
        <v>1361.46</v>
      </c>
      <c r="G2668" s="53">
        <v>3213.1549476838445</v>
      </c>
      <c r="H2668" s="78">
        <v>2360.0803164865988</v>
      </c>
      <c r="I2668" s="84">
        <v>1395.99</v>
      </c>
      <c r="J2668" s="53">
        <v>3332.3323773610728</v>
      </c>
      <c r="K2668" s="78">
        <v>2387.0746762950112</v>
      </c>
      <c r="L2668" s="84">
        <v>1375.34</v>
      </c>
      <c r="M2668" s="53">
        <v>3275.2612346294336</v>
      </c>
      <c r="N2668" s="78">
        <v>2381.419310591878</v>
      </c>
    </row>
    <row r="2669" spans="1:14" ht="19.5" customHeight="1" outlineLevel="1" x14ac:dyDescent="0.2">
      <c r="A2669" s="101">
        <v>5</v>
      </c>
      <c r="B2669" s="81" t="s">
        <v>12</v>
      </c>
      <c r="C2669" s="84">
        <v>1168.0199999999998</v>
      </c>
      <c r="D2669" s="53">
        <v>2994.8896790580534</v>
      </c>
      <c r="E2669" s="78">
        <v>2564.0739705296605</v>
      </c>
      <c r="F2669" s="84">
        <v>1169.77</v>
      </c>
      <c r="G2669" s="53">
        <v>3072.4779698155489</v>
      </c>
      <c r="H2669" s="78">
        <v>2626.5658803145484</v>
      </c>
      <c r="I2669" s="84">
        <v>1312.9899999999998</v>
      </c>
      <c r="J2669" s="53">
        <v>3319.6698216571954</v>
      </c>
      <c r="K2669" s="78">
        <v>2528.328335826774</v>
      </c>
      <c r="L2669" s="84">
        <v>1216.9266666666665</v>
      </c>
      <c r="M2669" s="53">
        <v>3129.0124901769323</v>
      </c>
      <c r="N2669" s="78">
        <v>2571.2416170053521</v>
      </c>
    </row>
    <row r="2670" spans="1:14" ht="19.5" customHeight="1" outlineLevel="1" x14ac:dyDescent="0.2">
      <c r="A2670" s="101">
        <v>6</v>
      </c>
      <c r="B2670" s="81" t="s">
        <v>13</v>
      </c>
      <c r="C2670" s="84">
        <v>1075.02</v>
      </c>
      <c r="D2670" s="53">
        <v>2104.0214977818773</v>
      </c>
      <c r="E2670" s="78">
        <v>1957.1928873712836</v>
      </c>
      <c r="F2670" s="84">
        <v>1041.06</v>
      </c>
      <c r="G2670" s="53">
        <v>1966.4875525095081</v>
      </c>
      <c r="H2670" s="78">
        <v>1888.9281621707762</v>
      </c>
      <c r="I2670" s="84">
        <v>1118.5</v>
      </c>
      <c r="J2670" s="53">
        <v>2240.4490767584757</v>
      </c>
      <c r="K2670" s="78">
        <v>2003.0836627255035</v>
      </c>
      <c r="L2670" s="84">
        <v>1078.1933333333334</v>
      </c>
      <c r="M2670" s="53">
        <v>2103.6527090166205</v>
      </c>
      <c r="N2670" s="78">
        <v>1951.0904435969621</v>
      </c>
    </row>
    <row r="2671" spans="1:14" ht="19.5" customHeight="1" outlineLevel="1" x14ac:dyDescent="0.2">
      <c r="A2671" s="101">
        <v>7</v>
      </c>
      <c r="B2671" s="81" t="s">
        <v>14</v>
      </c>
      <c r="C2671" s="84">
        <v>350.66</v>
      </c>
      <c r="D2671" s="53">
        <v>842.79506779041685</v>
      </c>
      <c r="E2671" s="78">
        <v>2403.4536810312461</v>
      </c>
      <c r="F2671" s="84">
        <v>366.95</v>
      </c>
      <c r="G2671" s="53">
        <v>861.71445130093582</v>
      </c>
      <c r="H2671" s="78">
        <v>2348.315714132541</v>
      </c>
      <c r="I2671" s="84">
        <v>382.37</v>
      </c>
      <c r="J2671" s="53">
        <v>884.02700229037055</v>
      </c>
      <c r="K2671" s="78">
        <v>2311.967472056831</v>
      </c>
      <c r="L2671" s="84">
        <v>366.66</v>
      </c>
      <c r="M2671" s="53">
        <v>862.84550712724104</v>
      </c>
      <c r="N2671" s="78">
        <v>2353.2578059434923</v>
      </c>
    </row>
    <row r="2672" spans="1:14" ht="19.5" customHeight="1" outlineLevel="1" x14ac:dyDescent="0.2">
      <c r="A2672" s="101">
        <v>8</v>
      </c>
      <c r="B2672" s="81" t="s">
        <v>15</v>
      </c>
      <c r="C2672" s="84">
        <v>478.12</v>
      </c>
      <c r="D2672" s="53">
        <v>954.40560139410582</v>
      </c>
      <c r="E2672" s="78">
        <v>1996.1633091987489</v>
      </c>
      <c r="F2672" s="84">
        <v>452.37</v>
      </c>
      <c r="G2672" s="53">
        <v>928.13872203519327</v>
      </c>
      <c r="H2672" s="78">
        <v>2051.7247430978914</v>
      </c>
      <c r="I2672" s="84">
        <v>367.64</v>
      </c>
      <c r="J2672" s="53">
        <v>685.63582836379828</v>
      </c>
      <c r="K2672" s="78">
        <v>1864.9652604825328</v>
      </c>
      <c r="L2672" s="84">
        <v>432.71000000000004</v>
      </c>
      <c r="M2672" s="53">
        <v>856.06005059769905</v>
      </c>
      <c r="N2672" s="78">
        <v>1978.3690014044023</v>
      </c>
    </row>
    <row r="2673" spans="1:14" ht="19.5" customHeight="1" outlineLevel="1" x14ac:dyDescent="0.2">
      <c r="A2673" s="101">
        <v>9</v>
      </c>
      <c r="B2673" s="81" t="s">
        <v>16</v>
      </c>
      <c r="C2673" s="84">
        <v>1337.85</v>
      </c>
      <c r="D2673" s="53">
        <v>2328.6530642015805</v>
      </c>
      <c r="E2673" s="78">
        <v>1740.5935375427593</v>
      </c>
      <c r="F2673" s="84">
        <v>1237.75</v>
      </c>
      <c r="G2673" s="53">
        <v>2293.9477855473515</v>
      </c>
      <c r="H2673" s="78">
        <v>1853.3207720035157</v>
      </c>
      <c r="I2673" s="84">
        <v>1022.7</v>
      </c>
      <c r="J2673" s="53">
        <v>1660.818856754363</v>
      </c>
      <c r="K2673" s="78">
        <v>1623.9550765174176</v>
      </c>
      <c r="L2673" s="84">
        <v>1199.4333333333334</v>
      </c>
      <c r="M2673" s="53">
        <v>2094.4732355010983</v>
      </c>
      <c r="N2673" s="78">
        <v>1746.2189663183433</v>
      </c>
    </row>
    <row r="2674" spans="1:14" ht="19.5" customHeight="1" outlineLevel="1" x14ac:dyDescent="0.2">
      <c r="A2674" s="101">
        <v>10</v>
      </c>
      <c r="B2674" s="81" t="s">
        <v>17</v>
      </c>
      <c r="C2674" s="84">
        <v>1080.28</v>
      </c>
      <c r="D2674" s="53">
        <v>1976.2340439211091</v>
      </c>
      <c r="E2674" s="78">
        <v>1829.372055320018</v>
      </c>
      <c r="F2674" s="84">
        <v>851.19999999999993</v>
      </c>
      <c r="G2674" s="53">
        <v>1893.7197610998392</v>
      </c>
      <c r="H2674" s="78">
        <v>2224.7647569312021</v>
      </c>
      <c r="I2674" s="84">
        <v>980.22000000000014</v>
      </c>
      <c r="J2674" s="53">
        <v>1907.9154403707107</v>
      </c>
      <c r="K2674" s="78">
        <v>1946.4155397469042</v>
      </c>
      <c r="L2674" s="84">
        <v>970.56666666666672</v>
      </c>
      <c r="M2674" s="53">
        <v>1925.9564151305531</v>
      </c>
      <c r="N2674" s="78">
        <v>1984.3628276922962</v>
      </c>
    </row>
    <row r="2675" spans="1:14" ht="19.5" customHeight="1" outlineLevel="1" x14ac:dyDescent="0.2">
      <c r="A2675" s="101">
        <v>11</v>
      </c>
      <c r="B2675" s="81" t="s">
        <v>18</v>
      </c>
      <c r="C2675" s="84">
        <v>2701.1</v>
      </c>
      <c r="D2675" s="53">
        <v>7055.9714096882508</v>
      </c>
      <c r="E2675" s="78">
        <v>2612.2584908697386</v>
      </c>
      <c r="F2675" s="84">
        <v>2546.4399999999996</v>
      </c>
      <c r="G2675" s="53">
        <v>6875.7396104210111</v>
      </c>
      <c r="H2675" s="78">
        <v>2700.1380792090181</v>
      </c>
      <c r="I2675" s="84">
        <v>3095.45</v>
      </c>
      <c r="J2675" s="53">
        <v>8402.0346658378148</v>
      </c>
      <c r="K2675" s="78">
        <v>2714.3176810602063</v>
      </c>
      <c r="L2675" s="84">
        <v>2780.996666666666</v>
      </c>
      <c r="M2675" s="53">
        <v>7444.5818953156922</v>
      </c>
      <c r="N2675" s="78">
        <v>2676.9474356252472</v>
      </c>
    </row>
    <row r="2676" spans="1:14" ht="19.5" customHeight="1" outlineLevel="1" x14ac:dyDescent="0.2">
      <c r="A2676" s="101">
        <v>12</v>
      </c>
      <c r="B2676" s="81" t="s">
        <v>19</v>
      </c>
      <c r="C2676" s="84">
        <v>1733.02</v>
      </c>
      <c r="D2676" s="53">
        <v>5076.2285616683621</v>
      </c>
      <c r="E2676" s="78">
        <v>2929.1228962553014</v>
      </c>
      <c r="F2676" s="84">
        <v>1602.01</v>
      </c>
      <c r="G2676" s="53">
        <v>5359.5002262680064</v>
      </c>
      <c r="H2676" s="78">
        <v>3345.4848760419763</v>
      </c>
      <c r="I2676" s="84">
        <v>1993.29</v>
      </c>
      <c r="J2676" s="53">
        <v>5819.8252410125588</v>
      </c>
      <c r="K2676" s="78">
        <v>2919.7082416570388</v>
      </c>
      <c r="L2676" s="84">
        <v>1776.1066666666666</v>
      </c>
      <c r="M2676" s="53">
        <v>5418.5180096496424</v>
      </c>
      <c r="N2676" s="78">
        <v>3050.7841174983728</v>
      </c>
    </row>
    <row r="2677" spans="1:14" ht="19.5" customHeight="1" outlineLevel="1" x14ac:dyDescent="0.2">
      <c r="A2677" s="101">
        <v>13</v>
      </c>
      <c r="B2677" s="81" t="s">
        <v>20</v>
      </c>
      <c r="C2677" s="84">
        <v>2143.44</v>
      </c>
      <c r="D2677" s="53">
        <v>5525.7563143674097</v>
      </c>
      <c r="E2677" s="78">
        <v>2577.9850680996014</v>
      </c>
      <c r="F2677" s="84">
        <v>2132.7400000000002</v>
      </c>
      <c r="G2677" s="53">
        <v>6966.7770591863964</v>
      </c>
      <c r="H2677" s="78">
        <v>3266.5852655205958</v>
      </c>
      <c r="I2677" s="84">
        <v>2234.86</v>
      </c>
      <c r="J2677" s="53">
        <v>5552.7783943550739</v>
      </c>
      <c r="K2677" s="78">
        <v>2484.6202421427174</v>
      </c>
      <c r="L2677" s="84">
        <v>2170.3466666666668</v>
      </c>
      <c r="M2677" s="53">
        <v>6015.1039226362927</v>
      </c>
      <c r="N2677" s="78">
        <v>2771.4945335781808</v>
      </c>
    </row>
    <row r="2678" spans="1:14" ht="19.5" customHeight="1" outlineLevel="1" x14ac:dyDescent="0.2">
      <c r="A2678" s="101">
        <v>14</v>
      </c>
      <c r="B2678" s="81" t="s">
        <v>21</v>
      </c>
      <c r="C2678" s="84">
        <v>810.45</v>
      </c>
      <c r="D2678" s="53">
        <v>1994.6453948309909</v>
      </c>
      <c r="E2678" s="78">
        <v>2461.1578688765385</v>
      </c>
      <c r="F2678" s="84">
        <v>808.09999999999991</v>
      </c>
      <c r="G2678" s="53">
        <v>2306.3938306406931</v>
      </c>
      <c r="H2678" s="78">
        <v>2854.0945806715672</v>
      </c>
      <c r="I2678" s="84">
        <v>844.25000000000011</v>
      </c>
      <c r="J2678" s="53">
        <v>1566.1791451337581</v>
      </c>
      <c r="K2678" s="78">
        <v>1855.112993939897</v>
      </c>
      <c r="L2678" s="84">
        <v>820.93333333333339</v>
      </c>
      <c r="M2678" s="53">
        <v>1955.7394568684806</v>
      </c>
      <c r="N2678" s="78">
        <v>2382.3365155942188</v>
      </c>
    </row>
    <row r="2679" spans="1:14" ht="19.5" customHeight="1" outlineLevel="1" x14ac:dyDescent="0.2">
      <c r="A2679" s="101">
        <v>15</v>
      </c>
      <c r="B2679" s="81" t="s">
        <v>22</v>
      </c>
      <c r="C2679" s="84">
        <v>2913.65</v>
      </c>
      <c r="D2679" s="53">
        <v>7517.0787970063302</v>
      </c>
      <c r="E2679" s="78">
        <v>2579.9525670572411</v>
      </c>
      <c r="F2679" s="84">
        <v>2873.0199999999995</v>
      </c>
      <c r="G2679" s="53">
        <v>6965.8546331449688</v>
      </c>
      <c r="H2679" s="78">
        <v>2424.5757541350113</v>
      </c>
      <c r="I2679" s="84">
        <v>2959.67</v>
      </c>
      <c r="J2679" s="53">
        <v>8459.5880223003678</v>
      </c>
      <c r="K2679" s="78">
        <v>2858.2875868932579</v>
      </c>
      <c r="L2679" s="84">
        <v>2915.4466666666667</v>
      </c>
      <c r="M2679" s="53">
        <v>7647.5071508172223</v>
      </c>
      <c r="N2679" s="78">
        <v>2623.0996568223582</v>
      </c>
    </row>
    <row r="2680" spans="1:14" ht="19.5" customHeight="1" outlineLevel="1" x14ac:dyDescent="0.2">
      <c r="A2680" s="101">
        <v>16</v>
      </c>
      <c r="B2680" s="81" t="s">
        <v>23</v>
      </c>
      <c r="C2680" s="84">
        <v>1177.6199999999999</v>
      </c>
      <c r="D2680" s="53">
        <v>2592.4275156109438</v>
      </c>
      <c r="E2680" s="78">
        <v>2201.412608151139</v>
      </c>
      <c r="F2680" s="84">
        <v>1208.4000000000001</v>
      </c>
      <c r="G2680" s="53">
        <v>2819.5956493095691</v>
      </c>
      <c r="H2680" s="78">
        <v>2333.3297329605834</v>
      </c>
      <c r="I2680" s="84">
        <v>1239.3100000000002</v>
      </c>
      <c r="J2680" s="53">
        <v>2934.643367890952</v>
      </c>
      <c r="K2680" s="78">
        <v>2367.9655355729815</v>
      </c>
      <c r="L2680" s="84">
        <v>1208.4433333333334</v>
      </c>
      <c r="M2680" s="53">
        <v>2782.2221776038218</v>
      </c>
      <c r="N2680" s="78">
        <v>2302.3191082774438</v>
      </c>
    </row>
    <row r="2681" spans="1:14" ht="19.5" customHeight="1" outlineLevel="1" x14ac:dyDescent="0.2">
      <c r="A2681" s="101">
        <v>17</v>
      </c>
      <c r="B2681" s="81" t="s">
        <v>24</v>
      </c>
      <c r="C2681" s="84">
        <v>1864.5500000000002</v>
      </c>
      <c r="D2681" s="53">
        <v>4207.6862856510679</v>
      </c>
      <c r="E2681" s="78">
        <v>2256.6765630586833</v>
      </c>
      <c r="F2681" s="84">
        <v>1749.2799999999997</v>
      </c>
      <c r="G2681" s="53">
        <v>3449.9323928770345</v>
      </c>
      <c r="H2681" s="78">
        <v>1972.2013587744871</v>
      </c>
      <c r="I2681" s="84">
        <v>2376.8500000000004</v>
      </c>
      <c r="J2681" s="53">
        <v>5863.3618169073725</v>
      </c>
      <c r="K2681" s="78">
        <v>2466.8623669593671</v>
      </c>
      <c r="L2681" s="84">
        <v>1996.8933333333334</v>
      </c>
      <c r="M2681" s="53">
        <v>4506.9934984784913</v>
      </c>
      <c r="N2681" s="78">
        <v>2257.0026266526461</v>
      </c>
    </row>
    <row r="2682" spans="1:14" ht="19.5" customHeight="1" outlineLevel="1" x14ac:dyDescent="0.2">
      <c r="A2682" s="101">
        <v>18</v>
      </c>
      <c r="B2682" s="81" t="s">
        <v>25</v>
      </c>
      <c r="C2682" s="84">
        <v>1281.27</v>
      </c>
      <c r="D2682" s="53">
        <v>2816.0147607659492</v>
      </c>
      <c r="E2682" s="78">
        <v>2197.8308715305511</v>
      </c>
      <c r="F2682" s="84">
        <v>1139.9399999999998</v>
      </c>
      <c r="G2682" s="53">
        <v>2527.4358145525644</v>
      </c>
      <c r="H2682" s="78">
        <v>2217.1656530629371</v>
      </c>
      <c r="I2682" s="84">
        <v>1284.56</v>
      </c>
      <c r="J2682" s="53">
        <v>2980.9964769081121</v>
      </c>
      <c r="K2682" s="78">
        <v>2320.6362310114841</v>
      </c>
      <c r="L2682" s="84">
        <v>1235.2566666666667</v>
      </c>
      <c r="M2682" s="53">
        <v>2774.8156840755419</v>
      </c>
      <c r="N2682" s="78">
        <v>2246.3474668494337</v>
      </c>
    </row>
    <row r="2683" spans="1:14" ht="19.5" customHeight="1" outlineLevel="1" x14ac:dyDescent="0.2">
      <c r="A2683" s="101">
        <v>19</v>
      </c>
      <c r="B2683" s="81" t="s">
        <v>26</v>
      </c>
      <c r="C2683" s="84">
        <v>231.48</v>
      </c>
      <c r="D2683" s="53">
        <v>341.38883964746498</v>
      </c>
      <c r="E2683" s="78">
        <v>1474.8092260560954</v>
      </c>
      <c r="F2683" s="84">
        <v>123.74999999999999</v>
      </c>
      <c r="G2683" s="53">
        <v>257.17650196070076</v>
      </c>
      <c r="H2683" s="78">
        <v>2078.1939552379863</v>
      </c>
      <c r="I2683" s="84">
        <v>115.42000000000002</v>
      </c>
      <c r="J2683" s="53">
        <v>217.04227609256654</v>
      </c>
      <c r="K2683" s="78">
        <v>1880.4563861771489</v>
      </c>
      <c r="L2683" s="84">
        <v>156.88333333333333</v>
      </c>
      <c r="M2683" s="53">
        <v>271.86920590024408</v>
      </c>
      <c r="N2683" s="78">
        <v>1732.9387394045091</v>
      </c>
    </row>
    <row r="2684" spans="1:14" ht="19.5" customHeight="1" outlineLevel="1" x14ac:dyDescent="0.2">
      <c r="A2684" s="101">
        <v>20</v>
      </c>
      <c r="B2684" s="81" t="s">
        <v>27</v>
      </c>
      <c r="C2684" s="84">
        <v>23.650000000000002</v>
      </c>
      <c r="D2684" s="53">
        <v>47.690525039813465</v>
      </c>
      <c r="E2684" s="78">
        <v>2016.5126866728738</v>
      </c>
      <c r="F2684" s="84">
        <v>23.28</v>
      </c>
      <c r="G2684" s="53">
        <v>46.6238905470193</v>
      </c>
      <c r="H2684" s="78">
        <v>2002.7444393049525</v>
      </c>
      <c r="I2684" s="84">
        <v>17.36</v>
      </c>
      <c r="J2684" s="53">
        <v>35.893339043867442</v>
      </c>
      <c r="K2684" s="78">
        <v>2067.5886546006591</v>
      </c>
      <c r="L2684" s="84">
        <v>21.430000000000003</v>
      </c>
      <c r="M2684" s="53">
        <v>43.402584876900072</v>
      </c>
      <c r="N2684" s="78">
        <v>2025.3189396593591</v>
      </c>
    </row>
    <row r="2685" spans="1:14" ht="19.5" customHeight="1" outlineLevel="1" x14ac:dyDescent="0.2">
      <c r="A2685" s="101">
        <v>21</v>
      </c>
      <c r="B2685" s="81" t="s">
        <v>28</v>
      </c>
      <c r="C2685" s="84">
        <v>234.49</v>
      </c>
      <c r="D2685" s="53">
        <v>450.06318720494107</v>
      </c>
      <c r="E2685" s="78">
        <v>1919.3278485433964</v>
      </c>
      <c r="F2685" s="84">
        <v>223.62</v>
      </c>
      <c r="G2685" s="53">
        <v>436.04093501725902</v>
      </c>
      <c r="H2685" s="78">
        <v>1949.9192157108444</v>
      </c>
      <c r="I2685" s="84">
        <v>228.5</v>
      </c>
      <c r="J2685" s="53">
        <v>435.19912496400542</v>
      </c>
      <c r="K2685" s="78">
        <v>1904.5913565164351</v>
      </c>
      <c r="L2685" s="84">
        <v>228.87</v>
      </c>
      <c r="M2685" s="53">
        <v>440.43441572873513</v>
      </c>
      <c r="N2685" s="78">
        <v>1924.3868385054186</v>
      </c>
    </row>
    <row r="2686" spans="1:14" ht="19.5" customHeight="1" outlineLevel="1" x14ac:dyDescent="0.2">
      <c r="A2686" s="101">
        <v>22</v>
      </c>
      <c r="B2686" s="81" t="s">
        <v>29</v>
      </c>
      <c r="C2686" s="84">
        <v>81.75</v>
      </c>
      <c r="D2686" s="53">
        <v>131.93668424768782</v>
      </c>
      <c r="E2686" s="78">
        <v>1613.9043944671291</v>
      </c>
      <c r="F2686" s="84">
        <v>92.91</v>
      </c>
      <c r="G2686" s="53">
        <v>161.8031318168554</v>
      </c>
      <c r="H2686" s="78">
        <v>1741.5039480879927</v>
      </c>
      <c r="I2686" s="84">
        <v>91.02000000000001</v>
      </c>
      <c r="J2686" s="53">
        <v>170.57579785780496</v>
      </c>
      <c r="K2686" s="78">
        <v>1874.0474385608102</v>
      </c>
      <c r="L2686" s="84">
        <v>88.56</v>
      </c>
      <c r="M2686" s="53">
        <v>154.7718713074494</v>
      </c>
      <c r="N2686" s="78">
        <v>1747.6498566785165</v>
      </c>
    </row>
    <row r="2687" spans="1:14" ht="19.5" customHeight="1" outlineLevel="1" x14ac:dyDescent="0.2">
      <c r="A2687" s="101">
        <v>23</v>
      </c>
      <c r="B2687" s="81" t="s">
        <v>30</v>
      </c>
      <c r="C2687" s="84">
        <v>71.16</v>
      </c>
      <c r="D2687" s="53">
        <v>120.89054965911762</v>
      </c>
      <c r="E2687" s="78">
        <v>1698.8553914996855</v>
      </c>
      <c r="F2687" s="84">
        <v>81.260000000000005</v>
      </c>
      <c r="G2687" s="53">
        <v>137.82008595439353</v>
      </c>
      <c r="H2687" s="78">
        <v>1696.0384685502524</v>
      </c>
      <c r="I2687" s="84">
        <v>108.32</v>
      </c>
      <c r="J2687" s="53">
        <v>196.07086535937091</v>
      </c>
      <c r="K2687" s="78">
        <v>1810.107693494931</v>
      </c>
      <c r="L2687" s="84">
        <v>86.913333333333341</v>
      </c>
      <c r="M2687" s="53">
        <v>151.59383365762736</v>
      </c>
      <c r="N2687" s="78">
        <v>1744.1953707635269</v>
      </c>
    </row>
    <row r="2688" spans="1:14" ht="19.5" customHeight="1" outlineLevel="1" x14ac:dyDescent="0.2">
      <c r="A2688" s="101">
        <v>24</v>
      </c>
      <c r="B2688" s="81" t="s">
        <v>31</v>
      </c>
      <c r="C2688" s="84">
        <v>237.81</v>
      </c>
      <c r="D2688" s="53">
        <v>272.62807266660747</v>
      </c>
      <c r="E2688" s="78">
        <v>1146.4113059442725</v>
      </c>
      <c r="F2688" s="84">
        <v>298.5</v>
      </c>
      <c r="G2688" s="53">
        <v>422.67351283779823</v>
      </c>
      <c r="H2688" s="78">
        <v>1415.991667798319</v>
      </c>
      <c r="I2688" s="84">
        <v>344.06</v>
      </c>
      <c r="J2688" s="53">
        <v>434.55965840641664</v>
      </c>
      <c r="K2688" s="78">
        <v>1263.0345242295432</v>
      </c>
      <c r="L2688" s="84">
        <v>293.45666666666665</v>
      </c>
      <c r="M2688" s="53">
        <v>376.62041463694078</v>
      </c>
      <c r="N2688" s="78">
        <v>1283.3936230344314</v>
      </c>
    </row>
    <row r="2689" spans="1:14" ht="19.5" customHeight="1" outlineLevel="1" x14ac:dyDescent="0.2">
      <c r="A2689" s="101">
        <v>25</v>
      </c>
      <c r="B2689" s="81" t="s">
        <v>32</v>
      </c>
      <c r="C2689" s="84">
        <v>488.58</v>
      </c>
      <c r="D2689" s="53">
        <v>1033.9192054424182</v>
      </c>
      <c r="E2689" s="78">
        <v>2116.1717742077412</v>
      </c>
      <c r="F2689" s="84">
        <v>499.65000000000003</v>
      </c>
      <c r="G2689" s="53">
        <v>951.72293271829335</v>
      </c>
      <c r="H2689" s="78">
        <v>1904.7792108842057</v>
      </c>
      <c r="I2689" s="84">
        <v>374.24</v>
      </c>
      <c r="J2689" s="53">
        <v>701.86578775900557</v>
      </c>
      <c r="K2689" s="78">
        <v>1875.4429985009767</v>
      </c>
      <c r="L2689" s="84">
        <v>454.15666666666669</v>
      </c>
      <c r="M2689" s="53">
        <v>895.83597530657244</v>
      </c>
      <c r="N2689" s="78">
        <v>1972.526313181</v>
      </c>
    </row>
    <row r="2690" spans="1:14" ht="19.5" customHeight="1" outlineLevel="1" x14ac:dyDescent="0.2">
      <c r="A2690" s="101">
        <v>26</v>
      </c>
      <c r="B2690" s="81" t="s">
        <v>33</v>
      </c>
      <c r="C2690" s="84">
        <v>194.11</v>
      </c>
      <c r="D2690" s="53">
        <v>291.77550670164072</v>
      </c>
      <c r="E2690" s="78">
        <v>1503.1451584237839</v>
      </c>
      <c r="F2690" s="84">
        <v>176.39000000000001</v>
      </c>
      <c r="G2690" s="53">
        <v>272.79457248783814</v>
      </c>
      <c r="H2690" s="78">
        <v>1546.5421650197752</v>
      </c>
      <c r="I2690" s="84">
        <v>247.01999999999998</v>
      </c>
      <c r="J2690" s="53">
        <v>293.0043291650868</v>
      </c>
      <c r="K2690" s="78">
        <v>1186.1562997534079</v>
      </c>
      <c r="L2690" s="84">
        <v>205.84</v>
      </c>
      <c r="M2690" s="53">
        <v>285.85813611818855</v>
      </c>
      <c r="N2690" s="78">
        <v>1388.7394875543555</v>
      </c>
    </row>
    <row r="2691" spans="1:14" ht="19.5" customHeight="1" outlineLevel="1" x14ac:dyDescent="0.2">
      <c r="A2691" s="101">
        <v>27</v>
      </c>
      <c r="B2691" s="81" t="s">
        <v>34</v>
      </c>
      <c r="C2691" s="84">
        <v>23.540000000000003</v>
      </c>
      <c r="D2691" s="53">
        <v>38.290991721258237</v>
      </c>
      <c r="E2691" s="78">
        <v>1626.6351623304263</v>
      </c>
      <c r="F2691" s="84">
        <v>27.42</v>
      </c>
      <c r="G2691" s="53">
        <v>45.168683986700131</v>
      </c>
      <c r="H2691" s="78">
        <v>1647.2897150510623</v>
      </c>
      <c r="I2691" s="84">
        <v>29.25</v>
      </c>
      <c r="J2691" s="53">
        <v>45.526497072319259</v>
      </c>
      <c r="K2691" s="78">
        <v>1556.4614383698893</v>
      </c>
      <c r="L2691" s="84">
        <v>26.736666666666668</v>
      </c>
      <c r="M2691" s="53">
        <v>42.995390926759207</v>
      </c>
      <c r="N2691" s="78">
        <v>1608.1058818137094</v>
      </c>
    </row>
    <row r="2692" spans="1:14" ht="19.5" customHeight="1" outlineLevel="1" x14ac:dyDescent="0.2">
      <c r="A2692" s="101">
        <v>28</v>
      </c>
      <c r="B2692" s="81" t="s">
        <v>35</v>
      </c>
      <c r="C2692" s="84">
        <v>77.389999999999986</v>
      </c>
      <c r="D2692" s="53">
        <v>111.44467280124756</v>
      </c>
      <c r="E2692" s="78">
        <v>1440.0397054044138</v>
      </c>
      <c r="F2692" s="84">
        <v>96.82</v>
      </c>
      <c r="G2692" s="53">
        <v>128.4762369650002</v>
      </c>
      <c r="H2692" s="78">
        <v>1326.9596877194815</v>
      </c>
      <c r="I2692" s="84">
        <v>90.9</v>
      </c>
      <c r="J2692" s="53">
        <v>116.26724474035233</v>
      </c>
      <c r="K2692" s="78">
        <v>1279.0675989037659</v>
      </c>
      <c r="L2692" s="84">
        <v>88.37</v>
      </c>
      <c r="M2692" s="53">
        <v>118.72938483553337</v>
      </c>
      <c r="N2692" s="78">
        <v>1343.548544025499</v>
      </c>
    </row>
    <row r="2693" spans="1:14" ht="19.5" customHeight="1" outlineLevel="1" x14ac:dyDescent="0.2">
      <c r="A2693" s="101">
        <v>29</v>
      </c>
      <c r="B2693" s="81" t="s">
        <v>36</v>
      </c>
      <c r="C2693" s="84">
        <v>121.35000000000001</v>
      </c>
      <c r="D2693" s="53">
        <v>159.20494183170646</v>
      </c>
      <c r="E2693" s="78">
        <v>1311.948428773848</v>
      </c>
      <c r="F2693" s="84">
        <v>129.67999999999998</v>
      </c>
      <c r="G2693" s="53">
        <v>182.73001855422669</v>
      </c>
      <c r="H2693" s="78">
        <v>1409.0840419048945</v>
      </c>
      <c r="I2693" s="84">
        <v>115.30999999999999</v>
      </c>
      <c r="J2693" s="53">
        <v>145.643174698373</v>
      </c>
      <c r="K2693" s="78">
        <v>1263.0576246498399</v>
      </c>
      <c r="L2693" s="84">
        <v>122.11333333333333</v>
      </c>
      <c r="M2693" s="53">
        <v>162.52604502810206</v>
      </c>
      <c r="N2693" s="78">
        <v>1330.9443006068302</v>
      </c>
    </row>
    <row r="2694" spans="1:14" ht="19.5" customHeight="1" outlineLevel="1" x14ac:dyDescent="0.2">
      <c r="A2694" s="101">
        <v>30</v>
      </c>
      <c r="B2694" s="81" t="s">
        <v>37</v>
      </c>
      <c r="C2694" s="84">
        <v>47.739999999999995</v>
      </c>
      <c r="D2694" s="53">
        <v>52.575061740218388</v>
      </c>
      <c r="E2694" s="78">
        <v>1101.2790477632675</v>
      </c>
      <c r="F2694" s="84">
        <v>47.71</v>
      </c>
      <c r="G2694" s="53">
        <v>58.812840211529057</v>
      </c>
      <c r="H2694" s="78">
        <v>1232.7151584893954</v>
      </c>
      <c r="I2694" s="84">
        <v>44.65</v>
      </c>
      <c r="J2694" s="53">
        <v>44.238088584556692</v>
      </c>
      <c r="K2694" s="78">
        <v>990.77466034841427</v>
      </c>
      <c r="L2694" s="84">
        <v>46.699999999999996</v>
      </c>
      <c r="M2694" s="53">
        <v>51.875330178768046</v>
      </c>
      <c r="N2694" s="78">
        <v>1110.8207747059539</v>
      </c>
    </row>
    <row r="2695" spans="1:14" ht="19.5" customHeight="1" outlineLevel="1" x14ac:dyDescent="0.2">
      <c r="A2695" s="101">
        <v>31</v>
      </c>
      <c r="B2695" s="81" t="s">
        <v>38</v>
      </c>
      <c r="C2695" s="84">
        <v>0.12</v>
      </c>
      <c r="D2695" s="53">
        <v>0.275355400737683</v>
      </c>
      <c r="E2695" s="78">
        <v>2294.6283394806919</v>
      </c>
      <c r="F2695" s="84">
        <v>0.34</v>
      </c>
      <c r="G2695" s="53">
        <v>0.62030197047251989</v>
      </c>
      <c r="H2695" s="78">
        <v>1824.4175602132937</v>
      </c>
      <c r="I2695" s="84">
        <v>0.19</v>
      </c>
      <c r="J2695" s="53">
        <v>0.32842395970061111</v>
      </c>
      <c r="K2695" s="78">
        <v>1728.547156319006</v>
      </c>
      <c r="L2695" s="84">
        <v>0.21666666666666667</v>
      </c>
      <c r="M2695" s="53">
        <v>0.40802711030360467</v>
      </c>
      <c r="N2695" s="78">
        <v>1883.2020475550985</v>
      </c>
    </row>
    <row r="2696" spans="1:14" ht="19.5" customHeight="1" outlineLevel="1" x14ac:dyDescent="0.2">
      <c r="A2696" s="101">
        <v>32</v>
      </c>
      <c r="B2696" s="81" t="s">
        <v>39</v>
      </c>
      <c r="C2696" s="84">
        <v>0.1</v>
      </c>
      <c r="D2696" s="53">
        <v>0.24936826965305725</v>
      </c>
      <c r="E2696" s="78">
        <v>2493.6826965305722</v>
      </c>
      <c r="F2696" s="84">
        <v>0.29000000000000004</v>
      </c>
      <c r="G2696" s="53">
        <v>0.74003441263275693</v>
      </c>
      <c r="H2696" s="78">
        <v>2551.84280218192</v>
      </c>
      <c r="I2696" s="84">
        <v>0.14000000000000001</v>
      </c>
      <c r="J2696" s="53">
        <v>0.36489618099458609</v>
      </c>
      <c r="K2696" s="78">
        <v>2606.4012928184716</v>
      </c>
      <c r="L2696" s="84">
        <v>0.17666666666666667</v>
      </c>
      <c r="M2696" s="53">
        <v>0.45143295442680009</v>
      </c>
      <c r="N2696" s="78">
        <v>2555.2808741139629</v>
      </c>
    </row>
    <row r="2697" spans="1:14" ht="19.5" customHeight="1" outlineLevel="1" thickBot="1" x14ac:dyDescent="0.25">
      <c r="A2697" s="102">
        <v>33</v>
      </c>
      <c r="B2697" s="91" t="s">
        <v>40</v>
      </c>
      <c r="C2697" s="92">
        <v>120.4</v>
      </c>
      <c r="D2697" s="93">
        <v>198.23247770297749</v>
      </c>
      <c r="E2697" s="94">
        <v>1646.4491503569557</v>
      </c>
      <c r="F2697" s="92">
        <v>92.24</v>
      </c>
      <c r="G2697" s="93">
        <v>155.20452376846131</v>
      </c>
      <c r="H2697" s="94">
        <v>1682.6162594152354</v>
      </c>
      <c r="I2697" s="92">
        <v>83.9</v>
      </c>
      <c r="J2697" s="93">
        <v>131.24778397763353</v>
      </c>
      <c r="K2697" s="94">
        <v>1564.3359234521279</v>
      </c>
      <c r="L2697" s="92">
        <v>98.84666666666665</v>
      </c>
      <c r="M2697" s="93">
        <v>161.56159514969079</v>
      </c>
      <c r="N2697" s="94">
        <v>1634.4668019460189</v>
      </c>
    </row>
    <row r="2698" spans="1:14" ht="19.5" customHeight="1" thickBot="1" x14ac:dyDescent="0.25">
      <c r="A2698" s="151" t="s">
        <v>41</v>
      </c>
      <c r="B2698" s="152"/>
      <c r="C2698" s="96">
        <v>32029.860000000008</v>
      </c>
      <c r="D2698" s="97">
        <v>72543.654785303166</v>
      </c>
      <c r="E2698" s="98">
        <v>2264.8757998100255</v>
      </c>
      <c r="F2698" s="96">
        <v>31364.699999999997</v>
      </c>
      <c r="G2698" s="97">
        <v>73996.326048353207</v>
      </c>
      <c r="H2698" s="98">
        <v>2359.2231409308306</v>
      </c>
      <c r="I2698" s="96">
        <v>33421.630000000012</v>
      </c>
      <c r="J2698" s="97">
        <v>77899.1560337845</v>
      </c>
      <c r="K2698" s="98">
        <v>2330.8006232426264</v>
      </c>
      <c r="L2698" s="96">
        <v>32272.063333333339</v>
      </c>
      <c r="M2698" s="97">
        <v>74813.045622480291</v>
      </c>
      <c r="N2698" s="98">
        <v>2318.1984011913796</v>
      </c>
    </row>
    <row r="2701" spans="1:14" ht="15" customHeight="1" x14ac:dyDescent="0.2">
      <c r="I2701" s="49"/>
      <c r="J2701" s="49"/>
    </row>
  </sheetData>
  <mergeCells count="639">
    <mergeCell ref="A2090:B2090"/>
    <mergeCell ref="A2091:N2091"/>
    <mergeCell ref="K2092:N2092"/>
    <mergeCell ref="A2093:A2094"/>
    <mergeCell ref="B2093:B2094"/>
    <mergeCell ref="C2093:E2093"/>
    <mergeCell ref="F2093:H2093"/>
    <mergeCell ref="A2128:B2128"/>
    <mergeCell ref="A2129:N2129"/>
    <mergeCell ref="K2130:N2130"/>
    <mergeCell ref="A2131:A2132"/>
    <mergeCell ref="B2131:B2132"/>
    <mergeCell ref="C2131:E2131"/>
    <mergeCell ref="F2131:H2131"/>
    <mergeCell ref="I2093:K2093"/>
    <mergeCell ref="L2093:N2093"/>
    <mergeCell ref="A2166:B2166"/>
    <mergeCell ref="A2167:N2167"/>
    <mergeCell ref="K2168:N2168"/>
    <mergeCell ref="A2169:A2170"/>
    <mergeCell ref="B2169:B2170"/>
    <mergeCell ref="C2169:E2169"/>
    <mergeCell ref="F2169:H2169"/>
    <mergeCell ref="I2131:K2131"/>
    <mergeCell ref="L2131:N2131"/>
    <mergeCell ref="A2204:B2204"/>
    <mergeCell ref="A2205:N2205"/>
    <mergeCell ref="K2206:N2206"/>
    <mergeCell ref="A2207:A2208"/>
    <mergeCell ref="B2207:B2208"/>
    <mergeCell ref="C2207:E2207"/>
    <mergeCell ref="F2207:H2207"/>
    <mergeCell ref="I2169:K2169"/>
    <mergeCell ref="L2169:N2169"/>
    <mergeCell ref="A2242:B2242"/>
    <mergeCell ref="A2243:N2243"/>
    <mergeCell ref="K2244:N2244"/>
    <mergeCell ref="A2245:A2246"/>
    <mergeCell ref="B2245:B2246"/>
    <mergeCell ref="C2245:E2245"/>
    <mergeCell ref="F2245:H2245"/>
    <mergeCell ref="I2207:K2207"/>
    <mergeCell ref="L2207:N2207"/>
    <mergeCell ref="A2280:B2280"/>
    <mergeCell ref="A2281:N2281"/>
    <mergeCell ref="K2282:N2282"/>
    <mergeCell ref="A2283:A2284"/>
    <mergeCell ref="B2283:B2284"/>
    <mergeCell ref="C2283:E2283"/>
    <mergeCell ref="F2283:H2283"/>
    <mergeCell ref="I2245:K2245"/>
    <mergeCell ref="L2245:N2245"/>
    <mergeCell ref="A1:N1"/>
    <mergeCell ref="K2:N2"/>
    <mergeCell ref="A3:A4"/>
    <mergeCell ref="C3:E3"/>
    <mergeCell ref="F3:H3"/>
    <mergeCell ref="I3:K3"/>
    <mergeCell ref="L3:N3"/>
    <mergeCell ref="B3:B4"/>
    <mergeCell ref="A38:B38"/>
    <mergeCell ref="A39:N39"/>
    <mergeCell ref="K40:N40"/>
    <mergeCell ref="A41:A42"/>
    <mergeCell ref="B41:B42"/>
    <mergeCell ref="C41:E41"/>
    <mergeCell ref="L41:N41"/>
    <mergeCell ref="I79:K79"/>
    <mergeCell ref="L79:N79"/>
    <mergeCell ref="F41:H41"/>
    <mergeCell ref="I41:K41"/>
    <mergeCell ref="A76:B76"/>
    <mergeCell ref="A77:N77"/>
    <mergeCell ref="K78:N78"/>
    <mergeCell ref="A79:A80"/>
    <mergeCell ref="B79:B80"/>
    <mergeCell ref="C79:E79"/>
    <mergeCell ref="F79:H79"/>
    <mergeCell ref="K154:N154"/>
    <mergeCell ref="A155:A156"/>
    <mergeCell ref="B155:B156"/>
    <mergeCell ref="I193:K193"/>
    <mergeCell ref="L193:N193"/>
    <mergeCell ref="A190:B190"/>
    <mergeCell ref="A191:N191"/>
    <mergeCell ref="K192:N192"/>
    <mergeCell ref="A193:A194"/>
    <mergeCell ref="C155:E155"/>
    <mergeCell ref="F155:H155"/>
    <mergeCell ref="I155:K155"/>
    <mergeCell ref="L155:N155"/>
    <mergeCell ref="I2625:K2625"/>
    <mergeCell ref="L2625:N2625"/>
    <mergeCell ref="A2622:B2622"/>
    <mergeCell ref="A2623:N2623"/>
    <mergeCell ref="K2624:N2624"/>
    <mergeCell ref="A2625:A2626"/>
    <mergeCell ref="B2625:B2626"/>
    <mergeCell ref="C2625:E2625"/>
    <mergeCell ref="F2625:H2625"/>
    <mergeCell ref="I2321:K2321"/>
    <mergeCell ref="L2321:N2321"/>
    <mergeCell ref="A2318:B2318"/>
    <mergeCell ref="A2319:N2319"/>
    <mergeCell ref="K2320:N2320"/>
    <mergeCell ref="A2321:A2322"/>
    <mergeCell ref="B2321:B2322"/>
    <mergeCell ref="C2321:E2321"/>
    <mergeCell ref="F2321:H2321"/>
    <mergeCell ref="I2283:K2283"/>
    <mergeCell ref="L2283:N2283"/>
    <mergeCell ref="A114:B114"/>
    <mergeCell ref="A115:N115"/>
    <mergeCell ref="K116:N116"/>
    <mergeCell ref="A117:A118"/>
    <mergeCell ref="B117:B118"/>
    <mergeCell ref="C117:E117"/>
    <mergeCell ref="F117:H117"/>
    <mergeCell ref="A152:B152"/>
    <mergeCell ref="A153:N153"/>
    <mergeCell ref="I117:K117"/>
    <mergeCell ref="L117:N117"/>
    <mergeCell ref="B193:B194"/>
    <mergeCell ref="C193:E193"/>
    <mergeCell ref="F193:H193"/>
    <mergeCell ref="I231:K231"/>
    <mergeCell ref="L231:N231"/>
    <mergeCell ref="A228:B228"/>
    <mergeCell ref="A229:N229"/>
    <mergeCell ref="K230:N230"/>
    <mergeCell ref="A231:A232"/>
    <mergeCell ref="B231:B232"/>
    <mergeCell ref="C231:E231"/>
    <mergeCell ref="F231:H231"/>
    <mergeCell ref="I2663:K2663"/>
    <mergeCell ref="L2663:N2663"/>
    <mergeCell ref="A2660:B2660"/>
    <mergeCell ref="A2661:N2661"/>
    <mergeCell ref="K2662:N2662"/>
    <mergeCell ref="A2663:A2664"/>
    <mergeCell ref="B2663:B2664"/>
    <mergeCell ref="C2663:E2663"/>
    <mergeCell ref="F2663:H2663"/>
    <mergeCell ref="A2435:A2436"/>
    <mergeCell ref="B2435:B2436"/>
    <mergeCell ref="C2435:E2435"/>
    <mergeCell ref="F2435:H2435"/>
    <mergeCell ref="I2473:K2473"/>
    <mergeCell ref="L2473:N2473"/>
    <mergeCell ref="A2470:B2470"/>
    <mergeCell ref="A2471:N2471"/>
    <mergeCell ref="K2472:N2472"/>
    <mergeCell ref="A2473:A2474"/>
    <mergeCell ref="B2473:B2474"/>
    <mergeCell ref="C2473:E2473"/>
    <mergeCell ref="F2473:H2473"/>
    <mergeCell ref="I2511:K2511"/>
    <mergeCell ref="A2698:B2698"/>
    <mergeCell ref="I2359:K2359"/>
    <mergeCell ref="L2359:N2359"/>
    <mergeCell ref="A2356:B2356"/>
    <mergeCell ref="A2357:N2357"/>
    <mergeCell ref="K2358:N2358"/>
    <mergeCell ref="A2359:A2360"/>
    <mergeCell ref="B2359:B2360"/>
    <mergeCell ref="C2359:E2359"/>
    <mergeCell ref="F2359:H2359"/>
    <mergeCell ref="I2397:K2397"/>
    <mergeCell ref="L2397:N2397"/>
    <mergeCell ref="A2394:B2394"/>
    <mergeCell ref="A2395:N2395"/>
    <mergeCell ref="K2396:N2396"/>
    <mergeCell ref="A2397:A2398"/>
    <mergeCell ref="B2397:B2398"/>
    <mergeCell ref="C2397:E2397"/>
    <mergeCell ref="F2397:H2397"/>
    <mergeCell ref="I2435:K2435"/>
    <mergeCell ref="L2435:N2435"/>
    <mergeCell ref="A2432:B2432"/>
    <mergeCell ref="A2433:N2433"/>
    <mergeCell ref="K2434:N2434"/>
    <mergeCell ref="I2549:K2549"/>
    <mergeCell ref="L2549:N2549"/>
    <mergeCell ref="A2546:B2546"/>
    <mergeCell ref="A2547:N2547"/>
    <mergeCell ref="K2548:N2548"/>
    <mergeCell ref="A2549:A2550"/>
    <mergeCell ref="B2549:B2550"/>
    <mergeCell ref="C2549:E2549"/>
    <mergeCell ref="F2549:H2549"/>
    <mergeCell ref="A266:B266"/>
    <mergeCell ref="A267:N267"/>
    <mergeCell ref="K268:N268"/>
    <mergeCell ref="A269:A270"/>
    <mergeCell ref="B269:B270"/>
    <mergeCell ref="C269:E269"/>
    <mergeCell ref="F269:H269"/>
    <mergeCell ref="I2587:K2587"/>
    <mergeCell ref="L2587:N2587"/>
    <mergeCell ref="A2584:B2584"/>
    <mergeCell ref="A2585:N2585"/>
    <mergeCell ref="K2586:N2586"/>
    <mergeCell ref="A2587:A2588"/>
    <mergeCell ref="B2587:B2588"/>
    <mergeCell ref="C2587:E2587"/>
    <mergeCell ref="F2587:H2587"/>
    <mergeCell ref="L2511:N2511"/>
    <mergeCell ref="A2508:B2508"/>
    <mergeCell ref="A2509:N2509"/>
    <mergeCell ref="K2510:N2510"/>
    <mergeCell ref="A2511:A2512"/>
    <mergeCell ref="B2511:B2512"/>
    <mergeCell ref="C2511:E2511"/>
    <mergeCell ref="F2511:H2511"/>
    <mergeCell ref="A304:B304"/>
    <mergeCell ref="A305:N305"/>
    <mergeCell ref="K306:N306"/>
    <mergeCell ref="A307:A308"/>
    <mergeCell ref="B307:B308"/>
    <mergeCell ref="C307:E307"/>
    <mergeCell ref="F307:H307"/>
    <mergeCell ref="I269:K269"/>
    <mergeCell ref="L269:N269"/>
    <mergeCell ref="A342:B342"/>
    <mergeCell ref="A343:N343"/>
    <mergeCell ref="K344:N344"/>
    <mergeCell ref="A345:A346"/>
    <mergeCell ref="B345:B346"/>
    <mergeCell ref="C345:E345"/>
    <mergeCell ref="F345:H345"/>
    <mergeCell ref="I307:K307"/>
    <mergeCell ref="L307:N307"/>
    <mergeCell ref="A380:B380"/>
    <mergeCell ref="A381:N381"/>
    <mergeCell ref="K382:N382"/>
    <mergeCell ref="A383:A384"/>
    <mergeCell ref="B383:B384"/>
    <mergeCell ref="C383:E383"/>
    <mergeCell ref="F383:H383"/>
    <mergeCell ref="I345:K345"/>
    <mergeCell ref="L345:N345"/>
    <mergeCell ref="A418:B418"/>
    <mergeCell ref="A419:N419"/>
    <mergeCell ref="K420:N420"/>
    <mergeCell ref="A421:A422"/>
    <mergeCell ref="B421:B422"/>
    <mergeCell ref="C421:E421"/>
    <mergeCell ref="F421:H421"/>
    <mergeCell ref="I383:K383"/>
    <mergeCell ref="L383:N383"/>
    <mergeCell ref="A456:B456"/>
    <mergeCell ref="A457:N457"/>
    <mergeCell ref="K458:N458"/>
    <mergeCell ref="A459:A460"/>
    <mergeCell ref="B459:B460"/>
    <mergeCell ref="C459:E459"/>
    <mergeCell ref="F459:H459"/>
    <mergeCell ref="I421:K421"/>
    <mergeCell ref="L421:N421"/>
    <mergeCell ref="A494:B494"/>
    <mergeCell ref="A495:N495"/>
    <mergeCell ref="K496:N496"/>
    <mergeCell ref="A497:A498"/>
    <mergeCell ref="B497:B498"/>
    <mergeCell ref="C497:E497"/>
    <mergeCell ref="F497:H497"/>
    <mergeCell ref="I459:K459"/>
    <mergeCell ref="L459:N459"/>
    <mergeCell ref="A532:B532"/>
    <mergeCell ref="A533:N533"/>
    <mergeCell ref="K534:N534"/>
    <mergeCell ref="A535:A536"/>
    <mergeCell ref="B535:B536"/>
    <mergeCell ref="C535:E535"/>
    <mergeCell ref="F535:H535"/>
    <mergeCell ref="I497:K497"/>
    <mergeCell ref="L497:N497"/>
    <mergeCell ref="A570:B570"/>
    <mergeCell ref="A571:N571"/>
    <mergeCell ref="K572:N572"/>
    <mergeCell ref="A573:A574"/>
    <mergeCell ref="B573:B574"/>
    <mergeCell ref="C573:E573"/>
    <mergeCell ref="F573:H573"/>
    <mergeCell ref="I535:K535"/>
    <mergeCell ref="L535:N535"/>
    <mergeCell ref="A608:B608"/>
    <mergeCell ref="A609:N609"/>
    <mergeCell ref="K610:N610"/>
    <mergeCell ref="A611:A612"/>
    <mergeCell ref="B611:B612"/>
    <mergeCell ref="C611:E611"/>
    <mergeCell ref="F611:H611"/>
    <mergeCell ref="I573:K573"/>
    <mergeCell ref="L573:N573"/>
    <mergeCell ref="A646:B646"/>
    <mergeCell ref="A647:N647"/>
    <mergeCell ref="K648:N648"/>
    <mergeCell ref="A649:A650"/>
    <mergeCell ref="B649:B650"/>
    <mergeCell ref="C649:E649"/>
    <mergeCell ref="F649:H649"/>
    <mergeCell ref="I611:K611"/>
    <mergeCell ref="L611:N611"/>
    <mergeCell ref="A684:B684"/>
    <mergeCell ref="A685:N685"/>
    <mergeCell ref="K686:N686"/>
    <mergeCell ref="A687:A688"/>
    <mergeCell ref="B687:B688"/>
    <mergeCell ref="C687:E687"/>
    <mergeCell ref="F687:H687"/>
    <mergeCell ref="I649:K649"/>
    <mergeCell ref="L649:N649"/>
    <mergeCell ref="A722:B722"/>
    <mergeCell ref="A723:N723"/>
    <mergeCell ref="K724:N724"/>
    <mergeCell ref="A725:A726"/>
    <mergeCell ref="B725:B726"/>
    <mergeCell ref="C725:E725"/>
    <mergeCell ref="F725:H725"/>
    <mergeCell ref="I687:K687"/>
    <mergeCell ref="L687:N687"/>
    <mergeCell ref="A760:B760"/>
    <mergeCell ref="A761:N761"/>
    <mergeCell ref="K762:N762"/>
    <mergeCell ref="A763:A764"/>
    <mergeCell ref="B763:B764"/>
    <mergeCell ref="C763:E763"/>
    <mergeCell ref="F763:H763"/>
    <mergeCell ref="I725:K725"/>
    <mergeCell ref="L725:N725"/>
    <mergeCell ref="A798:B798"/>
    <mergeCell ref="A799:N799"/>
    <mergeCell ref="K800:N800"/>
    <mergeCell ref="A801:A802"/>
    <mergeCell ref="B801:B802"/>
    <mergeCell ref="C801:E801"/>
    <mergeCell ref="F801:H801"/>
    <mergeCell ref="I763:K763"/>
    <mergeCell ref="L763:N763"/>
    <mergeCell ref="A836:B836"/>
    <mergeCell ref="A837:N837"/>
    <mergeCell ref="K838:N838"/>
    <mergeCell ref="A839:A840"/>
    <mergeCell ref="B839:B840"/>
    <mergeCell ref="C839:E839"/>
    <mergeCell ref="F839:H839"/>
    <mergeCell ref="I801:K801"/>
    <mergeCell ref="L801:N801"/>
    <mergeCell ref="A874:B874"/>
    <mergeCell ref="A875:N875"/>
    <mergeCell ref="K876:N876"/>
    <mergeCell ref="A877:A878"/>
    <mergeCell ref="B877:B878"/>
    <mergeCell ref="C877:E877"/>
    <mergeCell ref="F877:H877"/>
    <mergeCell ref="I839:K839"/>
    <mergeCell ref="L839:N839"/>
    <mergeCell ref="A912:B912"/>
    <mergeCell ref="A913:N913"/>
    <mergeCell ref="K914:N914"/>
    <mergeCell ref="A915:A916"/>
    <mergeCell ref="B915:B916"/>
    <mergeCell ref="C915:E915"/>
    <mergeCell ref="F915:H915"/>
    <mergeCell ref="I877:K877"/>
    <mergeCell ref="L877:N877"/>
    <mergeCell ref="A950:B950"/>
    <mergeCell ref="A951:N951"/>
    <mergeCell ref="K952:N952"/>
    <mergeCell ref="A953:A954"/>
    <mergeCell ref="B953:B954"/>
    <mergeCell ref="C953:E953"/>
    <mergeCell ref="F953:H953"/>
    <mergeCell ref="I915:K915"/>
    <mergeCell ref="L915:N915"/>
    <mergeCell ref="A988:B988"/>
    <mergeCell ref="A989:N989"/>
    <mergeCell ref="K990:N990"/>
    <mergeCell ref="A991:A992"/>
    <mergeCell ref="B991:B992"/>
    <mergeCell ref="C991:E991"/>
    <mergeCell ref="F991:H991"/>
    <mergeCell ref="I953:K953"/>
    <mergeCell ref="L953:N953"/>
    <mergeCell ref="A1026:B1026"/>
    <mergeCell ref="A1027:N1027"/>
    <mergeCell ref="K1028:N1028"/>
    <mergeCell ref="A1029:A1030"/>
    <mergeCell ref="B1029:B1030"/>
    <mergeCell ref="C1029:E1029"/>
    <mergeCell ref="F1029:H1029"/>
    <mergeCell ref="I991:K991"/>
    <mergeCell ref="L991:N991"/>
    <mergeCell ref="A1064:B1064"/>
    <mergeCell ref="A1065:N1065"/>
    <mergeCell ref="K1066:N1066"/>
    <mergeCell ref="A1067:A1068"/>
    <mergeCell ref="B1067:B1068"/>
    <mergeCell ref="C1067:E1067"/>
    <mergeCell ref="F1067:H1067"/>
    <mergeCell ref="I1029:K1029"/>
    <mergeCell ref="L1029:N1029"/>
    <mergeCell ref="A1102:B1102"/>
    <mergeCell ref="A1103:N1103"/>
    <mergeCell ref="K1104:N1104"/>
    <mergeCell ref="A1105:A1106"/>
    <mergeCell ref="B1105:B1106"/>
    <mergeCell ref="C1105:E1105"/>
    <mergeCell ref="F1105:H1105"/>
    <mergeCell ref="I1067:K1067"/>
    <mergeCell ref="L1067:N1067"/>
    <mergeCell ref="A1140:B1140"/>
    <mergeCell ref="A1141:N1141"/>
    <mergeCell ref="K1142:N1142"/>
    <mergeCell ref="A1143:A1144"/>
    <mergeCell ref="B1143:B1144"/>
    <mergeCell ref="C1143:E1143"/>
    <mergeCell ref="F1143:H1143"/>
    <mergeCell ref="I1105:K1105"/>
    <mergeCell ref="L1105:N1105"/>
    <mergeCell ref="A1178:B1178"/>
    <mergeCell ref="A1179:N1179"/>
    <mergeCell ref="K1180:N1180"/>
    <mergeCell ref="A1181:A1182"/>
    <mergeCell ref="B1181:B1182"/>
    <mergeCell ref="C1181:E1181"/>
    <mergeCell ref="F1181:H1181"/>
    <mergeCell ref="I1143:K1143"/>
    <mergeCell ref="L1143:N1143"/>
    <mergeCell ref="A1216:B1216"/>
    <mergeCell ref="A1217:N1217"/>
    <mergeCell ref="K1218:N1218"/>
    <mergeCell ref="A1219:A1220"/>
    <mergeCell ref="B1219:B1220"/>
    <mergeCell ref="C1219:E1219"/>
    <mergeCell ref="F1219:H1219"/>
    <mergeCell ref="I1181:K1181"/>
    <mergeCell ref="L1181:N1181"/>
    <mergeCell ref="A1254:B1254"/>
    <mergeCell ref="A1255:N1255"/>
    <mergeCell ref="K1256:N1256"/>
    <mergeCell ref="A1257:A1258"/>
    <mergeCell ref="B1257:B1258"/>
    <mergeCell ref="C1257:E1257"/>
    <mergeCell ref="F1257:H1257"/>
    <mergeCell ref="I1219:K1219"/>
    <mergeCell ref="L1219:N1219"/>
    <mergeCell ref="A1292:B1292"/>
    <mergeCell ref="A1293:N1293"/>
    <mergeCell ref="K1294:N1294"/>
    <mergeCell ref="A1295:A1296"/>
    <mergeCell ref="B1295:B1296"/>
    <mergeCell ref="C1295:E1295"/>
    <mergeCell ref="F1295:H1295"/>
    <mergeCell ref="I1257:K1257"/>
    <mergeCell ref="L1257:N1257"/>
    <mergeCell ref="A1330:B1330"/>
    <mergeCell ref="A1331:N1331"/>
    <mergeCell ref="K1332:N1332"/>
    <mergeCell ref="A1333:A1334"/>
    <mergeCell ref="B1333:B1334"/>
    <mergeCell ref="C1333:E1333"/>
    <mergeCell ref="F1333:H1333"/>
    <mergeCell ref="I1295:K1295"/>
    <mergeCell ref="L1295:N1295"/>
    <mergeCell ref="A1368:B1368"/>
    <mergeCell ref="A1369:N1369"/>
    <mergeCell ref="K1370:N1370"/>
    <mergeCell ref="A1371:A1372"/>
    <mergeCell ref="B1371:B1372"/>
    <mergeCell ref="C1371:E1371"/>
    <mergeCell ref="F1371:H1371"/>
    <mergeCell ref="I1333:K1333"/>
    <mergeCell ref="L1333:N1333"/>
    <mergeCell ref="A1406:B1406"/>
    <mergeCell ref="A1407:N1407"/>
    <mergeCell ref="K1408:N1408"/>
    <mergeCell ref="A1409:A1410"/>
    <mergeCell ref="B1409:B1410"/>
    <mergeCell ref="C1409:E1409"/>
    <mergeCell ref="F1409:H1409"/>
    <mergeCell ref="I1371:K1371"/>
    <mergeCell ref="L1371:N1371"/>
    <mergeCell ref="A1444:B1444"/>
    <mergeCell ref="A1445:N1445"/>
    <mergeCell ref="K1446:N1446"/>
    <mergeCell ref="A1447:A1448"/>
    <mergeCell ref="B1447:B1448"/>
    <mergeCell ref="C1447:E1447"/>
    <mergeCell ref="F1447:H1447"/>
    <mergeCell ref="I1409:K1409"/>
    <mergeCell ref="L1409:N1409"/>
    <mergeCell ref="A1482:B1482"/>
    <mergeCell ref="A1483:N1483"/>
    <mergeCell ref="K1484:N1484"/>
    <mergeCell ref="A1485:A1486"/>
    <mergeCell ref="B1485:B1486"/>
    <mergeCell ref="C1485:E1485"/>
    <mergeCell ref="F1485:H1485"/>
    <mergeCell ref="I1447:K1447"/>
    <mergeCell ref="L1447:N1447"/>
    <mergeCell ref="A1520:B1520"/>
    <mergeCell ref="A1521:N1521"/>
    <mergeCell ref="K1522:N1522"/>
    <mergeCell ref="A1523:A1524"/>
    <mergeCell ref="B1523:B1524"/>
    <mergeCell ref="C1523:E1523"/>
    <mergeCell ref="F1523:H1523"/>
    <mergeCell ref="I1485:K1485"/>
    <mergeCell ref="L1485:N1485"/>
    <mergeCell ref="A1558:B1558"/>
    <mergeCell ref="I1523:K1523"/>
    <mergeCell ref="L1523:N1523"/>
    <mergeCell ref="I1561:K1561"/>
    <mergeCell ref="L1561:N1561"/>
    <mergeCell ref="A1559:N1559"/>
    <mergeCell ref="K1560:N1560"/>
    <mergeCell ref="A1561:A1562"/>
    <mergeCell ref="B1561:B1562"/>
    <mergeCell ref="C1561:E1561"/>
    <mergeCell ref="F1561:H1561"/>
    <mergeCell ref="I1599:K1599"/>
    <mergeCell ref="L1599:N1599"/>
    <mergeCell ref="A1596:B1596"/>
    <mergeCell ref="A1597:N1597"/>
    <mergeCell ref="K1598:N1598"/>
    <mergeCell ref="A1599:A1600"/>
    <mergeCell ref="B1599:B1600"/>
    <mergeCell ref="C1599:E1599"/>
    <mergeCell ref="F1599:H1599"/>
    <mergeCell ref="I1637:K1637"/>
    <mergeCell ref="L1637:N1637"/>
    <mergeCell ref="A1634:B1634"/>
    <mergeCell ref="A1635:N1635"/>
    <mergeCell ref="K1636:N1636"/>
    <mergeCell ref="A1637:A1638"/>
    <mergeCell ref="B1637:B1638"/>
    <mergeCell ref="C1637:E1637"/>
    <mergeCell ref="F1637:H1637"/>
    <mergeCell ref="I1675:K1675"/>
    <mergeCell ref="L1675:N1675"/>
    <mergeCell ref="A1672:B1672"/>
    <mergeCell ref="A1673:N1673"/>
    <mergeCell ref="K1674:N1674"/>
    <mergeCell ref="A1675:A1676"/>
    <mergeCell ref="B1675:B1676"/>
    <mergeCell ref="C1675:E1675"/>
    <mergeCell ref="F1675:H1675"/>
    <mergeCell ref="I1713:K1713"/>
    <mergeCell ref="L1713:N1713"/>
    <mergeCell ref="A1710:B1710"/>
    <mergeCell ref="A1711:N1711"/>
    <mergeCell ref="K1712:N1712"/>
    <mergeCell ref="A1713:A1714"/>
    <mergeCell ref="B1713:B1714"/>
    <mergeCell ref="C1713:E1713"/>
    <mergeCell ref="F1713:H1713"/>
    <mergeCell ref="I1751:K1751"/>
    <mergeCell ref="L1751:N1751"/>
    <mergeCell ref="A1748:B1748"/>
    <mergeCell ref="A1749:N1749"/>
    <mergeCell ref="K1750:N1750"/>
    <mergeCell ref="A1751:A1752"/>
    <mergeCell ref="B1751:B1752"/>
    <mergeCell ref="C1751:E1751"/>
    <mergeCell ref="F1751:H1751"/>
    <mergeCell ref="I1789:K1789"/>
    <mergeCell ref="L1789:N1789"/>
    <mergeCell ref="A1786:B1786"/>
    <mergeCell ref="A1787:N1787"/>
    <mergeCell ref="K1788:N1788"/>
    <mergeCell ref="A1789:A1790"/>
    <mergeCell ref="B1789:B1790"/>
    <mergeCell ref="C1789:E1789"/>
    <mergeCell ref="F1789:H1789"/>
    <mergeCell ref="I1827:K1827"/>
    <mergeCell ref="L1827:N1827"/>
    <mergeCell ref="A1824:B1824"/>
    <mergeCell ref="A1825:N1825"/>
    <mergeCell ref="K1826:N1826"/>
    <mergeCell ref="A1827:A1828"/>
    <mergeCell ref="B1827:B1828"/>
    <mergeCell ref="C1827:E1827"/>
    <mergeCell ref="F1827:H1827"/>
    <mergeCell ref="I1865:K1865"/>
    <mergeCell ref="L1865:N1865"/>
    <mergeCell ref="A1862:B1862"/>
    <mergeCell ref="A1863:N1863"/>
    <mergeCell ref="K1864:N1864"/>
    <mergeCell ref="A1865:A1866"/>
    <mergeCell ref="B1865:B1866"/>
    <mergeCell ref="C1865:E1865"/>
    <mergeCell ref="F1865:H1865"/>
    <mergeCell ref="I1903:K1903"/>
    <mergeCell ref="L1903:N1903"/>
    <mergeCell ref="A1900:B1900"/>
    <mergeCell ref="A1901:N1901"/>
    <mergeCell ref="K1902:N1902"/>
    <mergeCell ref="A1903:A1904"/>
    <mergeCell ref="B1903:B1904"/>
    <mergeCell ref="C1903:E1903"/>
    <mergeCell ref="F1903:H1903"/>
    <mergeCell ref="A1979:A1980"/>
    <mergeCell ref="B1979:B1980"/>
    <mergeCell ref="C1979:E1979"/>
    <mergeCell ref="F1979:H1979"/>
    <mergeCell ref="I1941:K1941"/>
    <mergeCell ref="L1941:N1941"/>
    <mergeCell ref="A1938:B1938"/>
    <mergeCell ref="A1939:N1939"/>
    <mergeCell ref="K1940:N1940"/>
    <mergeCell ref="A1941:A1942"/>
    <mergeCell ref="B1941:B1942"/>
    <mergeCell ref="C1941:E1941"/>
    <mergeCell ref="F1941:H1941"/>
    <mergeCell ref="I1979:K1979"/>
    <mergeCell ref="L1979:N1979"/>
    <mergeCell ref="A1976:B1976"/>
    <mergeCell ref="A1977:N1977"/>
    <mergeCell ref="K1978:N1978"/>
    <mergeCell ref="I2055:K2055"/>
    <mergeCell ref="L2055:N2055"/>
    <mergeCell ref="A2052:B2052"/>
    <mergeCell ref="A2053:N2053"/>
    <mergeCell ref="K2054:N2054"/>
    <mergeCell ref="A2055:A2056"/>
    <mergeCell ref="B2055:B2056"/>
    <mergeCell ref="C2055:E2055"/>
    <mergeCell ref="F2055:H2055"/>
    <mergeCell ref="I2017:K2017"/>
    <mergeCell ref="L2017:N2017"/>
    <mergeCell ref="A2014:B2014"/>
    <mergeCell ref="A2015:N2015"/>
    <mergeCell ref="K2016:N2016"/>
    <mergeCell ref="A2017:A2018"/>
    <mergeCell ref="B2017:B2018"/>
    <mergeCell ref="C2017:E2017"/>
    <mergeCell ref="F2017:H2017"/>
  </mergeCells>
  <conditionalFormatting sqref="C1:N1048576">
    <cfRule type="cellIs" dxfId="1" priority="1" operator="equal">
      <formula>0</formula>
    </cfRule>
    <cfRule type="cellIs" dxfId="0" priority="2" operator="equal">
      <formula>0</formula>
    </cfRule>
  </conditionalFormatting>
  <printOptions horizontalCentered="1"/>
  <pageMargins left="0.11811023622047245" right="0.11811023622047245" top="0.74803149606299213" bottom="0.74803149606299213" header="0.31496062992125984" footer="0.31496062992125984"/>
  <pageSetup paperSize="9" scale="59" fitToHeight="0" orientation="landscape" r:id="rId1"/>
  <headerFooter>
    <oddFooter>&amp;CPage &amp;P of</oddFooter>
  </headerFooter>
  <rowBreaks count="44" manualBreakCount="44">
    <brk id="38" max="13" man="1"/>
    <brk id="76" max="13" man="1"/>
    <brk id="114" max="13" man="1"/>
    <brk id="152" max="13" man="1"/>
    <brk id="190" max="13" man="1"/>
    <brk id="228" max="13" man="1"/>
    <brk id="266" max="13" man="1"/>
    <brk id="304" max="13" man="1"/>
    <brk id="342" max="13" man="1"/>
    <brk id="380" max="13" man="1"/>
    <brk id="418" max="13" man="1"/>
    <brk id="456" max="13" man="1"/>
    <brk id="532" max="13" man="1"/>
    <brk id="570" max="13" man="1"/>
    <brk id="608" max="13" man="1"/>
    <brk id="684" max="13" man="1"/>
    <brk id="760" max="13" man="1"/>
    <brk id="836" max="13" man="1"/>
    <brk id="875" max="13" man="1"/>
    <brk id="912" max="13" man="1"/>
    <brk id="950" max="13" man="1"/>
    <brk id="988" max="13" man="1"/>
    <brk id="1064" max="13" man="1"/>
    <brk id="1140" max="13" man="1"/>
    <brk id="1216" max="13" man="1"/>
    <brk id="1292" max="13" man="1"/>
    <brk id="1368" max="13" man="1"/>
    <brk id="1444" max="13" man="1"/>
    <brk id="1520" max="13" man="1"/>
    <brk id="1558" max="13" man="1"/>
    <brk id="1634" max="13" man="1"/>
    <brk id="1710" max="13" man="1"/>
    <brk id="1786" max="13" man="1"/>
    <brk id="1862" max="13" man="1"/>
    <brk id="1938" max="13" man="1"/>
    <brk id="2014" max="13" man="1"/>
    <brk id="2090" max="13" man="1"/>
    <brk id="2166" max="13" man="1"/>
    <brk id="2242" max="13" man="1"/>
    <brk id="2318" max="13" man="1"/>
    <brk id="2394" max="13" man="1"/>
    <brk id="2470" max="13" man="1"/>
    <brk id="2546" max="13" man="1"/>
    <brk id="2622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U996"/>
  <sheetViews>
    <sheetView view="pageBreakPreview" topLeftCell="A19" zoomScale="70" zoomScaleNormal="70" zoomScaleSheetLayoutView="70" workbookViewId="0">
      <selection activeCell="C89" sqref="C89"/>
    </sheetView>
  </sheetViews>
  <sheetFormatPr defaultColWidth="14.42578125" defaultRowHeight="15" customHeight="1" x14ac:dyDescent="0.2"/>
  <cols>
    <col min="1" max="1" width="42.5703125" style="48" customWidth="1"/>
    <col min="2" max="13" width="18.5703125" style="48" customWidth="1"/>
    <col min="14" max="18" width="8.7109375" style="48" customWidth="1"/>
    <col min="19" max="16384" width="14.42578125" style="48"/>
  </cols>
  <sheetData>
    <row r="1" spans="1:18" ht="37.5" customHeight="1" x14ac:dyDescent="0.2">
      <c r="A1" s="167" t="s">
        <v>242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</row>
    <row r="2" spans="1:18" ht="38.25" customHeight="1" x14ac:dyDescent="0.2">
      <c r="A2" s="169" t="s">
        <v>248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54"/>
      <c r="O2" s="54"/>
      <c r="P2" s="54"/>
      <c r="Q2" s="54"/>
      <c r="R2" s="54"/>
    </row>
    <row r="3" spans="1:18" ht="22.5" customHeight="1" thickBot="1" x14ac:dyDescent="0.25">
      <c r="A3" s="181" t="s">
        <v>113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54"/>
      <c r="O3" s="54"/>
      <c r="P3" s="54"/>
      <c r="Q3" s="54"/>
      <c r="R3" s="54"/>
    </row>
    <row r="4" spans="1:18" ht="24" customHeight="1" x14ac:dyDescent="0.2">
      <c r="A4" s="171" t="s">
        <v>114</v>
      </c>
      <c r="B4" s="178" t="s">
        <v>243</v>
      </c>
      <c r="C4" s="179"/>
      <c r="D4" s="180"/>
      <c r="E4" s="174" t="s">
        <v>244</v>
      </c>
      <c r="F4" s="174"/>
      <c r="G4" s="174"/>
      <c r="H4" s="173" t="s">
        <v>246</v>
      </c>
      <c r="I4" s="174"/>
      <c r="J4" s="175"/>
      <c r="K4" s="176" t="s">
        <v>4</v>
      </c>
      <c r="L4" s="176"/>
      <c r="M4" s="177"/>
      <c r="N4" s="54"/>
      <c r="O4" s="54"/>
      <c r="P4" s="54"/>
      <c r="Q4" s="54"/>
      <c r="R4" s="54"/>
    </row>
    <row r="5" spans="1:18" ht="24" customHeight="1" thickBot="1" x14ac:dyDescent="0.25">
      <c r="A5" s="172"/>
      <c r="B5" s="123" t="s">
        <v>5</v>
      </c>
      <c r="C5" s="68" t="s">
        <v>6</v>
      </c>
      <c r="D5" s="69" t="s">
        <v>7</v>
      </c>
      <c r="E5" s="115" t="s">
        <v>5</v>
      </c>
      <c r="F5" s="68" t="s">
        <v>6</v>
      </c>
      <c r="G5" s="107" t="s">
        <v>7</v>
      </c>
      <c r="H5" s="123" t="s">
        <v>5</v>
      </c>
      <c r="I5" s="68" t="s">
        <v>6</v>
      </c>
      <c r="J5" s="69" t="s">
        <v>7</v>
      </c>
      <c r="K5" s="115" t="s">
        <v>5</v>
      </c>
      <c r="L5" s="68" t="s">
        <v>6</v>
      </c>
      <c r="M5" s="69" t="s">
        <v>7</v>
      </c>
      <c r="N5" s="54"/>
      <c r="O5" s="54"/>
      <c r="P5" s="54"/>
      <c r="Q5" s="54"/>
      <c r="R5" s="54"/>
    </row>
    <row r="6" spans="1:18" ht="24" customHeight="1" x14ac:dyDescent="0.2">
      <c r="A6" s="104" t="s">
        <v>115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6"/>
      <c r="N6" s="54"/>
      <c r="O6" s="54"/>
      <c r="P6" s="54"/>
      <c r="Q6" s="54"/>
      <c r="R6" s="54"/>
    </row>
    <row r="7" spans="1:18" ht="24" customHeight="1" x14ac:dyDescent="0.2">
      <c r="A7" s="131" t="s">
        <v>116</v>
      </c>
      <c r="B7" s="124">
        <v>7038.44</v>
      </c>
      <c r="C7" s="62">
        <v>18565.815505950275</v>
      </c>
      <c r="D7" s="65">
        <v>2637.7742093347783</v>
      </c>
      <c r="E7" s="116">
        <v>7165.8499999999985</v>
      </c>
      <c r="F7" s="62">
        <v>19125.472129734775</v>
      </c>
      <c r="G7" s="108">
        <v>2668.9746687043103</v>
      </c>
      <c r="H7" s="124">
        <v>7413.9900000000007</v>
      </c>
      <c r="I7" s="62">
        <v>18590.298689129067</v>
      </c>
      <c r="J7" s="65">
        <v>2507.4620668667026</v>
      </c>
      <c r="K7" s="116">
        <v>7206.0933333333332</v>
      </c>
      <c r="L7" s="62">
        <v>18760.528774938037</v>
      </c>
      <c r="M7" s="65">
        <v>2603.4257269687555</v>
      </c>
      <c r="N7" s="54"/>
      <c r="O7" s="54"/>
      <c r="P7" s="54"/>
      <c r="Q7" s="54"/>
      <c r="R7" s="54"/>
    </row>
    <row r="8" spans="1:18" ht="24" customHeight="1" x14ac:dyDescent="0.2">
      <c r="A8" s="131" t="s">
        <v>117</v>
      </c>
      <c r="B8" s="124">
        <v>1641.1699999999998</v>
      </c>
      <c r="C8" s="62">
        <v>3096.9954444792561</v>
      </c>
      <c r="D8" s="65">
        <v>1887.065596177883</v>
      </c>
      <c r="E8" s="116">
        <v>1565.2799999999997</v>
      </c>
      <c r="F8" s="62">
        <v>3099.0177491939276</v>
      </c>
      <c r="G8" s="108">
        <v>1979.8488124769551</v>
      </c>
      <c r="H8" s="124">
        <v>1448.46</v>
      </c>
      <c r="I8" s="62">
        <v>3005.6209606686662</v>
      </c>
      <c r="J8" s="65">
        <v>2075.0458836755356</v>
      </c>
      <c r="K8" s="116">
        <v>1551.6366666666665</v>
      </c>
      <c r="L8" s="62">
        <v>3067.2113847806163</v>
      </c>
      <c r="M8" s="65">
        <v>1976.7587674824756</v>
      </c>
      <c r="N8" s="54"/>
      <c r="O8" s="54"/>
      <c r="P8" s="54"/>
      <c r="Q8" s="54"/>
      <c r="R8" s="54"/>
    </row>
    <row r="9" spans="1:18" ht="24" customHeight="1" x14ac:dyDescent="0.2">
      <c r="A9" s="132" t="s">
        <v>118</v>
      </c>
      <c r="B9" s="124">
        <v>8679.61</v>
      </c>
      <c r="C9" s="62">
        <v>21662.810950429532</v>
      </c>
      <c r="D9" s="65">
        <v>2495.8276870077725</v>
      </c>
      <c r="E9" s="116">
        <v>8731.130000000001</v>
      </c>
      <c r="F9" s="62">
        <v>22224.489878928704</v>
      </c>
      <c r="G9" s="108">
        <v>2545.4311044422316</v>
      </c>
      <c r="H9" s="124">
        <v>8862.4499999999989</v>
      </c>
      <c r="I9" s="62">
        <v>21595.919649797739</v>
      </c>
      <c r="J9" s="65">
        <v>2436.7888845407015</v>
      </c>
      <c r="K9" s="116">
        <v>8757.7300000000014</v>
      </c>
      <c r="L9" s="62">
        <v>21827.740159718658</v>
      </c>
      <c r="M9" s="65">
        <v>2492.3970206570257</v>
      </c>
      <c r="N9" s="54"/>
      <c r="O9" s="54"/>
      <c r="P9" s="54"/>
      <c r="Q9" s="54"/>
      <c r="R9" s="54"/>
    </row>
    <row r="10" spans="1:18" ht="24" customHeight="1" x14ac:dyDescent="0.2">
      <c r="A10" s="131" t="s">
        <v>119</v>
      </c>
      <c r="B10" s="124">
        <v>182.93</v>
      </c>
      <c r="C10" s="62">
        <v>251.25598131096856</v>
      </c>
      <c r="D10" s="65">
        <v>1373.5088903458623</v>
      </c>
      <c r="E10" s="116">
        <v>196.31</v>
      </c>
      <c r="F10" s="62">
        <v>246.77426762098733</v>
      </c>
      <c r="G10" s="108">
        <v>1257.0641720798089</v>
      </c>
      <c r="H10" s="124">
        <v>189.66000000000003</v>
      </c>
      <c r="I10" s="62">
        <v>259.01485987829113</v>
      </c>
      <c r="J10" s="65">
        <v>1365.6799529594596</v>
      </c>
      <c r="K10" s="116">
        <v>189.63333333333335</v>
      </c>
      <c r="L10" s="62">
        <v>252.34836960341568</v>
      </c>
      <c r="M10" s="65">
        <v>1330.7173647569819</v>
      </c>
      <c r="N10" s="54"/>
      <c r="O10" s="54"/>
      <c r="P10" s="54"/>
      <c r="Q10" s="54"/>
      <c r="R10" s="54"/>
    </row>
    <row r="11" spans="1:18" ht="24" customHeight="1" x14ac:dyDescent="0.2">
      <c r="A11" s="131" t="s">
        <v>120</v>
      </c>
      <c r="B11" s="124">
        <v>1841.24</v>
      </c>
      <c r="C11" s="62">
        <v>3268.475375206659</v>
      </c>
      <c r="D11" s="65">
        <v>1775.1490165359535</v>
      </c>
      <c r="E11" s="116">
        <v>1972.1699999999996</v>
      </c>
      <c r="F11" s="62">
        <v>3504.0150249102167</v>
      </c>
      <c r="G11" s="108">
        <v>1776.7307204298907</v>
      </c>
      <c r="H11" s="124">
        <v>1683.0699999999997</v>
      </c>
      <c r="I11" s="62">
        <v>3103.679929013128</v>
      </c>
      <c r="J11" s="65">
        <v>1844.0587313736971</v>
      </c>
      <c r="K11" s="116">
        <v>1832.1599999999999</v>
      </c>
      <c r="L11" s="62">
        <v>3292.056776376668</v>
      </c>
      <c r="M11" s="65">
        <v>1796.8172956383003</v>
      </c>
      <c r="N11" s="54"/>
      <c r="O11" s="54"/>
      <c r="P11" s="54"/>
      <c r="Q11" s="54"/>
      <c r="R11" s="54"/>
    </row>
    <row r="12" spans="1:18" ht="24" customHeight="1" x14ac:dyDescent="0.2">
      <c r="A12" s="131" t="s">
        <v>121</v>
      </c>
      <c r="B12" s="124">
        <v>2879.2000000000003</v>
      </c>
      <c r="C12" s="62">
        <v>5487.2516742398229</v>
      </c>
      <c r="D12" s="65">
        <v>1905.8251160877403</v>
      </c>
      <c r="E12" s="116">
        <v>2824.3399999999997</v>
      </c>
      <c r="F12" s="62">
        <v>5686.2035832952442</v>
      </c>
      <c r="G12" s="108">
        <v>2013.2857882886778</v>
      </c>
      <c r="H12" s="124">
        <v>2860.21</v>
      </c>
      <c r="I12" s="62">
        <v>4216.6040251145805</v>
      </c>
      <c r="J12" s="65">
        <v>1474.2288241473807</v>
      </c>
      <c r="K12" s="116">
        <v>2854.5833333333335</v>
      </c>
      <c r="L12" s="62">
        <v>5130.0197608832159</v>
      </c>
      <c r="M12" s="65">
        <v>1797.1168334724446</v>
      </c>
      <c r="N12" s="54"/>
      <c r="O12" s="54"/>
      <c r="P12" s="54"/>
      <c r="Q12" s="54"/>
      <c r="R12" s="54"/>
    </row>
    <row r="13" spans="1:18" ht="24" customHeight="1" x14ac:dyDescent="0.2">
      <c r="A13" s="131" t="s">
        <v>122</v>
      </c>
      <c r="B13" s="124">
        <v>102.16</v>
      </c>
      <c r="C13" s="62">
        <v>82.990680000000012</v>
      </c>
      <c r="D13" s="65">
        <v>812.35982772122168</v>
      </c>
      <c r="E13" s="116">
        <v>99.3</v>
      </c>
      <c r="F13" s="62">
        <v>81.460144438513453</v>
      </c>
      <c r="G13" s="108">
        <v>820.34385134454635</v>
      </c>
      <c r="H13" s="124">
        <v>99.29</v>
      </c>
      <c r="I13" s="62">
        <v>82.926365453126991</v>
      </c>
      <c r="J13" s="65">
        <v>835.1935285842178</v>
      </c>
      <c r="K13" s="116">
        <v>100.25</v>
      </c>
      <c r="L13" s="62">
        <v>82.45906329721349</v>
      </c>
      <c r="M13" s="65">
        <v>822.5342972290623</v>
      </c>
      <c r="N13" s="54"/>
      <c r="O13" s="54"/>
      <c r="P13" s="54"/>
      <c r="Q13" s="54"/>
      <c r="R13" s="54"/>
    </row>
    <row r="14" spans="1:18" ht="24" customHeight="1" x14ac:dyDescent="0.2">
      <c r="A14" s="131" t="s">
        <v>123</v>
      </c>
      <c r="B14" s="124">
        <v>19.45</v>
      </c>
      <c r="C14" s="62">
        <v>13.100050000000001</v>
      </c>
      <c r="D14" s="65">
        <v>673.52442159383043</v>
      </c>
      <c r="E14" s="116">
        <v>22.270000000000003</v>
      </c>
      <c r="F14" s="62">
        <v>14.26304</v>
      </c>
      <c r="G14" s="108">
        <v>640.45981140547815</v>
      </c>
      <c r="H14" s="124">
        <v>39.56</v>
      </c>
      <c r="I14" s="62">
        <v>26.823200000000003</v>
      </c>
      <c r="J14" s="65">
        <v>678.03842264914067</v>
      </c>
      <c r="K14" s="116">
        <v>27.093333333333334</v>
      </c>
      <c r="L14" s="62">
        <v>18.062096666666665</v>
      </c>
      <c r="M14" s="65">
        <v>666.66203248031491</v>
      </c>
      <c r="N14" s="54"/>
      <c r="O14" s="54"/>
      <c r="P14" s="54"/>
      <c r="Q14" s="54"/>
      <c r="R14" s="54"/>
    </row>
    <row r="15" spans="1:18" ht="24" customHeight="1" thickBot="1" x14ac:dyDescent="0.25">
      <c r="A15" s="133" t="s">
        <v>124</v>
      </c>
      <c r="B15" s="125">
        <v>13704.59</v>
      </c>
      <c r="C15" s="66">
        <v>30765.88471118698</v>
      </c>
      <c r="D15" s="67">
        <v>2244.9328809681265</v>
      </c>
      <c r="E15" s="117">
        <v>13845.52</v>
      </c>
      <c r="F15" s="66">
        <v>31757.205939193667</v>
      </c>
      <c r="G15" s="109">
        <v>2293.6809841157042</v>
      </c>
      <c r="H15" s="125">
        <v>13734.24</v>
      </c>
      <c r="I15" s="66">
        <v>29284.968029256866</v>
      </c>
      <c r="J15" s="67">
        <v>2132.259814103792</v>
      </c>
      <c r="K15" s="117">
        <v>13761.449999999999</v>
      </c>
      <c r="L15" s="66">
        <v>30602.686226545837</v>
      </c>
      <c r="M15" s="67">
        <v>2223.7980900665148</v>
      </c>
      <c r="N15" s="54"/>
      <c r="O15" s="54"/>
      <c r="P15" s="54"/>
      <c r="Q15" s="54"/>
      <c r="R15" s="54"/>
    </row>
    <row r="16" spans="1:18" ht="24" customHeight="1" x14ac:dyDescent="0.2">
      <c r="A16" s="104" t="s">
        <v>125</v>
      </c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6"/>
      <c r="N16" s="55"/>
      <c r="O16" s="55"/>
      <c r="P16" s="55"/>
      <c r="Q16" s="55"/>
      <c r="R16" s="55"/>
    </row>
    <row r="17" spans="1:21" ht="24" customHeight="1" x14ac:dyDescent="0.2">
      <c r="A17" s="131" t="s">
        <v>126</v>
      </c>
      <c r="B17" s="124">
        <v>2437.7099999999996</v>
      </c>
      <c r="C17" s="62">
        <v>2834.9729009019147</v>
      </c>
      <c r="D17" s="65">
        <v>1162.965611537843</v>
      </c>
      <c r="E17" s="116">
        <v>2273.2000000000003</v>
      </c>
      <c r="F17" s="62">
        <v>2907.2185104581622</v>
      </c>
      <c r="G17" s="108">
        <v>1278.9101312942819</v>
      </c>
      <c r="H17" s="124">
        <v>2653.69</v>
      </c>
      <c r="I17" s="62">
        <v>3084.3726906627044</v>
      </c>
      <c r="J17" s="65">
        <v>1162.2957808420367</v>
      </c>
      <c r="K17" s="116">
        <v>2454.8666666666668</v>
      </c>
      <c r="L17" s="62">
        <v>2942.1880340075936</v>
      </c>
      <c r="M17" s="65">
        <v>1198.5123566823427</v>
      </c>
      <c r="N17" s="54"/>
      <c r="O17" s="54"/>
      <c r="P17" s="54"/>
      <c r="Q17" s="54"/>
      <c r="R17" s="54"/>
    </row>
    <row r="18" spans="1:21" ht="24" customHeight="1" x14ac:dyDescent="0.2">
      <c r="A18" s="131" t="s">
        <v>127</v>
      </c>
      <c r="B18" s="124">
        <v>796.24999999999966</v>
      </c>
      <c r="C18" s="62">
        <v>466.37251006321981</v>
      </c>
      <c r="D18" s="65">
        <v>585.71115863512716</v>
      </c>
      <c r="E18" s="116">
        <v>646.15000000000009</v>
      </c>
      <c r="F18" s="62">
        <v>380.0994476716827</v>
      </c>
      <c r="G18" s="108">
        <v>588.25264671002492</v>
      </c>
      <c r="H18" s="124">
        <v>552.16000000000008</v>
      </c>
      <c r="I18" s="62">
        <v>336.10932267054585</v>
      </c>
      <c r="J18" s="65">
        <v>608.71726070440775</v>
      </c>
      <c r="K18" s="116">
        <v>664.85333333333324</v>
      </c>
      <c r="L18" s="62">
        <v>394.19376013514943</v>
      </c>
      <c r="M18" s="65">
        <v>592.90333728012615</v>
      </c>
      <c r="N18" s="54"/>
      <c r="O18" s="54"/>
      <c r="P18" s="54"/>
      <c r="Q18" s="54"/>
      <c r="R18" s="54"/>
    </row>
    <row r="19" spans="1:21" ht="24" customHeight="1" x14ac:dyDescent="0.2">
      <c r="A19" s="131" t="s">
        <v>128</v>
      </c>
      <c r="B19" s="124">
        <v>144.76000000000002</v>
      </c>
      <c r="C19" s="62">
        <v>72.584894541093504</v>
      </c>
      <c r="D19" s="65">
        <v>501.41540854582405</v>
      </c>
      <c r="E19" s="116">
        <v>149.93000000000004</v>
      </c>
      <c r="F19" s="62">
        <v>100.87884194522145</v>
      </c>
      <c r="G19" s="108">
        <v>672.83960478370864</v>
      </c>
      <c r="H19" s="124">
        <v>132.05999999999997</v>
      </c>
      <c r="I19" s="62">
        <v>90.580876164509533</v>
      </c>
      <c r="J19" s="65">
        <v>685.90698292071443</v>
      </c>
      <c r="K19" s="116">
        <v>142.25</v>
      </c>
      <c r="L19" s="62">
        <v>88.014870883608168</v>
      </c>
      <c r="M19" s="65">
        <v>618.73371447176214</v>
      </c>
      <c r="N19" s="54"/>
      <c r="O19" s="54"/>
      <c r="P19" s="54"/>
      <c r="Q19" s="54"/>
      <c r="R19" s="54"/>
    </row>
    <row r="20" spans="1:21" ht="24" customHeight="1" x14ac:dyDescent="0.2">
      <c r="A20" s="131" t="s">
        <v>129</v>
      </c>
      <c r="B20" s="124">
        <v>967.99999999999989</v>
      </c>
      <c r="C20" s="62">
        <v>591.31160596322229</v>
      </c>
      <c r="D20" s="65">
        <v>610.8590970694446</v>
      </c>
      <c r="E20" s="116">
        <v>792.7299999999999</v>
      </c>
      <c r="F20" s="62">
        <v>510.05640221247654</v>
      </c>
      <c r="G20" s="108">
        <v>643.41755984064764</v>
      </c>
      <c r="H20" s="124">
        <v>838.31</v>
      </c>
      <c r="I20" s="62">
        <v>477.80134401449658</v>
      </c>
      <c r="J20" s="65">
        <v>569.95782468835705</v>
      </c>
      <c r="K20" s="116">
        <v>866.34666666666669</v>
      </c>
      <c r="L20" s="62">
        <v>526.38978406339845</v>
      </c>
      <c r="M20" s="65">
        <v>607.59717133641482</v>
      </c>
      <c r="N20" s="54"/>
      <c r="O20" s="54"/>
      <c r="P20" s="54"/>
    </row>
    <row r="21" spans="1:21" ht="24" customHeight="1" x14ac:dyDescent="0.2">
      <c r="A21" s="131" t="s">
        <v>130</v>
      </c>
      <c r="B21" s="124">
        <v>14.469999999999999</v>
      </c>
      <c r="C21" s="62">
        <v>9.5691451000000001</v>
      </c>
      <c r="D21" s="65">
        <v>661.30926744989642</v>
      </c>
      <c r="E21" s="116">
        <v>35.67</v>
      </c>
      <c r="F21" s="62">
        <v>24.047179999999997</v>
      </c>
      <c r="G21" s="108">
        <v>674.15699467339493</v>
      </c>
      <c r="H21" s="124">
        <v>103.35999999999999</v>
      </c>
      <c r="I21" s="62">
        <v>135.02627000000004</v>
      </c>
      <c r="J21" s="65">
        <v>1306.3687113003102</v>
      </c>
      <c r="K21" s="116">
        <v>51.166666666666664</v>
      </c>
      <c r="L21" s="62">
        <v>56.214198366666686</v>
      </c>
      <c r="M21" s="65">
        <v>1098.6488280130297</v>
      </c>
      <c r="N21" s="54"/>
      <c r="O21" s="54"/>
      <c r="P21" s="54"/>
    </row>
    <row r="22" spans="1:21" ht="24" customHeight="1" thickBot="1" x14ac:dyDescent="0.25">
      <c r="A22" s="134" t="s">
        <v>131</v>
      </c>
      <c r="B22" s="125">
        <v>4361.1900000000005</v>
      </c>
      <c r="C22" s="66">
        <v>3974.8110565694501</v>
      </c>
      <c r="D22" s="67">
        <v>911.40515697996409</v>
      </c>
      <c r="E22" s="117">
        <v>3897.6799999999989</v>
      </c>
      <c r="F22" s="66">
        <v>3922.300382287543</v>
      </c>
      <c r="G22" s="109">
        <v>1006.3166761477453</v>
      </c>
      <c r="H22" s="125">
        <v>4279.58</v>
      </c>
      <c r="I22" s="66">
        <v>4123.8905035122561</v>
      </c>
      <c r="J22" s="67">
        <v>963.62037945598786</v>
      </c>
      <c r="K22" s="117">
        <v>4179.4833333333327</v>
      </c>
      <c r="L22" s="66">
        <v>4007.0006474564166</v>
      </c>
      <c r="M22" s="67">
        <v>958.73109853046037</v>
      </c>
      <c r="N22" s="55"/>
      <c r="O22" s="55"/>
      <c r="P22" s="55"/>
    </row>
    <row r="23" spans="1:21" ht="24" customHeight="1" thickBot="1" x14ac:dyDescent="0.25">
      <c r="A23" s="135" t="s">
        <v>132</v>
      </c>
      <c r="B23" s="126">
        <v>18065.78</v>
      </c>
      <c r="C23" s="70">
        <v>34740.695767756435</v>
      </c>
      <c r="D23" s="71">
        <v>1923.0111164730465</v>
      </c>
      <c r="E23" s="118">
        <v>17743.2</v>
      </c>
      <c r="F23" s="70">
        <v>35679.506321481203</v>
      </c>
      <c r="G23" s="110">
        <v>2010.883398793972</v>
      </c>
      <c r="H23" s="126">
        <v>18013.82</v>
      </c>
      <c r="I23" s="70">
        <v>33408.858532769118</v>
      </c>
      <c r="J23" s="71">
        <v>1854.6237573579128</v>
      </c>
      <c r="K23" s="118">
        <v>17940.933333333331</v>
      </c>
      <c r="L23" s="70">
        <v>34609.686874002247</v>
      </c>
      <c r="M23" s="71">
        <v>1929.0906571565722</v>
      </c>
      <c r="N23" s="55"/>
      <c r="O23" s="55"/>
      <c r="P23" s="55"/>
    </row>
    <row r="24" spans="1:21" ht="24" customHeight="1" x14ac:dyDescent="0.2">
      <c r="A24" s="104" t="s">
        <v>133</v>
      </c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6"/>
      <c r="N24" s="54"/>
      <c r="O24" s="54"/>
      <c r="P24" s="54"/>
      <c r="Q24" s="54"/>
      <c r="R24" s="54"/>
    </row>
    <row r="25" spans="1:21" ht="24" customHeight="1" x14ac:dyDescent="0.2">
      <c r="A25" s="131" t="s">
        <v>134</v>
      </c>
      <c r="B25" s="124">
        <v>12660.300000000001</v>
      </c>
      <c r="C25" s="62">
        <v>40822.870097257612</v>
      </c>
      <c r="D25" s="65">
        <v>3224.4788904889783</v>
      </c>
      <c r="E25" s="116">
        <v>12211.7</v>
      </c>
      <c r="F25" s="62">
        <v>38787.189989029481</v>
      </c>
      <c r="G25" s="108">
        <v>3176.2318095784763</v>
      </c>
      <c r="H25" s="124">
        <v>13446.84</v>
      </c>
      <c r="I25" s="62">
        <v>44711.734007456347</v>
      </c>
      <c r="J25" s="65">
        <v>3325.0736981667328</v>
      </c>
      <c r="K25" s="116">
        <v>12772.946666666665</v>
      </c>
      <c r="L25" s="62">
        <v>41440.598031247813</v>
      </c>
      <c r="M25" s="65">
        <v>3244.4039040258904</v>
      </c>
      <c r="N25" s="56"/>
      <c r="O25" s="56"/>
      <c r="P25" s="56"/>
      <c r="Q25" s="56"/>
      <c r="R25" s="56"/>
      <c r="S25" s="56"/>
    </row>
    <row r="26" spans="1:21" ht="24" customHeight="1" x14ac:dyDescent="0.2">
      <c r="A26" s="131" t="s">
        <v>135</v>
      </c>
      <c r="B26" s="124">
        <v>268.12</v>
      </c>
      <c r="C26" s="62">
        <v>216.62536842395153</v>
      </c>
      <c r="D26" s="65">
        <v>807.94184851540922</v>
      </c>
      <c r="E26" s="116">
        <v>252.42000000000002</v>
      </c>
      <c r="F26" s="62">
        <v>243.87898547744251</v>
      </c>
      <c r="G26" s="108">
        <v>966.1634794288982</v>
      </c>
      <c r="H26" s="124">
        <v>261.31</v>
      </c>
      <c r="I26" s="62">
        <v>260.49511453485269</v>
      </c>
      <c r="J26" s="65">
        <v>996.8815373879786</v>
      </c>
      <c r="K26" s="116">
        <v>260.61666666666662</v>
      </c>
      <c r="L26" s="62">
        <v>240.33315614541559</v>
      </c>
      <c r="M26" s="65">
        <v>922.17109219958672</v>
      </c>
      <c r="N26" s="54"/>
      <c r="O26" s="54"/>
      <c r="P26" s="54"/>
      <c r="Q26" s="54"/>
      <c r="R26" s="54"/>
      <c r="S26" s="54"/>
    </row>
    <row r="27" spans="1:21" ht="24" customHeight="1" x14ac:dyDescent="0.2">
      <c r="A27" s="132" t="s">
        <v>136</v>
      </c>
      <c r="B27" s="124">
        <v>12928.419999999998</v>
      </c>
      <c r="C27" s="62">
        <v>41039.495465681561</v>
      </c>
      <c r="D27" s="65">
        <v>3174.3627965119917</v>
      </c>
      <c r="E27" s="116">
        <v>12464.120000000003</v>
      </c>
      <c r="F27" s="62">
        <v>39031.068974506932</v>
      </c>
      <c r="G27" s="108">
        <v>3131.4741012206978</v>
      </c>
      <c r="H27" s="124">
        <v>13708.150000000001</v>
      </c>
      <c r="I27" s="62">
        <v>44972.229121991208</v>
      </c>
      <c r="J27" s="65">
        <v>3280.6928084381339</v>
      </c>
      <c r="K27" s="116">
        <v>13033.563333333334</v>
      </c>
      <c r="L27" s="62">
        <v>41680.931187393231</v>
      </c>
      <c r="M27" s="65">
        <v>3197.9689760507986</v>
      </c>
      <c r="N27" s="57"/>
      <c r="O27" s="57"/>
      <c r="P27" s="57"/>
      <c r="Q27" s="57"/>
      <c r="R27" s="57"/>
      <c r="S27" s="57"/>
    </row>
    <row r="28" spans="1:21" ht="24" customHeight="1" x14ac:dyDescent="0.2">
      <c r="A28" s="131" t="s">
        <v>119</v>
      </c>
      <c r="B28" s="124">
        <v>133.1</v>
      </c>
      <c r="C28" s="62">
        <v>209.89015859139423</v>
      </c>
      <c r="D28" s="65">
        <v>1576.9358271329395</v>
      </c>
      <c r="E28" s="116">
        <v>230.28</v>
      </c>
      <c r="F28" s="62">
        <v>414.72713245182894</v>
      </c>
      <c r="G28" s="108">
        <v>1800.9689614896167</v>
      </c>
      <c r="H28" s="124">
        <v>133.98000000000002</v>
      </c>
      <c r="I28" s="62">
        <v>237.6100256475159</v>
      </c>
      <c r="J28" s="65">
        <v>1773.473844211941</v>
      </c>
      <c r="K28" s="116">
        <v>165.78666666666666</v>
      </c>
      <c r="L28" s="62">
        <v>287.40910556357971</v>
      </c>
      <c r="M28" s="65">
        <v>1733.6080840653433</v>
      </c>
      <c r="N28" s="54"/>
      <c r="O28" s="54"/>
      <c r="P28" s="54"/>
      <c r="Q28" s="54"/>
      <c r="R28" s="54"/>
      <c r="S28" s="54"/>
      <c r="T28" s="54"/>
      <c r="U28" s="54"/>
    </row>
    <row r="29" spans="1:21" ht="24" customHeight="1" x14ac:dyDescent="0.2">
      <c r="A29" s="131" t="s">
        <v>121</v>
      </c>
      <c r="B29" s="124">
        <v>1055.8600000000001</v>
      </c>
      <c r="C29" s="62">
        <v>2901.2398216668635</v>
      </c>
      <c r="D29" s="65">
        <v>2747.7504798617838</v>
      </c>
      <c r="E29" s="116">
        <v>1156.3</v>
      </c>
      <c r="F29" s="62">
        <v>3245.5179464312746</v>
      </c>
      <c r="G29" s="108">
        <v>2806.8130644566936</v>
      </c>
      <c r="H29" s="124">
        <v>1344.91</v>
      </c>
      <c r="I29" s="62">
        <v>3824.100654380878</v>
      </c>
      <c r="J29" s="65">
        <v>2843.3877764169183</v>
      </c>
      <c r="K29" s="116">
        <v>1185.6899999999998</v>
      </c>
      <c r="L29" s="62">
        <v>3323.6194741596719</v>
      </c>
      <c r="M29" s="65">
        <v>2803.1099816644082</v>
      </c>
      <c r="N29" s="54"/>
      <c r="O29" s="54"/>
      <c r="P29" s="54"/>
      <c r="Q29" s="54"/>
      <c r="R29" s="54"/>
    </row>
    <row r="30" spans="1:21" ht="24" customHeight="1" x14ac:dyDescent="0.2">
      <c r="A30" s="131" t="s">
        <v>137</v>
      </c>
      <c r="B30" s="124">
        <v>58.29999999999999</v>
      </c>
      <c r="C30" s="62">
        <v>146.69392639999992</v>
      </c>
      <c r="D30" s="65">
        <v>2516.1908473413373</v>
      </c>
      <c r="E30" s="116">
        <v>98</v>
      </c>
      <c r="F30" s="62">
        <v>275.54241999999994</v>
      </c>
      <c r="G30" s="108">
        <v>2811.6573469387749</v>
      </c>
      <c r="H30" s="124">
        <v>97.72</v>
      </c>
      <c r="I30" s="62">
        <v>270.37307740000006</v>
      </c>
      <c r="J30" s="65">
        <v>2766.8141363078189</v>
      </c>
      <c r="K30" s="116">
        <v>84.673333333333332</v>
      </c>
      <c r="L30" s="62">
        <v>230.86980793333331</v>
      </c>
      <c r="M30" s="65">
        <v>2726.5940626722304</v>
      </c>
      <c r="N30" s="54"/>
      <c r="O30" s="54"/>
      <c r="P30" s="54"/>
      <c r="Q30" s="54"/>
      <c r="R30" s="54"/>
    </row>
    <row r="31" spans="1:21" ht="24" customHeight="1" thickBot="1" x14ac:dyDescent="0.25">
      <c r="A31" s="134" t="s">
        <v>138</v>
      </c>
      <c r="B31" s="125">
        <v>14175.680000000002</v>
      </c>
      <c r="C31" s="66">
        <v>44297.319372339829</v>
      </c>
      <c r="D31" s="67">
        <v>3124.8814428894998</v>
      </c>
      <c r="E31" s="117">
        <v>13948.700000000006</v>
      </c>
      <c r="F31" s="66">
        <v>42966.856473390049</v>
      </c>
      <c r="G31" s="109">
        <v>3080.3484535039129</v>
      </c>
      <c r="H31" s="125">
        <v>15284.76</v>
      </c>
      <c r="I31" s="66">
        <v>49304.312879419602</v>
      </c>
      <c r="J31" s="67">
        <v>3225.7171770717764</v>
      </c>
      <c r="K31" s="117">
        <v>14469.713333333335</v>
      </c>
      <c r="L31" s="66">
        <v>45522.829575049829</v>
      </c>
      <c r="M31" s="67">
        <v>3146.0768106705059</v>
      </c>
      <c r="N31" s="54"/>
      <c r="O31" s="54"/>
      <c r="P31" s="54"/>
    </row>
    <row r="32" spans="1:21" ht="24" customHeight="1" x14ac:dyDescent="0.2">
      <c r="A32" s="104" t="s">
        <v>139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6"/>
      <c r="N32" s="55"/>
      <c r="O32" s="55"/>
      <c r="P32" s="55"/>
    </row>
    <row r="33" spans="1:18" ht="24" customHeight="1" x14ac:dyDescent="0.2">
      <c r="A33" s="131" t="s">
        <v>140</v>
      </c>
      <c r="B33" s="124">
        <v>7640.49</v>
      </c>
      <c r="C33" s="62">
        <v>12981.654054402778</v>
      </c>
      <c r="D33" s="65">
        <v>1699.0604076967286</v>
      </c>
      <c r="E33" s="116">
        <v>6220.83</v>
      </c>
      <c r="F33" s="62">
        <v>10664.784063192064</v>
      </c>
      <c r="G33" s="108">
        <v>1714.3667425716608</v>
      </c>
      <c r="H33" s="124">
        <v>8497.2100000000028</v>
      </c>
      <c r="I33" s="62">
        <v>15639.792789495961</v>
      </c>
      <c r="J33" s="65">
        <v>1840.579765534329</v>
      </c>
      <c r="K33" s="116">
        <v>7452.8433333333342</v>
      </c>
      <c r="L33" s="62">
        <v>13095.410302363603</v>
      </c>
      <c r="M33" s="65">
        <v>1757.1025871151103</v>
      </c>
      <c r="N33" s="54"/>
      <c r="O33" s="54"/>
      <c r="P33" s="54"/>
    </row>
    <row r="34" spans="1:18" ht="24" customHeight="1" x14ac:dyDescent="0.2">
      <c r="A34" s="131" t="s">
        <v>141</v>
      </c>
      <c r="B34" s="124">
        <v>426.02</v>
      </c>
      <c r="C34" s="62">
        <v>339.13855599999994</v>
      </c>
      <c r="D34" s="65">
        <v>796.06252288624933</v>
      </c>
      <c r="E34" s="116">
        <v>102.22</v>
      </c>
      <c r="F34" s="62">
        <v>68.21208</v>
      </c>
      <c r="G34" s="108">
        <v>667.30659362160054</v>
      </c>
      <c r="H34" s="124">
        <v>392.03000000000003</v>
      </c>
      <c r="I34" s="62">
        <v>353.04818000000006</v>
      </c>
      <c r="J34" s="65">
        <v>900.56419151595549</v>
      </c>
      <c r="K34" s="116">
        <v>306.75666666666666</v>
      </c>
      <c r="L34" s="62">
        <v>253.466272</v>
      </c>
      <c r="M34" s="65">
        <v>826.27795755593468</v>
      </c>
      <c r="N34" s="54"/>
      <c r="O34" s="54"/>
      <c r="P34" s="54"/>
    </row>
    <row r="35" spans="1:18" ht="24" customHeight="1" thickBot="1" x14ac:dyDescent="0.25">
      <c r="A35" s="134" t="s">
        <v>142</v>
      </c>
      <c r="B35" s="125">
        <v>8066.5099999999993</v>
      </c>
      <c r="C35" s="66">
        <v>13320.792610402776</v>
      </c>
      <c r="D35" s="67">
        <v>1651.3699989713987</v>
      </c>
      <c r="E35" s="117">
        <v>6323.0499999999993</v>
      </c>
      <c r="F35" s="66">
        <v>10732.996143192062</v>
      </c>
      <c r="G35" s="109">
        <v>1697.4397076082055</v>
      </c>
      <c r="H35" s="125">
        <v>8889.24</v>
      </c>
      <c r="I35" s="66">
        <v>15992.840969495961</v>
      </c>
      <c r="J35" s="67">
        <v>1799.1235436883201</v>
      </c>
      <c r="K35" s="117">
        <v>7759.5999999999985</v>
      </c>
      <c r="L35" s="66">
        <v>13348.876574363601</v>
      </c>
      <c r="M35" s="67">
        <v>1720.3047288988612</v>
      </c>
      <c r="N35" s="54"/>
      <c r="O35" s="54"/>
      <c r="P35" s="54"/>
    </row>
    <row r="36" spans="1:18" ht="24" customHeight="1" thickBot="1" x14ac:dyDescent="0.25">
      <c r="A36" s="135" t="s">
        <v>143</v>
      </c>
      <c r="B36" s="126">
        <v>22242.190000000006</v>
      </c>
      <c r="C36" s="70">
        <v>57618.111982742623</v>
      </c>
      <c r="D36" s="71">
        <v>2590.4873568089565</v>
      </c>
      <c r="E36" s="118">
        <v>20271.750000000004</v>
      </c>
      <c r="F36" s="70">
        <v>53699.852616582088</v>
      </c>
      <c r="G36" s="110">
        <v>2648.9993521320102</v>
      </c>
      <c r="H36" s="126">
        <v>24174</v>
      </c>
      <c r="I36" s="70">
        <v>65297.15384891555</v>
      </c>
      <c r="J36" s="71">
        <v>2701.1315400395279</v>
      </c>
      <c r="K36" s="118">
        <v>22229.313333333335</v>
      </c>
      <c r="L36" s="70">
        <v>58871.706149413425</v>
      </c>
      <c r="M36" s="71">
        <v>2648.3816781301125</v>
      </c>
      <c r="N36" s="55"/>
      <c r="O36" s="55"/>
      <c r="P36" s="55"/>
    </row>
    <row r="37" spans="1:18" ht="24" customHeight="1" x14ac:dyDescent="0.2">
      <c r="A37" s="104" t="s">
        <v>144</v>
      </c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6"/>
      <c r="N37" s="54"/>
      <c r="O37" s="54"/>
      <c r="P37" s="54"/>
    </row>
    <row r="38" spans="1:18" ht="24" customHeight="1" x14ac:dyDescent="0.2">
      <c r="A38" s="131" t="s">
        <v>120</v>
      </c>
      <c r="B38" s="124">
        <v>3178.4100000000003</v>
      </c>
      <c r="C38" s="62">
        <v>9440.3685359137289</v>
      </c>
      <c r="D38" s="65">
        <v>2970.1544281303318</v>
      </c>
      <c r="E38" s="116">
        <v>3160.0699999999997</v>
      </c>
      <c r="F38" s="62">
        <v>9561.0928296175807</v>
      </c>
      <c r="G38" s="108">
        <v>3025.5952651737402</v>
      </c>
      <c r="H38" s="124">
        <v>3221.7299999999991</v>
      </c>
      <c r="I38" s="62">
        <v>9776.5833585216678</v>
      </c>
      <c r="J38" s="65">
        <v>3034.5756343708726</v>
      </c>
      <c r="K38" s="116">
        <v>3186.7366666666662</v>
      </c>
      <c r="L38" s="62">
        <v>9592.6815746843258</v>
      </c>
      <c r="M38" s="65">
        <v>3010.18960086159</v>
      </c>
      <c r="N38" s="54"/>
      <c r="O38" s="54"/>
      <c r="P38" s="54"/>
    </row>
    <row r="39" spans="1:18" ht="24" customHeight="1" x14ac:dyDescent="0.2">
      <c r="A39" s="131" t="s">
        <v>145</v>
      </c>
      <c r="B39" s="124">
        <v>793.43999999999994</v>
      </c>
      <c r="C39" s="62">
        <v>2299.8249006519768</v>
      </c>
      <c r="D39" s="65">
        <v>2898.5492294968453</v>
      </c>
      <c r="E39" s="116">
        <v>954.41</v>
      </c>
      <c r="F39" s="62">
        <v>2687.8759814365853</v>
      </c>
      <c r="G39" s="108">
        <v>2816.2697178744834</v>
      </c>
      <c r="H39" s="124">
        <v>1282.08</v>
      </c>
      <c r="I39" s="62">
        <v>3510.8296741291288</v>
      </c>
      <c r="J39" s="65">
        <v>2738.3858059786667</v>
      </c>
      <c r="K39" s="116">
        <v>1009.9766666666666</v>
      </c>
      <c r="L39" s="62">
        <v>2832.8435187392301</v>
      </c>
      <c r="M39" s="65">
        <v>2804.8603618623833</v>
      </c>
      <c r="N39" s="54"/>
      <c r="O39" s="54"/>
      <c r="P39" s="54"/>
    </row>
    <row r="40" spans="1:18" ht="24" customHeight="1" x14ac:dyDescent="0.2">
      <c r="A40" s="131" t="s">
        <v>121</v>
      </c>
      <c r="B40" s="124">
        <v>71.83</v>
      </c>
      <c r="C40" s="62">
        <v>184.05082000000002</v>
      </c>
      <c r="D40" s="65">
        <v>2562.3112905471253</v>
      </c>
      <c r="E40" s="116">
        <v>70.75</v>
      </c>
      <c r="F40" s="62">
        <v>162.45276000000001</v>
      </c>
      <c r="G40" s="108">
        <v>2296.1520848056539</v>
      </c>
      <c r="H40" s="124">
        <v>75.240000000000009</v>
      </c>
      <c r="I40" s="62">
        <v>166.02561680000002</v>
      </c>
      <c r="J40" s="65">
        <v>2206.613726741095</v>
      </c>
      <c r="K40" s="116">
        <v>72.606666666666669</v>
      </c>
      <c r="L40" s="62">
        <v>170.84306560000005</v>
      </c>
      <c r="M40" s="65">
        <v>2352.9942007161881</v>
      </c>
      <c r="N40" s="54"/>
      <c r="O40" s="54"/>
      <c r="P40" s="54"/>
    </row>
    <row r="41" spans="1:18" ht="24" customHeight="1" thickBot="1" x14ac:dyDescent="0.25">
      <c r="A41" s="134" t="s">
        <v>146</v>
      </c>
      <c r="B41" s="125">
        <v>4043.68</v>
      </c>
      <c r="C41" s="66">
        <v>11924.244256565704</v>
      </c>
      <c r="D41" s="67">
        <v>2948.8595182026529</v>
      </c>
      <c r="E41" s="117">
        <v>4185.2299999999987</v>
      </c>
      <c r="F41" s="66">
        <v>12411.421571054167</v>
      </c>
      <c r="G41" s="109">
        <v>2965.5291515768954</v>
      </c>
      <c r="H41" s="125">
        <v>4579.0500000000011</v>
      </c>
      <c r="I41" s="66">
        <v>13453.4386494508</v>
      </c>
      <c r="J41" s="67">
        <v>2938.0414386064349</v>
      </c>
      <c r="K41" s="117">
        <v>4269.32</v>
      </c>
      <c r="L41" s="66">
        <v>12596.368159023557</v>
      </c>
      <c r="M41" s="67">
        <v>2950.4389830285754</v>
      </c>
      <c r="N41" s="54"/>
      <c r="O41" s="54"/>
      <c r="P41" s="54"/>
    </row>
    <row r="42" spans="1:18" ht="24" customHeight="1" x14ac:dyDescent="0.2">
      <c r="A42" s="104" t="s">
        <v>147</v>
      </c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6"/>
      <c r="N42" s="54"/>
      <c r="O42" s="54"/>
      <c r="P42" s="54"/>
    </row>
    <row r="43" spans="1:18" ht="24" customHeight="1" x14ac:dyDescent="0.2">
      <c r="A43" s="131" t="s">
        <v>127</v>
      </c>
      <c r="B43" s="127">
        <v>474.49999999999989</v>
      </c>
      <c r="C43" s="64">
        <v>555.17641526984346</v>
      </c>
      <c r="D43" s="72">
        <v>1170.0240574706925</v>
      </c>
      <c r="E43" s="119">
        <v>458.51</v>
      </c>
      <c r="F43" s="64">
        <v>553.99249961990051</v>
      </c>
      <c r="G43" s="111">
        <v>1208.2451846631491</v>
      </c>
      <c r="H43" s="127">
        <v>592.76999999999987</v>
      </c>
      <c r="I43" s="64">
        <v>749.61661052302679</v>
      </c>
      <c r="J43" s="72">
        <v>1264.5994408000186</v>
      </c>
      <c r="K43" s="119">
        <v>508.59333333333325</v>
      </c>
      <c r="L43" s="64">
        <v>619.59517513759022</v>
      </c>
      <c r="M43" s="72">
        <v>1218.2526480965612</v>
      </c>
      <c r="N43" s="54"/>
      <c r="O43" s="54"/>
      <c r="P43" s="54"/>
      <c r="Q43" s="54"/>
      <c r="R43" s="54"/>
    </row>
    <row r="44" spans="1:18" ht="24" customHeight="1" x14ac:dyDescent="0.2">
      <c r="A44" s="131" t="s">
        <v>129</v>
      </c>
      <c r="B44" s="127">
        <v>201.68000000000004</v>
      </c>
      <c r="C44" s="64">
        <v>257.80678299999994</v>
      </c>
      <c r="D44" s="72">
        <v>1278.2962266957552</v>
      </c>
      <c r="E44" s="119">
        <v>213.54000000000002</v>
      </c>
      <c r="F44" s="64">
        <v>303.67529699999994</v>
      </c>
      <c r="G44" s="111">
        <v>1422.1002950266925</v>
      </c>
      <c r="H44" s="127">
        <v>301.65000000000003</v>
      </c>
      <c r="I44" s="64">
        <v>419.37760520000006</v>
      </c>
      <c r="J44" s="72">
        <v>1390.2788171722195</v>
      </c>
      <c r="K44" s="119">
        <v>238.95666666666671</v>
      </c>
      <c r="L44" s="64">
        <v>326.9532284</v>
      </c>
      <c r="M44" s="72">
        <v>1368.2532191331761</v>
      </c>
      <c r="N44" s="54"/>
      <c r="O44" s="54"/>
      <c r="P44" s="54"/>
      <c r="Q44" s="54"/>
      <c r="R44" s="54"/>
    </row>
    <row r="45" spans="1:18" ht="24" customHeight="1" thickBot="1" x14ac:dyDescent="0.25">
      <c r="A45" s="134" t="s">
        <v>148</v>
      </c>
      <c r="B45" s="125">
        <v>676.18000000000029</v>
      </c>
      <c r="C45" s="66">
        <v>812.98319826984346</v>
      </c>
      <c r="D45" s="67">
        <v>1202.3177234905545</v>
      </c>
      <c r="E45" s="117">
        <v>672.05000000000007</v>
      </c>
      <c r="F45" s="66">
        <v>857.66779661990029</v>
      </c>
      <c r="G45" s="109">
        <v>1276.1964089277585</v>
      </c>
      <c r="H45" s="125">
        <v>894.42000000000007</v>
      </c>
      <c r="I45" s="66">
        <v>1168.9942157230269</v>
      </c>
      <c r="J45" s="67">
        <v>1306.9857737114853</v>
      </c>
      <c r="K45" s="117">
        <v>747.55000000000018</v>
      </c>
      <c r="L45" s="66">
        <v>946.54840353759027</v>
      </c>
      <c r="M45" s="67">
        <v>1266.200793977112</v>
      </c>
      <c r="N45" s="54"/>
      <c r="O45" s="54"/>
      <c r="P45" s="54"/>
      <c r="Q45" s="54"/>
      <c r="R45" s="54"/>
    </row>
    <row r="46" spans="1:18" ht="24" customHeight="1" thickBot="1" x14ac:dyDescent="0.25">
      <c r="A46" s="135" t="s">
        <v>149</v>
      </c>
      <c r="B46" s="126">
        <v>4719.8599999999979</v>
      </c>
      <c r="C46" s="70">
        <v>12737.227454835547</v>
      </c>
      <c r="D46" s="71">
        <v>2698.6451832968673</v>
      </c>
      <c r="E46" s="118">
        <v>4857.2800000000016</v>
      </c>
      <c r="F46" s="70">
        <v>13269.089367674067</v>
      </c>
      <c r="G46" s="110">
        <v>2731.7942073905692</v>
      </c>
      <c r="H46" s="126">
        <v>5473.4700000000021</v>
      </c>
      <c r="I46" s="70">
        <v>14622.432865173827</v>
      </c>
      <c r="J46" s="71">
        <v>2671.5105527524261</v>
      </c>
      <c r="K46" s="118">
        <v>5016.87</v>
      </c>
      <c r="L46" s="70">
        <v>13542.916562561148</v>
      </c>
      <c r="M46" s="71">
        <v>2699.4752829076988</v>
      </c>
      <c r="N46" s="54"/>
      <c r="O46" s="54"/>
      <c r="P46" s="54"/>
      <c r="Q46" s="54"/>
      <c r="R46" s="54"/>
    </row>
    <row r="47" spans="1:18" ht="24" customHeight="1" thickBot="1" x14ac:dyDescent="0.25">
      <c r="A47" s="135" t="s">
        <v>150</v>
      </c>
      <c r="B47" s="126">
        <v>45027.83</v>
      </c>
      <c r="C47" s="70">
        <v>105096.03520533459</v>
      </c>
      <c r="D47" s="71">
        <v>2334.0239848408105</v>
      </c>
      <c r="E47" s="118">
        <v>42872.23</v>
      </c>
      <c r="F47" s="70">
        <v>102648.44830573739</v>
      </c>
      <c r="G47" s="110">
        <v>2394.2875914254373</v>
      </c>
      <c r="H47" s="126">
        <v>47661.289999999986</v>
      </c>
      <c r="I47" s="70">
        <v>113328.44524685851</v>
      </c>
      <c r="J47" s="71">
        <v>2377.7880381932287</v>
      </c>
      <c r="K47" s="118">
        <v>45187.116666666661</v>
      </c>
      <c r="L47" s="70">
        <v>107024.30958597682</v>
      </c>
      <c r="M47" s="71">
        <v>2368.4695435530152</v>
      </c>
      <c r="N47" s="54"/>
      <c r="O47" s="54"/>
      <c r="P47" s="54"/>
      <c r="Q47" s="54"/>
      <c r="R47" s="54"/>
    </row>
    <row r="48" spans="1:18" ht="24" customHeight="1" x14ac:dyDescent="0.2">
      <c r="A48" s="136" t="s">
        <v>151</v>
      </c>
      <c r="B48" s="128">
        <v>316.03000000000003</v>
      </c>
      <c r="C48" s="73">
        <v>461.14613990236273</v>
      </c>
      <c r="D48" s="74">
        <v>1459.1846973463364</v>
      </c>
      <c r="E48" s="120">
        <v>426.59000000000003</v>
      </c>
      <c r="F48" s="73">
        <v>661.50140007281618</v>
      </c>
      <c r="G48" s="112">
        <v>1550.6725428932139</v>
      </c>
      <c r="H48" s="128">
        <v>323.64000000000004</v>
      </c>
      <c r="I48" s="73">
        <v>496.62488552580714</v>
      </c>
      <c r="J48" s="74">
        <v>1534.4978541768851</v>
      </c>
      <c r="K48" s="120">
        <v>355.42000000000007</v>
      </c>
      <c r="L48" s="73">
        <v>539.75747516699539</v>
      </c>
      <c r="M48" s="74">
        <v>1518.6468830313299</v>
      </c>
      <c r="N48" s="54"/>
      <c r="O48" s="54"/>
      <c r="P48" s="54"/>
      <c r="Q48" s="54"/>
      <c r="R48" s="54"/>
    </row>
    <row r="49" spans="1:18" ht="24" customHeight="1" x14ac:dyDescent="0.2">
      <c r="A49" s="132" t="s">
        <v>152</v>
      </c>
      <c r="B49" s="124">
        <v>5019.6499999999987</v>
      </c>
      <c r="C49" s="62">
        <v>12708.843911120393</v>
      </c>
      <c r="D49" s="65">
        <v>2531.8187345971128</v>
      </c>
      <c r="E49" s="116">
        <v>5132.2399999999989</v>
      </c>
      <c r="F49" s="62">
        <v>13065.107854527798</v>
      </c>
      <c r="G49" s="108">
        <v>2545.6930803173273</v>
      </c>
      <c r="H49" s="124">
        <v>4904.8</v>
      </c>
      <c r="I49" s="62">
        <v>12880.263287534797</v>
      </c>
      <c r="J49" s="65">
        <v>2626.0527009327184</v>
      </c>
      <c r="K49" s="116">
        <v>5018.8966666666665</v>
      </c>
      <c r="L49" s="62">
        <v>12884.738351060996</v>
      </c>
      <c r="M49" s="65">
        <v>2567.2451948723783</v>
      </c>
      <c r="N49" s="54"/>
      <c r="O49" s="54"/>
      <c r="P49" s="54"/>
      <c r="Q49" s="54"/>
      <c r="R49" s="54"/>
    </row>
    <row r="50" spans="1:18" ht="24" customHeight="1" x14ac:dyDescent="0.2">
      <c r="A50" s="132" t="s">
        <v>153</v>
      </c>
      <c r="B50" s="124">
        <v>9473.0500000000011</v>
      </c>
      <c r="C50" s="62">
        <v>23962.635851081508</v>
      </c>
      <c r="D50" s="65">
        <v>2529.558679736886</v>
      </c>
      <c r="E50" s="116">
        <v>9685.5400000000009</v>
      </c>
      <c r="F50" s="62">
        <v>24912.36586036528</v>
      </c>
      <c r="G50" s="108">
        <v>2572.1194543995766</v>
      </c>
      <c r="H50" s="124">
        <v>10144.529999999999</v>
      </c>
      <c r="I50" s="62">
        <v>25106.749323926866</v>
      </c>
      <c r="J50" s="65">
        <v>2474.9051285694723</v>
      </c>
      <c r="K50" s="116">
        <v>9767.7066666666669</v>
      </c>
      <c r="L50" s="62">
        <v>24660.583678457886</v>
      </c>
      <c r="M50" s="65">
        <v>2524.7055956967606</v>
      </c>
      <c r="N50" s="54"/>
      <c r="O50" s="54"/>
      <c r="P50" s="54"/>
      <c r="Q50" s="54"/>
      <c r="R50" s="54"/>
    </row>
    <row r="51" spans="1:18" ht="24" customHeight="1" x14ac:dyDescent="0.2">
      <c r="A51" s="132" t="s">
        <v>154</v>
      </c>
      <c r="B51" s="124">
        <v>4006.8900000000003</v>
      </c>
      <c r="C51" s="62">
        <v>8572.542315906685</v>
      </c>
      <c r="D51" s="65">
        <v>2139.45037570452</v>
      </c>
      <c r="E51" s="116">
        <v>4051.39</v>
      </c>
      <c r="F51" s="62">
        <v>9094.1742897265176</v>
      </c>
      <c r="G51" s="108">
        <v>2244.7047284330856</v>
      </c>
      <c r="H51" s="124">
        <v>4280.3600000000006</v>
      </c>
      <c r="I51" s="62">
        <v>8206.73029629546</v>
      </c>
      <c r="J51" s="65">
        <v>1917.2990814547045</v>
      </c>
      <c r="K51" s="116">
        <v>4112.88</v>
      </c>
      <c r="L51" s="62">
        <v>8624.4823006428869</v>
      </c>
      <c r="M51" s="65">
        <v>2096.9447930994552</v>
      </c>
      <c r="N51" s="54"/>
      <c r="O51" s="54"/>
      <c r="P51" s="54"/>
      <c r="Q51" s="54"/>
      <c r="R51" s="54"/>
    </row>
    <row r="52" spans="1:18" ht="24" customHeight="1" x14ac:dyDescent="0.2">
      <c r="A52" s="132" t="s">
        <v>155</v>
      </c>
      <c r="B52" s="124">
        <v>1270.75</v>
      </c>
      <c r="C52" s="62">
        <v>1021.5489253330632</v>
      </c>
      <c r="D52" s="65">
        <v>803.8944917041614</v>
      </c>
      <c r="E52" s="116">
        <v>1104.6599999999996</v>
      </c>
      <c r="F52" s="62">
        <v>934.09194729158298</v>
      </c>
      <c r="G52" s="108">
        <v>845.59226123113285</v>
      </c>
      <c r="H52" s="124">
        <v>1144.9300000000003</v>
      </c>
      <c r="I52" s="62">
        <v>1085.7259331935722</v>
      </c>
      <c r="J52" s="65">
        <v>948.29023013946005</v>
      </c>
      <c r="K52" s="116">
        <v>1173.4466666666667</v>
      </c>
      <c r="L52" s="62">
        <v>1013.7889352727394</v>
      </c>
      <c r="M52" s="65">
        <v>863.94121187675569</v>
      </c>
      <c r="N52" s="54"/>
      <c r="O52" s="54"/>
      <c r="P52" s="54"/>
      <c r="Q52" s="54"/>
      <c r="R52" s="54"/>
    </row>
    <row r="53" spans="1:18" ht="24" customHeight="1" x14ac:dyDescent="0.2">
      <c r="A53" s="132" t="s">
        <v>156</v>
      </c>
      <c r="B53" s="124">
        <v>1169.68</v>
      </c>
      <c r="C53" s="62">
        <v>849.11838896322229</v>
      </c>
      <c r="D53" s="65">
        <v>725.94076068943832</v>
      </c>
      <c r="E53" s="116">
        <v>1006.27</v>
      </c>
      <c r="F53" s="62">
        <v>813.73169921247666</v>
      </c>
      <c r="G53" s="108">
        <v>808.66139228286306</v>
      </c>
      <c r="H53" s="124">
        <v>1139.96</v>
      </c>
      <c r="I53" s="62">
        <v>897.17894921449647</v>
      </c>
      <c r="J53" s="65">
        <v>787.02669323002249</v>
      </c>
      <c r="K53" s="116">
        <v>1105.3033333333333</v>
      </c>
      <c r="L53" s="62">
        <v>853.3430124633984</v>
      </c>
      <c r="M53" s="65">
        <v>772.04418617821216</v>
      </c>
      <c r="N53" s="54"/>
      <c r="O53" s="54"/>
      <c r="P53" s="54"/>
      <c r="Q53" s="54"/>
      <c r="R53" s="54"/>
    </row>
    <row r="54" spans="1:18" ht="24" customHeight="1" x14ac:dyDescent="0.2">
      <c r="A54" s="132" t="s">
        <v>157</v>
      </c>
      <c r="B54" s="124">
        <v>31923.949999999997</v>
      </c>
      <c r="C54" s="62">
        <v>86987.448340092553</v>
      </c>
      <c r="D54" s="65">
        <v>2724.8334977373588</v>
      </c>
      <c r="E54" s="116">
        <v>31979.449999999997</v>
      </c>
      <c r="F54" s="62">
        <v>87135.483983637852</v>
      </c>
      <c r="G54" s="108">
        <v>2724.7336643887829</v>
      </c>
      <c r="H54" s="124">
        <v>33598.049999999996</v>
      </c>
      <c r="I54" s="62">
        <v>92042.719558127312</v>
      </c>
      <c r="J54" s="65">
        <v>2739.5256438432389</v>
      </c>
      <c r="K54" s="116">
        <v>32500.483333333326</v>
      </c>
      <c r="L54" s="62">
        <v>88721.883960619234</v>
      </c>
      <c r="M54" s="65">
        <v>2729.8635238948527</v>
      </c>
      <c r="N54" s="54"/>
      <c r="O54" s="54"/>
      <c r="P54" s="54"/>
      <c r="Q54" s="54"/>
      <c r="R54" s="54"/>
    </row>
    <row r="55" spans="1:18" ht="24" customHeight="1" thickBot="1" x14ac:dyDescent="0.25">
      <c r="A55" s="134" t="s">
        <v>158</v>
      </c>
      <c r="B55" s="129">
        <v>13103.880000000001</v>
      </c>
      <c r="C55" s="75">
        <v>18108.586865242072</v>
      </c>
      <c r="D55" s="76">
        <v>1381.9255720627837</v>
      </c>
      <c r="E55" s="121">
        <v>10892.779999999997</v>
      </c>
      <c r="F55" s="75">
        <v>15512.964322099506</v>
      </c>
      <c r="G55" s="113">
        <v>1424.1510727380439</v>
      </c>
      <c r="H55" s="129">
        <v>14063.24</v>
      </c>
      <c r="I55" s="75">
        <v>21285.725688731243</v>
      </c>
      <c r="J55" s="76">
        <v>1513.5719570121282</v>
      </c>
      <c r="K55" s="121">
        <v>12686.633333333331</v>
      </c>
      <c r="L55" s="75">
        <v>18302.425625357606</v>
      </c>
      <c r="M55" s="76">
        <v>1442.6542601549879</v>
      </c>
      <c r="N55" s="54"/>
      <c r="O55" s="54"/>
      <c r="P55" s="54"/>
      <c r="Q55" s="54"/>
      <c r="R55" s="54"/>
    </row>
    <row r="56" spans="1:18" ht="24" customHeight="1" x14ac:dyDescent="0.2">
      <c r="A56" s="104" t="s">
        <v>159</v>
      </c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6"/>
      <c r="N56" s="54"/>
      <c r="O56" s="54"/>
      <c r="P56" s="54"/>
      <c r="Q56" s="54"/>
      <c r="R56" s="54"/>
    </row>
    <row r="57" spans="1:18" ht="24" customHeight="1" x14ac:dyDescent="0.2">
      <c r="A57" s="131" t="s">
        <v>160</v>
      </c>
      <c r="B57" s="124">
        <v>17090.219999999998</v>
      </c>
      <c r="C57" s="62">
        <v>44075.535645584961</v>
      </c>
      <c r="D57" s="65">
        <v>2578.9917066945286</v>
      </c>
      <c r="E57" s="116">
        <v>16352.739999999994</v>
      </c>
      <c r="F57" s="62">
        <v>45100.703527412836</v>
      </c>
      <c r="G57" s="108">
        <v>2757.9906197623673</v>
      </c>
      <c r="H57" s="124">
        <v>19085.66</v>
      </c>
      <c r="I57" s="62">
        <v>50856.05583588592</v>
      </c>
      <c r="J57" s="65">
        <v>2664.6212829886899</v>
      </c>
      <c r="K57" s="116">
        <v>17509.539999999997</v>
      </c>
      <c r="L57" s="62">
        <v>46677.431669627906</v>
      </c>
      <c r="M57" s="65">
        <v>2665.8285522993701</v>
      </c>
      <c r="N57" s="54"/>
      <c r="O57" s="54"/>
      <c r="P57" s="54"/>
      <c r="Q57" s="54"/>
      <c r="R57" s="54"/>
    </row>
    <row r="58" spans="1:18" ht="24" customHeight="1" x14ac:dyDescent="0.2">
      <c r="A58" s="131" t="s">
        <v>161</v>
      </c>
      <c r="B58" s="124">
        <v>539.34999999999991</v>
      </c>
      <c r="C58" s="62">
        <v>1237.6077948989118</v>
      </c>
      <c r="D58" s="65">
        <v>2294.6283394806937</v>
      </c>
      <c r="E58" s="116">
        <v>600.65999999999985</v>
      </c>
      <c r="F58" s="62">
        <v>1357.3715044060323</v>
      </c>
      <c r="G58" s="108">
        <v>2259.80006061005</v>
      </c>
      <c r="H58" s="124">
        <v>562.66000000000008</v>
      </c>
      <c r="I58" s="62">
        <v>1346.4048659613538</v>
      </c>
      <c r="J58" s="65">
        <v>2392.9279955236798</v>
      </c>
      <c r="K58" s="116">
        <v>567.55666666666662</v>
      </c>
      <c r="L58" s="62">
        <v>1313.7947217554326</v>
      </c>
      <c r="M58" s="65">
        <v>2314.8256357757514</v>
      </c>
      <c r="N58" s="54"/>
      <c r="O58" s="54"/>
      <c r="P58" s="54"/>
      <c r="Q58" s="54"/>
      <c r="R58" s="54"/>
    </row>
    <row r="59" spans="1:18" ht="24" customHeight="1" x14ac:dyDescent="0.2">
      <c r="A59" s="131" t="s">
        <v>162</v>
      </c>
      <c r="B59" s="124">
        <v>719.71</v>
      </c>
      <c r="C59" s="62">
        <v>365.86206307232521</v>
      </c>
      <c r="D59" s="65">
        <v>508.34650494272023</v>
      </c>
      <c r="E59" s="116">
        <v>581.77999999999986</v>
      </c>
      <c r="F59" s="62">
        <v>306.31415548578866</v>
      </c>
      <c r="G59" s="108">
        <v>526.51200709166471</v>
      </c>
      <c r="H59" s="124">
        <v>494.21999999999991</v>
      </c>
      <c r="I59" s="62">
        <v>222.4734311009301</v>
      </c>
      <c r="J59" s="65">
        <v>450.15060317455817</v>
      </c>
      <c r="K59" s="116">
        <v>598.56999999999982</v>
      </c>
      <c r="L59" s="62">
        <v>298.21654988634799</v>
      </c>
      <c r="M59" s="65">
        <v>498.21499554997428</v>
      </c>
      <c r="N59" s="54"/>
      <c r="O59" s="54"/>
      <c r="P59" s="54"/>
      <c r="Q59" s="54"/>
      <c r="R59" s="54"/>
    </row>
    <row r="60" spans="1:18" ht="24" customHeight="1" x14ac:dyDescent="0.2">
      <c r="A60" s="131" t="s">
        <v>163</v>
      </c>
      <c r="B60" s="124">
        <v>1239.7599999999998</v>
      </c>
      <c r="C60" s="62">
        <v>1069.8245696999998</v>
      </c>
      <c r="D60" s="65">
        <v>862.92876822933454</v>
      </c>
      <c r="E60" s="116">
        <v>1150.6599999999999</v>
      </c>
      <c r="F60" s="62">
        <v>1133.6640295340283</v>
      </c>
      <c r="G60" s="108">
        <v>985.22937230287687</v>
      </c>
      <c r="H60" s="124">
        <v>1225.1099999999997</v>
      </c>
      <c r="I60" s="62">
        <v>1196.8632419912369</v>
      </c>
      <c r="J60" s="65">
        <v>976.94349241393604</v>
      </c>
      <c r="K60" s="116">
        <v>1205.1766666666665</v>
      </c>
      <c r="L60" s="62">
        <v>1133.450613741755</v>
      </c>
      <c r="M60" s="65">
        <v>940.48503019619955</v>
      </c>
      <c r="N60" s="54"/>
      <c r="O60" s="54"/>
      <c r="P60" s="54"/>
      <c r="Q60" s="54"/>
      <c r="R60" s="54"/>
    </row>
    <row r="61" spans="1:18" ht="24" customHeight="1" x14ac:dyDescent="0.2">
      <c r="A61" s="132" t="s">
        <v>164</v>
      </c>
      <c r="B61" s="124">
        <v>17629.570000000003</v>
      </c>
      <c r="C61" s="62">
        <v>45313.143440483836</v>
      </c>
      <c r="D61" s="65">
        <v>2570.2920400488401</v>
      </c>
      <c r="E61" s="116">
        <v>16953.400000000001</v>
      </c>
      <c r="F61" s="62">
        <v>46458.075031818858</v>
      </c>
      <c r="G61" s="108">
        <v>2740.3396977490565</v>
      </c>
      <c r="H61" s="124">
        <v>19648.319999999996</v>
      </c>
      <c r="I61" s="62">
        <v>52202.460701847252</v>
      </c>
      <c r="J61" s="65">
        <v>2656.8409259339865</v>
      </c>
      <c r="K61" s="116">
        <v>18077.096666666665</v>
      </c>
      <c r="L61" s="62">
        <v>47991.226391383309</v>
      </c>
      <c r="M61" s="65">
        <v>2654.8083066832805</v>
      </c>
      <c r="N61" s="54"/>
      <c r="O61" s="54"/>
      <c r="P61" s="54"/>
      <c r="Q61" s="54"/>
      <c r="R61" s="54"/>
    </row>
    <row r="62" spans="1:18" ht="24" customHeight="1" x14ac:dyDescent="0.2">
      <c r="A62" s="132" t="s">
        <v>165</v>
      </c>
      <c r="B62" s="124">
        <v>1959.47</v>
      </c>
      <c r="C62" s="62">
        <v>1435.6866327723249</v>
      </c>
      <c r="D62" s="65">
        <v>732.69130569609376</v>
      </c>
      <c r="E62" s="116">
        <v>1732.44</v>
      </c>
      <c r="F62" s="62">
        <v>1439.9781850198171</v>
      </c>
      <c r="G62" s="108">
        <v>831.18502517825561</v>
      </c>
      <c r="H62" s="124">
        <v>1719.33</v>
      </c>
      <c r="I62" s="62">
        <v>1419.3366730921671</v>
      </c>
      <c r="J62" s="65">
        <v>825.5173079584298</v>
      </c>
      <c r="K62" s="116">
        <v>1803.7466666666667</v>
      </c>
      <c r="L62" s="62">
        <v>1431.6671636281033</v>
      </c>
      <c r="M62" s="65">
        <v>793.71853602581098</v>
      </c>
      <c r="N62" s="54"/>
      <c r="O62" s="54"/>
      <c r="P62" s="54"/>
      <c r="Q62" s="54"/>
      <c r="R62" s="54"/>
    </row>
    <row r="63" spans="1:18" ht="24" customHeight="1" x14ac:dyDescent="0.2">
      <c r="A63" s="131" t="s">
        <v>166</v>
      </c>
      <c r="B63" s="124">
        <v>3070.32</v>
      </c>
      <c r="C63" s="62">
        <v>6037.7466020837355</v>
      </c>
      <c r="D63" s="65">
        <v>1966.4877283422363</v>
      </c>
      <c r="E63" s="116">
        <v>2773.8099999999995</v>
      </c>
      <c r="F63" s="62">
        <v>5260.5322927296475</v>
      </c>
      <c r="G63" s="108">
        <v>1896.5005868208884</v>
      </c>
      <c r="H63" s="124">
        <v>2582.6600000000008</v>
      </c>
      <c r="I63" s="62">
        <v>5140.6294585608448</v>
      </c>
      <c r="J63" s="65">
        <v>1990.4398792565971</v>
      </c>
      <c r="K63" s="116">
        <v>2808.9300000000003</v>
      </c>
      <c r="L63" s="62">
        <v>5479.6361177914087</v>
      </c>
      <c r="M63" s="65">
        <v>1950.791268487078</v>
      </c>
      <c r="N63" s="54"/>
      <c r="O63" s="54"/>
      <c r="P63" s="54"/>
      <c r="Q63" s="54"/>
      <c r="R63" s="54"/>
    </row>
    <row r="64" spans="1:18" ht="24" customHeight="1" x14ac:dyDescent="0.2">
      <c r="A64" s="131" t="s">
        <v>167</v>
      </c>
      <c r="B64" s="124">
        <v>7155.5199999999995</v>
      </c>
      <c r="C64" s="62">
        <v>16031.741278054751</v>
      </c>
      <c r="D64" s="65">
        <v>2240.4718703958274</v>
      </c>
      <c r="E64" s="116">
        <v>7247.6800000000012</v>
      </c>
      <c r="F64" s="62">
        <v>15954.771178749934</v>
      </c>
      <c r="G64" s="108">
        <v>2201.362529630162</v>
      </c>
      <c r="H64" s="124">
        <v>6464.39</v>
      </c>
      <c r="I64" s="62">
        <v>14033.974395906342</v>
      </c>
      <c r="J64" s="65">
        <v>2170.9665406799932</v>
      </c>
      <c r="K64" s="116">
        <v>6955.8633333333337</v>
      </c>
      <c r="L64" s="62">
        <v>15340.162284237007</v>
      </c>
      <c r="M64" s="65">
        <v>2205.3570562154528</v>
      </c>
      <c r="N64" s="54"/>
      <c r="O64" s="54"/>
      <c r="P64" s="54"/>
      <c r="Q64" s="54"/>
      <c r="R64" s="54"/>
    </row>
    <row r="65" spans="1:18" ht="24" customHeight="1" x14ac:dyDescent="0.2">
      <c r="A65" s="131" t="s">
        <v>168</v>
      </c>
      <c r="B65" s="124">
        <v>2214.98</v>
      </c>
      <c r="C65" s="62">
        <v>3725.3368319085175</v>
      </c>
      <c r="D65" s="65">
        <v>1681.8828305034435</v>
      </c>
      <c r="E65" s="116">
        <v>2657.37</v>
      </c>
      <c r="F65" s="62">
        <v>4882.9693600349792</v>
      </c>
      <c r="G65" s="108">
        <v>1837.5195625881902</v>
      </c>
      <c r="H65" s="124">
        <v>3006.9300000000003</v>
      </c>
      <c r="I65" s="62">
        <v>5102.7548043778743</v>
      </c>
      <c r="J65" s="65">
        <v>1696.9982022786942</v>
      </c>
      <c r="K65" s="116">
        <v>2626.4266666666667</v>
      </c>
      <c r="L65" s="62">
        <v>4570.353665440457</v>
      </c>
      <c r="M65" s="65">
        <v>1740.1413576267591</v>
      </c>
      <c r="N65" s="54"/>
      <c r="O65" s="54"/>
      <c r="P65" s="54"/>
      <c r="Q65" s="54"/>
      <c r="R65" s="54"/>
    </row>
    <row r="66" spans="1:18" ht="24" customHeight="1" thickBot="1" x14ac:dyDescent="0.25">
      <c r="A66" s="134" t="s">
        <v>169</v>
      </c>
      <c r="B66" s="125">
        <v>32029.860000000008</v>
      </c>
      <c r="C66" s="66">
        <v>72543.654785303166</v>
      </c>
      <c r="D66" s="67">
        <v>2264.8757998100255</v>
      </c>
      <c r="E66" s="117">
        <v>31364.699999999997</v>
      </c>
      <c r="F66" s="66">
        <v>73996.326048353207</v>
      </c>
      <c r="G66" s="109">
        <v>2359.2231409308306</v>
      </c>
      <c r="H66" s="125">
        <v>33421.630000000012</v>
      </c>
      <c r="I66" s="66">
        <v>77899.1560337845</v>
      </c>
      <c r="J66" s="67">
        <v>2330.8006232426264</v>
      </c>
      <c r="K66" s="117">
        <v>32272.063333333339</v>
      </c>
      <c r="L66" s="66">
        <v>74813.045622480291</v>
      </c>
      <c r="M66" s="67">
        <v>2318.1984011913796</v>
      </c>
      <c r="N66" s="54"/>
      <c r="O66" s="54"/>
      <c r="P66" s="54"/>
      <c r="Q66" s="54"/>
      <c r="R66" s="54"/>
    </row>
    <row r="67" spans="1:18" ht="24" customHeight="1" x14ac:dyDescent="0.2">
      <c r="A67" s="104" t="s">
        <v>170</v>
      </c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6"/>
      <c r="N67" s="54"/>
      <c r="O67" s="54"/>
      <c r="P67" s="54"/>
      <c r="Q67" s="54"/>
      <c r="R67" s="54"/>
    </row>
    <row r="68" spans="1:18" ht="24" customHeight="1" x14ac:dyDescent="0.2">
      <c r="A68" s="131" t="s">
        <v>252</v>
      </c>
      <c r="B68" s="124">
        <v>20131.509999999998</v>
      </c>
      <c r="C68" s="62">
        <v>87528.053197553425</v>
      </c>
      <c r="D68" s="65">
        <v>739.1283139508206</v>
      </c>
      <c r="E68" s="116">
        <v>21490.010000000002</v>
      </c>
      <c r="F68" s="62">
        <v>80367.034524177303</v>
      </c>
      <c r="G68" s="108">
        <v>635.7556775967131</v>
      </c>
      <c r="H68" s="124">
        <v>19541.289999999997</v>
      </c>
      <c r="I68" s="62">
        <v>62819.747145645575</v>
      </c>
      <c r="J68" s="65">
        <v>546.50215081807539</v>
      </c>
      <c r="K68" s="116">
        <v>20387.603333333333</v>
      </c>
      <c r="L68" s="62">
        <v>76904.944955792103</v>
      </c>
      <c r="M68" s="65">
        <v>641.26422457460626</v>
      </c>
      <c r="N68" s="54"/>
      <c r="O68" s="54"/>
      <c r="P68" s="54"/>
      <c r="Q68" s="54"/>
      <c r="R68" s="54"/>
    </row>
    <row r="69" spans="1:18" ht="24" customHeight="1" x14ac:dyDescent="0.2">
      <c r="A69" s="131" t="s">
        <v>253</v>
      </c>
      <c r="B69" s="124">
        <v>5360.9</v>
      </c>
      <c r="C69" s="62">
        <v>12479.654350598375</v>
      </c>
      <c r="D69" s="65">
        <v>395.74348329603686</v>
      </c>
      <c r="E69" s="116">
        <v>5343.23</v>
      </c>
      <c r="F69" s="62">
        <v>12110.26318864411</v>
      </c>
      <c r="G69" s="108">
        <v>385.29966744263282</v>
      </c>
      <c r="H69" s="124">
        <v>4175.2500000000009</v>
      </c>
      <c r="I69" s="62">
        <v>8686.2596157316184</v>
      </c>
      <c r="J69" s="65">
        <v>353.67083041120287</v>
      </c>
      <c r="K69" s="116">
        <v>4959.793333333334</v>
      </c>
      <c r="L69" s="62">
        <v>11092.059051658036</v>
      </c>
      <c r="M69" s="65">
        <v>380.18721992082988</v>
      </c>
      <c r="N69" s="54"/>
      <c r="O69" s="54"/>
      <c r="P69" s="54"/>
      <c r="Q69" s="54"/>
      <c r="R69" s="54"/>
    </row>
    <row r="70" spans="1:18" ht="24" customHeight="1" x14ac:dyDescent="0.2">
      <c r="A70" s="132" t="s">
        <v>251</v>
      </c>
      <c r="B70" s="130">
        <v>25492.409999999996</v>
      </c>
      <c r="C70" s="63">
        <v>100007.7075481518</v>
      </c>
      <c r="D70" s="77">
        <v>666.91655607240773</v>
      </c>
      <c r="E70" s="122">
        <v>26833.240000000009</v>
      </c>
      <c r="F70" s="63">
        <v>92477.297712821397</v>
      </c>
      <c r="G70" s="114">
        <v>585.88305441980287</v>
      </c>
      <c r="H70" s="130">
        <v>23716.539999999997</v>
      </c>
      <c r="I70" s="63">
        <v>71506.006761377212</v>
      </c>
      <c r="J70" s="77">
        <v>512.55457792047775</v>
      </c>
      <c r="K70" s="122">
        <v>25347.396666666667</v>
      </c>
      <c r="L70" s="63">
        <v>87997.00400745013</v>
      </c>
      <c r="M70" s="77">
        <v>590.17858433324398</v>
      </c>
      <c r="N70" s="54"/>
      <c r="O70" s="54"/>
      <c r="P70" s="54"/>
      <c r="Q70" s="54"/>
      <c r="R70" s="54"/>
    </row>
    <row r="71" spans="1:18" ht="24" customHeight="1" x14ac:dyDescent="0.2">
      <c r="A71" s="131" t="s">
        <v>171</v>
      </c>
      <c r="B71" s="124">
        <v>544.35</v>
      </c>
      <c r="C71" s="62">
        <v>1034.5730239390218</v>
      </c>
      <c r="D71" s="65">
        <v>1900.565856414112</v>
      </c>
      <c r="E71" s="116">
        <v>544</v>
      </c>
      <c r="F71" s="62">
        <v>1076.6185163333387</v>
      </c>
      <c r="G71" s="108">
        <v>1979.0781550245194</v>
      </c>
      <c r="H71" s="124">
        <v>410.57000000000005</v>
      </c>
      <c r="I71" s="62">
        <v>842.10181930559895</v>
      </c>
      <c r="J71" s="65">
        <v>2051.0554090790824</v>
      </c>
      <c r="K71" s="116">
        <v>499.64000000000004</v>
      </c>
      <c r="L71" s="62">
        <v>984.43111985931989</v>
      </c>
      <c r="M71" s="65">
        <v>1970.2808419248254</v>
      </c>
      <c r="N71" s="54"/>
      <c r="O71" s="54"/>
      <c r="P71" s="54"/>
      <c r="Q71" s="54"/>
      <c r="R71" s="54"/>
    </row>
    <row r="72" spans="1:18" ht="24" customHeight="1" x14ac:dyDescent="0.2">
      <c r="A72" s="131" t="s">
        <v>172</v>
      </c>
      <c r="B72" s="124">
        <v>1384.1200000000001</v>
      </c>
      <c r="C72" s="62">
        <v>3436.9096228898347</v>
      </c>
      <c r="D72" s="65">
        <v>2483.1009037437757</v>
      </c>
      <c r="E72" s="116">
        <v>1350.0399999999997</v>
      </c>
      <c r="F72" s="62">
        <v>3125.7439615034386</v>
      </c>
      <c r="G72" s="108">
        <v>2315.2972960085917</v>
      </c>
      <c r="H72" s="124">
        <v>1637.32</v>
      </c>
      <c r="I72" s="62">
        <v>3847.0876592492814</v>
      </c>
      <c r="J72" s="65">
        <v>2349.6247888313105</v>
      </c>
      <c r="K72" s="116">
        <v>1457.1599999999999</v>
      </c>
      <c r="L72" s="62">
        <v>3469.9137478808516</v>
      </c>
      <c r="M72" s="65">
        <v>2381.2853412671579</v>
      </c>
      <c r="N72" s="55"/>
      <c r="O72" s="55"/>
      <c r="P72" s="55"/>
      <c r="Q72" s="55"/>
      <c r="R72" s="55"/>
    </row>
    <row r="73" spans="1:18" ht="24" customHeight="1" x14ac:dyDescent="0.2">
      <c r="A73" s="132" t="s">
        <v>173</v>
      </c>
      <c r="B73" s="130">
        <v>1928.4700000000003</v>
      </c>
      <c r="C73" s="63">
        <v>4471.4826468288556</v>
      </c>
      <c r="D73" s="77">
        <v>2318.6685024028661</v>
      </c>
      <c r="E73" s="122">
        <v>1894.0400000000002</v>
      </c>
      <c r="F73" s="63">
        <v>4202.3624778367775</v>
      </c>
      <c r="G73" s="114">
        <v>2218.7295293852171</v>
      </c>
      <c r="H73" s="130">
        <v>2047.8899999999996</v>
      </c>
      <c r="I73" s="63">
        <v>4689.1894785548802</v>
      </c>
      <c r="J73" s="77">
        <v>2289.7662855694794</v>
      </c>
      <c r="K73" s="122">
        <v>1956.8</v>
      </c>
      <c r="L73" s="63">
        <v>4454.3448677401711</v>
      </c>
      <c r="M73" s="77">
        <v>2276.3414082891309</v>
      </c>
      <c r="N73" s="54"/>
      <c r="O73" s="54"/>
      <c r="P73" s="54"/>
      <c r="Q73" s="54"/>
      <c r="R73" s="54"/>
    </row>
    <row r="74" spans="1:18" ht="24" customHeight="1" x14ac:dyDescent="0.2">
      <c r="A74" s="131" t="s">
        <v>249</v>
      </c>
      <c r="B74" s="124">
        <v>1810.6599999999999</v>
      </c>
      <c r="C74" s="62">
        <v>129012.10920283146</v>
      </c>
      <c r="D74" s="65">
        <v>71251.42721594969</v>
      </c>
      <c r="E74" s="116">
        <v>2015.74</v>
      </c>
      <c r="F74" s="62">
        <v>149598.45490217739</v>
      </c>
      <c r="G74" s="108">
        <v>74215.154187632041</v>
      </c>
      <c r="H74" s="124">
        <v>1887.6899999999998</v>
      </c>
      <c r="I74" s="62">
        <v>137142.21100800001</v>
      </c>
      <c r="J74" s="65">
        <v>72650.811843046278</v>
      </c>
      <c r="K74" s="116">
        <v>1904.6966666666665</v>
      </c>
      <c r="L74" s="62">
        <v>138584.25837100294</v>
      </c>
      <c r="M74" s="65">
        <v>72759.227648323504</v>
      </c>
      <c r="N74" s="54"/>
      <c r="O74" s="54"/>
      <c r="P74" s="54"/>
      <c r="Q74" s="54"/>
      <c r="R74" s="54"/>
    </row>
    <row r="75" spans="1:18" ht="24" customHeight="1" x14ac:dyDescent="0.2">
      <c r="A75" s="131" t="s">
        <v>174</v>
      </c>
      <c r="B75" s="124">
        <v>1314.29</v>
      </c>
      <c r="C75" s="62">
        <v>41761.116615559193</v>
      </c>
      <c r="D75" s="65">
        <v>31774.659029254723</v>
      </c>
      <c r="E75" s="116">
        <v>1348.57</v>
      </c>
      <c r="F75" s="62">
        <v>43023.539684172087</v>
      </c>
      <c r="G75" s="108">
        <v>31903.082290257153</v>
      </c>
      <c r="H75" s="124">
        <v>1562.07</v>
      </c>
      <c r="I75" s="62">
        <v>50802.788191926811</v>
      </c>
      <c r="J75" s="65">
        <v>32522.734699422443</v>
      </c>
      <c r="K75" s="116">
        <v>1408.3099999999997</v>
      </c>
      <c r="L75" s="62">
        <v>45195.814830552699</v>
      </c>
      <c r="M75" s="65">
        <v>32092.234543923358</v>
      </c>
      <c r="N75" s="55"/>
      <c r="O75" s="55"/>
      <c r="P75" s="55"/>
      <c r="Q75" s="55"/>
      <c r="R75" s="55"/>
    </row>
    <row r="76" spans="1:18" ht="24" customHeight="1" x14ac:dyDescent="0.2">
      <c r="A76" s="131" t="s">
        <v>175</v>
      </c>
      <c r="B76" s="124">
        <v>508.96999999999997</v>
      </c>
      <c r="C76" s="62">
        <v>842.05761067093033</v>
      </c>
      <c r="D76" s="65">
        <v>1654.4346634790468</v>
      </c>
      <c r="E76" s="116">
        <v>1332.0700000000004</v>
      </c>
      <c r="F76" s="62">
        <v>2178.5630346222147</v>
      </c>
      <c r="G76" s="108">
        <v>1635.471885578246</v>
      </c>
      <c r="H76" s="124">
        <v>571.61</v>
      </c>
      <c r="I76" s="62">
        <v>886.31271892101108</v>
      </c>
      <c r="J76" s="65">
        <v>1550.5549569129496</v>
      </c>
      <c r="K76" s="116">
        <v>804.21666666666681</v>
      </c>
      <c r="L76" s="62">
        <v>1302.3111214047187</v>
      </c>
      <c r="M76" s="65">
        <v>1619.3535590384663</v>
      </c>
      <c r="N76" s="55"/>
      <c r="O76" s="55"/>
      <c r="P76" s="55"/>
      <c r="Q76" s="55"/>
      <c r="R76" s="55"/>
    </row>
    <row r="77" spans="1:18" ht="24" customHeight="1" x14ac:dyDescent="0.2">
      <c r="A77" s="131" t="s">
        <v>176</v>
      </c>
      <c r="B77" s="124">
        <v>2762.08</v>
      </c>
      <c r="C77" s="62">
        <v>2147.4043183967678</v>
      </c>
      <c r="D77" s="65">
        <v>777.45913166771709</v>
      </c>
      <c r="E77" s="116">
        <v>5613.06</v>
      </c>
      <c r="F77" s="62">
        <v>4182.6702637583958</v>
      </c>
      <c r="G77" s="108">
        <v>745.16756702376165</v>
      </c>
      <c r="H77" s="124">
        <v>4765.3700000000017</v>
      </c>
      <c r="I77" s="62">
        <v>4076.2868833569082</v>
      </c>
      <c r="J77" s="65">
        <v>855.39777254586886</v>
      </c>
      <c r="K77" s="116">
        <v>4380.170000000001</v>
      </c>
      <c r="L77" s="62">
        <v>3468.7871551706908</v>
      </c>
      <c r="M77" s="65">
        <v>791.92980070880583</v>
      </c>
      <c r="N77" s="55"/>
      <c r="O77" s="55"/>
      <c r="P77" s="55"/>
      <c r="Q77" s="55"/>
      <c r="R77" s="55"/>
    </row>
    <row r="78" spans="1:18" ht="24" customHeight="1" x14ac:dyDescent="0.2">
      <c r="A78" s="131" t="s">
        <v>177</v>
      </c>
      <c r="B78" s="124">
        <v>132.44999999999999</v>
      </c>
      <c r="C78" s="62">
        <v>59.897144232901141</v>
      </c>
      <c r="D78" s="65">
        <v>452.22456951982747</v>
      </c>
      <c r="E78" s="116">
        <v>312.07999999999993</v>
      </c>
      <c r="F78" s="62">
        <v>245.23010914955043</v>
      </c>
      <c r="G78" s="108">
        <v>785.79245433719075</v>
      </c>
      <c r="H78" s="124">
        <v>274.88</v>
      </c>
      <c r="I78" s="62">
        <v>201.37701478841524</v>
      </c>
      <c r="J78" s="65">
        <v>732.59973365983421</v>
      </c>
      <c r="K78" s="116">
        <v>239.80333333333328</v>
      </c>
      <c r="L78" s="62">
        <v>168.8347560569556</v>
      </c>
      <c r="M78" s="65">
        <v>704.05508426469873</v>
      </c>
      <c r="N78" s="55"/>
      <c r="O78" s="55"/>
      <c r="P78" s="55"/>
      <c r="Q78" s="55"/>
      <c r="R78" s="55"/>
    </row>
    <row r="79" spans="1:18" ht="24" customHeight="1" x14ac:dyDescent="0.2">
      <c r="A79" s="131" t="s">
        <v>178</v>
      </c>
      <c r="B79" s="124">
        <v>698.43999999999994</v>
      </c>
      <c r="C79" s="62">
        <v>19240.066999108403</v>
      </c>
      <c r="D79" s="65">
        <v>27547.200903597168</v>
      </c>
      <c r="E79" s="116">
        <v>691.83</v>
      </c>
      <c r="F79" s="62">
        <v>19499.117044935268</v>
      </c>
      <c r="G79" s="108">
        <v>28184.838825918603</v>
      </c>
      <c r="H79" s="124">
        <v>935.24999999999977</v>
      </c>
      <c r="I79" s="62">
        <v>28375.341344664965</v>
      </c>
      <c r="J79" s="65">
        <v>30339.846399000238</v>
      </c>
      <c r="K79" s="116">
        <v>775.17333333333318</v>
      </c>
      <c r="L79" s="62">
        <v>22371.508462902875</v>
      </c>
      <c r="M79" s="65">
        <v>28860.007821351195</v>
      </c>
      <c r="N79" s="55"/>
      <c r="O79" s="55"/>
      <c r="P79" s="55"/>
      <c r="Q79" s="55"/>
      <c r="R79" s="55"/>
    </row>
    <row r="80" spans="1:18" ht="24" customHeight="1" x14ac:dyDescent="0.2">
      <c r="A80" s="131" t="s">
        <v>179</v>
      </c>
      <c r="B80" s="124">
        <v>120.07</v>
      </c>
      <c r="C80" s="62">
        <v>3276.0750750000007</v>
      </c>
      <c r="D80" s="65">
        <v>27284.709544432422</v>
      </c>
      <c r="E80" s="116">
        <v>108.04999999999997</v>
      </c>
      <c r="F80" s="62">
        <v>2965.7342270999989</v>
      </c>
      <c r="G80" s="108">
        <v>27447.794790374825</v>
      </c>
      <c r="H80" s="124">
        <v>109.04999999999998</v>
      </c>
      <c r="I80" s="62">
        <v>3192.4292900000005</v>
      </c>
      <c r="J80" s="65">
        <v>29274.913250802394</v>
      </c>
      <c r="K80" s="116">
        <v>112.38999999999999</v>
      </c>
      <c r="L80" s="62">
        <v>3144.7461973666668</v>
      </c>
      <c r="M80" s="65">
        <v>27980.658398137446</v>
      </c>
      <c r="N80" s="55"/>
      <c r="O80" s="55"/>
      <c r="P80" s="55"/>
      <c r="Q80" s="55"/>
      <c r="R80" s="55"/>
    </row>
    <row r="81" spans="1:18" ht="24" customHeight="1" x14ac:dyDescent="0.2">
      <c r="A81" s="132" t="s">
        <v>180</v>
      </c>
      <c r="B81" s="130">
        <v>818.50999999999988</v>
      </c>
      <c r="C81" s="63">
        <v>22516.142074108404</v>
      </c>
      <c r="D81" s="77">
        <v>27508.695158407845</v>
      </c>
      <c r="E81" s="122">
        <v>799.87999999999988</v>
      </c>
      <c r="F81" s="63">
        <v>22464.85127203527</v>
      </c>
      <c r="G81" s="114">
        <v>28085.27688157633</v>
      </c>
      <c r="H81" s="130">
        <v>1044.3</v>
      </c>
      <c r="I81" s="63">
        <v>31567.770634664965</v>
      </c>
      <c r="J81" s="77">
        <v>30228.641802800885</v>
      </c>
      <c r="K81" s="122">
        <v>887.56333333333316</v>
      </c>
      <c r="L81" s="63">
        <v>25516.254660269547</v>
      </c>
      <c r="M81" s="77">
        <v>28748.657928939778</v>
      </c>
      <c r="N81" s="54"/>
      <c r="O81" s="54"/>
      <c r="P81" s="54"/>
      <c r="Q81" s="54"/>
      <c r="R81" s="54"/>
    </row>
    <row r="82" spans="1:18" ht="24" customHeight="1" x14ac:dyDescent="0.2">
      <c r="A82" s="131" t="s">
        <v>181</v>
      </c>
      <c r="B82" s="124">
        <v>211.17000000000002</v>
      </c>
      <c r="C82" s="62">
        <v>1473.5416349613502</v>
      </c>
      <c r="D82" s="65">
        <v>6977.9875690739691</v>
      </c>
      <c r="E82" s="116">
        <v>171.4</v>
      </c>
      <c r="F82" s="62">
        <v>1142.8767608074631</v>
      </c>
      <c r="G82" s="108">
        <v>6667.8924201135542</v>
      </c>
      <c r="H82" s="124">
        <v>141.98000000000005</v>
      </c>
      <c r="I82" s="62">
        <v>1092.9496933636028</v>
      </c>
      <c r="J82" s="65">
        <v>7697.913039608412</v>
      </c>
      <c r="K82" s="116">
        <v>174.85000000000002</v>
      </c>
      <c r="L82" s="62">
        <v>1236.4560297108053</v>
      </c>
      <c r="M82" s="65">
        <v>7071.5243334904499</v>
      </c>
      <c r="N82" s="54"/>
      <c r="O82" s="54"/>
      <c r="P82" s="54"/>
      <c r="Q82" s="54"/>
      <c r="R82" s="54"/>
    </row>
    <row r="83" spans="1:18" ht="24" customHeight="1" x14ac:dyDescent="0.2">
      <c r="A83" s="131" t="s">
        <v>182</v>
      </c>
      <c r="B83" s="124">
        <v>1040.4100000000001</v>
      </c>
      <c r="C83" s="62">
        <v>741.28085395268397</v>
      </c>
      <c r="D83" s="65">
        <v>712.48916672531402</v>
      </c>
      <c r="E83" s="116">
        <v>1032.1000000000001</v>
      </c>
      <c r="F83" s="62">
        <v>818.23950163985819</v>
      </c>
      <c r="G83" s="108">
        <v>792.79091332221503</v>
      </c>
      <c r="H83" s="124">
        <v>852.26</v>
      </c>
      <c r="I83" s="62">
        <v>623.55249792565542</v>
      </c>
      <c r="J83" s="65">
        <v>731.6458568108975</v>
      </c>
      <c r="K83" s="116">
        <v>974.92333333333352</v>
      </c>
      <c r="L83" s="62">
        <v>727.69095117273264</v>
      </c>
      <c r="M83" s="65">
        <v>746.40838545191502</v>
      </c>
      <c r="N83" s="55"/>
      <c r="O83" s="55"/>
      <c r="P83" s="55"/>
      <c r="Q83" s="55"/>
      <c r="R83" s="55"/>
    </row>
    <row r="84" spans="1:18" ht="24" customHeight="1" thickBot="1" x14ac:dyDescent="0.25">
      <c r="A84" s="137" t="s">
        <v>183</v>
      </c>
      <c r="B84" s="142">
        <v>367.98</v>
      </c>
      <c r="C84" s="143">
        <v>29398.480318726517</v>
      </c>
      <c r="D84" s="144">
        <v>79891.516709404081</v>
      </c>
      <c r="E84" s="145">
        <v>350.04000000000008</v>
      </c>
      <c r="F84" s="143">
        <v>27555.779106944301</v>
      </c>
      <c r="G84" s="146">
        <v>78721.800671192701</v>
      </c>
      <c r="H84" s="142">
        <v>350.04000000000008</v>
      </c>
      <c r="I84" s="143">
        <v>27555.779106944301</v>
      </c>
      <c r="J84" s="144">
        <v>78721.800671192701</v>
      </c>
      <c r="K84" s="145">
        <v>356.02000000000004</v>
      </c>
      <c r="L84" s="143">
        <v>28170.012844205037</v>
      </c>
      <c r="M84" s="144">
        <v>79124.804348646241</v>
      </c>
      <c r="N84" s="55"/>
      <c r="O84" s="55"/>
      <c r="P84" s="55"/>
      <c r="Q84" s="55"/>
      <c r="R84" s="55"/>
    </row>
    <row r="85" spans="1:18" ht="24" customHeight="1" x14ac:dyDescent="0.2">
      <c r="A85" s="60" t="s">
        <v>254</v>
      </c>
      <c r="B85" s="61"/>
      <c r="C85" s="58"/>
      <c r="D85" s="58"/>
      <c r="E85" s="61"/>
      <c r="F85" s="58"/>
      <c r="G85" s="58"/>
      <c r="H85" s="58"/>
      <c r="I85" s="58"/>
      <c r="J85" s="58"/>
      <c r="K85" s="59"/>
      <c r="L85" s="58"/>
      <c r="M85" s="58"/>
      <c r="N85" s="55"/>
      <c r="O85" s="55"/>
      <c r="P85" s="55"/>
      <c r="Q85" s="55"/>
      <c r="R85" s="55"/>
    </row>
    <row r="86" spans="1:18" s="147" customFormat="1" ht="24" customHeight="1" x14ac:dyDescent="0.2">
      <c r="A86" s="60" t="s">
        <v>255</v>
      </c>
      <c r="B86" s="61"/>
      <c r="C86" s="58"/>
      <c r="D86" s="58"/>
      <c r="E86" s="61"/>
      <c r="F86" s="58"/>
      <c r="G86" s="58"/>
      <c r="H86" s="58"/>
      <c r="I86" s="58"/>
      <c r="J86" s="58"/>
      <c r="K86" s="59"/>
      <c r="L86" s="58"/>
      <c r="M86" s="58"/>
      <c r="N86" s="55"/>
      <c r="O86" s="55"/>
      <c r="P86" s="55"/>
      <c r="Q86" s="55"/>
      <c r="R86" s="55"/>
    </row>
    <row r="87" spans="1:18" ht="15.75" customHeight="1" x14ac:dyDescent="0.2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</row>
    <row r="88" spans="1:18" ht="15.75" customHeight="1" x14ac:dyDescent="0.2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</row>
    <row r="89" spans="1:18" ht="15.75" customHeight="1" x14ac:dyDescent="0.2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</row>
    <row r="90" spans="1:18" ht="15.75" customHeight="1" x14ac:dyDescent="0.2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</row>
    <row r="91" spans="1:18" ht="15.75" customHeight="1" x14ac:dyDescent="0.2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</row>
    <row r="92" spans="1:18" ht="15.75" customHeight="1" x14ac:dyDescent="0.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</row>
    <row r="93" spans="1:18" ht="15.75" customHeight="1" x14ac:dyDescent="0.2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</row>
    <row r="94" spans="1:18" ht="15.75" customHeight="1" x14ac:dyDescent="0.2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</row>
    <row r="95" spans="1:18" ht="15.75" customHeight="1" x14ac:dyDescent="0.2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</row>
    <row r="96" spans="1:18" ht="15.75" customHeight="1" x14ac:dyDescent="0.2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</row>
    <row r="97" spans="1:18" ht="15.75" customHeight="1" x14ac:dyDescent="0.2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</row>
    <row r="98" spans="1:18" ht="15.75" customHeight="1" x14ac:dyDescent="0.2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</row>
    <row r="99" spans="1:18" ht="15.75" customHeight="1" x14ac:dyDescent="0.2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</row>
    <row r="100" spans="1:18" ht="15.75" customHeight="1" x14ac:dyDescent="0.2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</row>
    <row r="101" spans="1:18" ht="15.75" customHeight="1" x14ac:dyDescent="0.2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</row>
    <row r="102" spans="1:18" ht="15.75" customHeight="1" x14ac:dyDescent="0.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</row>
    <row r="103" spans="1:18" ht="15.75" customHeight="1" x14ac:dyDescent="0.2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</row>
    <row r="104" spans="1:18" ht="15.75" customHeight="1" x14ac:dyDescent="0.2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</row>
    <row r="105" spans="1:18" ht="15.75" customHeight="1" x14ac:dyDescent="0.2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</row>
    <row r="106" spans="1:18" ht="15.75" customHeight="1" x14ac:dyDescent="0.2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</row>
    <row r="107" spans="1:18" ht="15.75" customHeight="1" x14ac:dyDescent="0.2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</row>
    <row r="108" spans="1:18" ht="15.75" customHeight="1" x14ac:dyDescent="0.2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</row>
    <row r="109" spans="1:18" ht="15.75" customHeight="1" x14ac:dyDescent="0.2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</row>
    <row r="110" spans="1:18" ht="15.75" customHeight="1" x14ac:dyDescent="0.2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</row>
    <row r="111" spans="1:18" ht="15.75" customHeight="1" x14ac:dyDescent="0.2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</row>
    <row r="112" spans="1:18" ht="15.75" customHeight="1" x14ac:dyDescent="0.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</row>
    <row r="113" spans="1:18" ht="15.75" customHeight="1" x14ac:dyDescent="0.2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</row>
    <row r="114" spans="1:18" ht="15.75" customHeight="1" x14ac:dyDescent="0.2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</row>
    <row r="115" spans="1:18" ht="15.75" customHeight="1" x14ac:dyDescent="0.2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</row>
    <row r="116" spans="1:18" ht="15.75" customHeight="1" x14ac:dyDescent="0.2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</row>
    <row r="117" spans="1:18" ht="15.75" customHeight="1" x14ac:dyDescent="0.2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</row>
    <row r="118" spans="1:18" ht="15.75" customHeight="1" x14ac:dyDescent="0.2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</row>
    <row r="119" spans="1:18" ht="15.75" customHeight="1" x14ac:dyDescent="0.2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</row>
    <row r="120" spans="1:18" ht="15.75" customHeight="1" x14ac:dyDescent="0.2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</row>
    <row r="121" spans="1:18" ht="15.75" customHeight="1" x14ac:dyDescent="0.2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</row>
    <row r="122" spans="1:18" ht="15.75" customHeight="1" x14ac:dyDescent="0.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</row>
    <row r="123" spans="1:18" ht="15.75" customHeight="1" x14ac:dyDescent="0.2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</row>
    <row r="124" spans="1:18" ht="15.75" customHeight="1" x14ac:dyDescent="0.2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</row>
    <row r="125" spans="1:18" ht="15.75" customHeight="1" x14ac:dyDescent="0.2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</row>
    <row r="126" spans="1:18" ht="15.75" customHeight="1" x14ac:dyDescent="0.2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</row>
    <row r="127" spans="1:18" ht="15.75" customHeight="1" x14ac:dyDescent="0.2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</row>
    <row r="128" spans="1:18" ht="15.75" customHeight="1" x14ac:dyDescent="0.2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</row>
    <row r="129" spans="1:18" ht="15.75" customHeight="1" x14ac:dyDescent="0.2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</row>
    <row r="130" spans="1:18" ht="15.75" customHeight="1" x14ac:dyDescent="0.2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</row>
    <row r="131" spans="1:18" ht="15.75" customHeight="1" x14ac:dyDescent="0.2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</row>
    <row r="132" spans="1:18" ht="15.75" customHeight="1" x14ac:dyDescent="0.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</row>
    <row r="133" spans="1:18" ht="15.75" customHeight="1" x14ac:dyDescent="0.2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</row>
    <row r="134" spans="1:18" ht="15.75" customHeight="1" x14ac:dyDescent="0.2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</row>
    <row r="135" spans="1:18" ht="15.75" customHeight="1" x14ac:dyDescent="0.2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</row>
    <row r="136" spans="1:18" ht="15.75" customHeight="1" x14ac:dyDescent="0.2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</row>
    <row r="137" spans="1:18" ht="15.75" customHeight="1" x14ac:dyDescent="0.2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</row>
    <row r="138" spans="1:18" ht="15.75" customHeight="1" x14ac:dyDescent="0.2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</row>
    <row r="139" spans="1:18" ht="15.75" customHeight="1" x14ac:dyDescent="0.2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</row>
    <row r="140" spans="1:18" ht="15.75" customHeight="1" x14ac:dyDescent="0.2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</row>
    <row r="141" spans="1:18" ht="15.75" customHeight="1" x14ac:dyDescent="0.2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</row>
    <row r="142" spans="1:18" ht="15.75" customHeight="1" x14ac:dyDescent="0.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</row>
    <row r="143" spans="1:18" ht="15.75" customHeight="1" x14ac:dyDescent="0.2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</row>
    <row r="144" spans="1:18" ht="15.75" customHeight="1" x14ac:dyDescent="0.2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</row>
    <row r="145" spans="1:18" ht="15.75" customHeight="1" x14ac:dyDescent="0.2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</row>
    <row r="146" spans="1:18" ht="15.75" customHeight="1" x14ac:dyDescent="0.2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</row>
    <row r="147" spans="1:18" ht="15.75" customHeight="1" x14ac:dyDescent="0.2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</row>
    <row r="148" spans="1:18" ht="15.75" customHeight="1" x14ac:dyDescent="0.2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</row>
    <row r="149" spans="1:18" ht="15.75" customHeight="1" x14ac:dyDescent="0.2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</row>
    <row r="150" spans="1:18" ht="15.75" customHeight="1" x14ac:dyDescent="0.2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</row>
    <row r="151" spans="1:18" ht="15.75" customHeight="1" x14ac:dyDescent="0.2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</row>
    <row r="152" spans="1:18" ht="15.75" customHeight="1" x14ac:dyDescent="0.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</row>
    <row r="153" spans="1:18" ht="15.75" customHeight="1" x14ac:dyDescent="0.2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</row>
    <row r="154" spans="1:18" ht="15.75" customHeight="1" x14ac:dyDescent="0.2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</row>
    <row r="155" spans="1:18" ht="15.75" customHeight="1" x14ac:dyDescent="0.2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</row>
    <row r="156" spans="1:18" ht="15.75" customHeight="1" x14ac:dyDescent="0.2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1:18" ht="15.75" customHeight="1" x14ac:dyDescent="0.2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1:18" ht="15.75" customHeight="1" x14ac:dyDescent="0.2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1:18" ht="15.75" customHeight="1" x14ac:dyDescent="0.2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1:18" ht="15.75" customHeight="1" x14ac:dyDescent="0.2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1:18" ht="15.75" customHeight="1" x14ac:dyDescent="0.2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1:18" ht="15.75" customHeight="1" x14ac:dyDescent="0.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1:18" ht="15.75" customHeight="1" x14ac:dyDescent="0.2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1:18" ht="15.75" customHeight="1" x14ac:dyDescent="0.2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1:18" ht="15.75" customHeight="1" x14ac:dyDescent="0.2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1:18" ht="15.75" customHeight="1" x14ac:dyDescent="0.2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1:18" ht="15.75" customHeight="1" x14ac:dyDescent="0.2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1:18" ht="15.75" customHeight="1" x14ac:dyDescent="0.2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  <row r="169" spans="1:18" ht="15.75" customHeight="1" x14ac:dyDescent="0.2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</row>
    <row r="170" spans="1:18" ht="15.75" customHeight="1" x14ac:dyDescent="0.2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</row>
    <row r="171" spans="1:18" ht="15.75" customHeight="1" x14ac:dyDescent="0.2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1:18" ht="15.75" customHeight="1" x14ac:dyDescent="0.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1:18" ht="15.75" customHeight="1" x14ac:dyDescent="0.2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1:18" ht="15.75" customHeight="1" x14ac:dyDescent="0.2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1:18" ht="15.75" customHeight="1" x14ac:dyDescent="0.2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1:18" ht="15.75" customHeight="1" x14ac:dyDescent="0.2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1:18" ht="15.75" customHeight="1" x14ac:dyDescent="0.2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1:18" ht="15.75" customHeight="1" x14ac:dyDescent="0.2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1:18" ht="15.75" customHeight="1" x14ac:dyDescent="0.2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1:18" ht="15.75" customHeight="1" x14ac:dyDescent="0.2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  <row r="181" spans="1:18" ht="15.75" customHeight="1" x14ac:dyDescent="0.2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</row>
    <row r="182" spans="1:18" ht="15.75" customHeight="1" x14ac:dyDescent="0.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</row>
    <row r="183" spans="1:18" ht="15.75" customHeight="1" x14ac:dyDescent="0.2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</row>
    <row r="184" spans="1:18" ht="15.75" customHeight="1" x14ac:dyDescent="0.2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</row>
    <row r="185" spans="1:18" ht="15.75" customHeight="1" x14ac:dyDescent="0.2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</row>
    <row r="186" spans="1:18" ht="15.75" customHeight="1" x14ac:dyDescent="0.2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</row>
    <row r="187" spans="1:18" ht="15.75" customHeight="1" x14ac:dyDescent="0.2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</row>
    <row r="188" spans="1:18" ht="15.75" customHeight="1" x14ac:dyDescent="0.2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</row>
    <row r="189" spans="1:18" ht="15.75" customHeight="1" x14ac:dyDescent="0.2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</row>
    <row r="190" spans="1:18" ht="15.75" customHeight="1" x14ac:dyDescent="0.2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</row>
    <row r="191" spans="1:18" ht="15.75" customHeight="1" x14ac:dyDescent="0.2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</row>
    <row r="192" spans="1:18" ht="15.75" customHeight="1" x14ac:dyDescent="0.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</row>
    <row r="193" spans="1:18" ht="15.75" customHeight="1" x14ac:dyDescent="0.2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</row>
    <row r="194" spans="1:18" ht="15.75" customHeight="1" x14ac:dyDescent="0.2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</row>
    <row r="195" spans="1:18" ht="15.75" customHeight="1" x14ac:dyDescent="0.2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</row>
    <row r="196" spans="1:18" ht="15.75" customHeight="1" x14ac:dyDescent="0.2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</row>
    <row r="197" spans="1:18" ht="15.75" customHeight="1" x14ac:dyDescent="0.2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</row>
    <row r="198" spans="1:18" ht="15.75" customHeight="1" x14ac:dyDescent="0.2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</row>
    <row r="199" spans="1:18" ht="15.75" customHeight="1" x14ac:dyDescent="0.2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</row>
    <row r="200" spans="1:18" ht="15.75" customHeight="1" x14ac:dyDescent="0.2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</row>
    <row r="201" spans="1:18" ht="15.75" customHeight="1" x14ac:dyDescent="0.2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</row>
    <row r="202" spans="1:18" ht="15.75" customHeight="1" x14ac:dyDescent="0.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</row>
    <row r="203" spans="1:18" ht="15.75" customHeight="1" x14ac:dyDescent="0.2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</row>
    <row r="204" spans="1:18" ht="15.75" customHeight="1" x14ac:dyDescent="0.2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</row>
    <row r="205" spans="1:18" ht="15.75" customHeight="1" x14ac:dyDescent="0.2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</row>
    <row r="206" spans="1:18" ht="15.75" customHeight="1" x14ac:dyDescent="0.2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</row>
    <row r="207" spans="1:18" ht="15.75" customHeight="1" x14ac:dyDescent="0.2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</row>
    <row r="208" spans="1:18" ht="15.75" customHeight="1" x14ac:dyDescent="0.2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</row>
    <row r="209" spans="1:18" ht="15.75" customHeight="1" x14ac:dyDescent="0.2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</row>
    <row r="210" spans="1:18" ht="15.75" customHeight="1" x14ac:dyDescent="0.2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</row>
    <row r="211" spans="1:18" ht="15.75" customHeight="1" x14ac:dyDescent="0.2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</row>
    <row r="212" spans="1:18" ht="15.75" customHeight="1" x14ac:dyDescent="0.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</row>
    <row r="213" spans="1:18" ht="15.75" customHeight="1" x14ac:dyDescent="0.2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</row>
    <row r="214" spans="1:18" ht="15.75" customHeight="1" x14ac:dyDescent="0.2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</row>
    <row r="215" spans="1:18" ht="15.75" customHeight="1" x14ac:dyDescent="0.2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</row>
    <row r="216" spans="1:18" ht="15.75" customHeight="1" x14ac:dyDescent="0.2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</row>
    <row r="217" spans="1:18" ht="15.75" customHeight="1" x14ac:dyDescent="0.2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</row>
    <row r="218" spans="1:18" ht="15.75" customHeight="1" x14ac:dyDescent="0.2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</row>
    <row r="219" spans="1:18" ht="15.75" customHeight="1" x14ac:dyDescent="0.2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</row>
    <row r="220" spans="1:18" ht="15.75" customHeight="1" x14ac:dyDescent="0.2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</row>
    <row r="221" spans="1:18" ht="15.75" customHeight="1" x14ac:dyDescent="0.2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</row>
    <row r="222" spans="1:18" ht="15.75" customHeight="1" x14ac:dyDescent="0.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</row>
    <row r="223" spans="1:18" ht="15.75" customHeight="1" x14ac:dyDescent="0.2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</row>
    <row r="224" spans="1:18" ht="15.75" customHeight="1" x14ac:dyDescent="0.2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</row>
    <row r="225" spans="1:18" ht="15.75" customHeight="1" x14ac:dyDescent="0.2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</row>
    <row r="226" spans="1:18" ht="15.75" customHeight="1" x14ac:dyDescent="0.2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</row>
    <row r="227" spans="1:18" ht="15.75" customHeight="1" x14ac:dyDescent="0.2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</row>
    <row r="228" spans="1:18" ht="15.75" customHeight="1" x14ac:dyDescent="0.2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</row>
    <row r="229" spans="1:18" ht="15.75" customHeight="1" x14ac:dyDescent="0.2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</row>
    <row r="230" spans="1:18" ht="15.75" customHeight="1" x14ac:dyDescent="0.2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</row>
    <row r="231" spans="1:18" ht="15.75" customHeight="1" x14ac:dyDescent="0.2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</row>
    <row r="232" spans="1:18" ht="15.75" customHeight="1" x14ac:dyDescent="0.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</row>
    <row r="233" spans="1:18" ht="15.75" customHeight="1" x14ac:dyDescent="0.2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</row>
    <row r="234" spans="1:18" ht="15.75" customHeight="1" x14ac:dyDescent="0.2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</row>
    <row r="235" spans="1:18" ht="15.75" customHeight="1" x14ac:dyDescent="0.2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</row>
    <row r="236" spans="1:18" ht="15.75" customHeight="1" x14ac:dyDescent="0.2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</row>
    <row r="237" spans="1:18" ht="15.75" customHeight="1" x14ac:dyDescent="0.2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</row>
    <row r="238" spans="1:18" ht="15.75" customHeight="1" x14ac:dyDescent="0.2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</row>
    <row r="239" spans="1:18" ht="15.75" customHeight="1" x14ac:dyDescent="0.2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</row>
    <row r="240" spans="1:18" ht="15.75" customHeight="1" x14ac:dyDescent="0.2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</row>
    <row r="241" spans="1:18" ht="15.75" customHeight="1" x14ac:dyDescent="0.2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</row>
    <row r="242" spans="1:18" ht="15.75" customHeight="1" x14ac:dyDescent="0.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</row>
    <row r="243" spans="1:18" ht="15.75" customHeight="1" x14ac:dyDescent="0.2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</row>
    <row r="244" spans="1:18" ht="15.75" customHeight="1" x14ac:dyDescent="0.2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</row>
    <row r="245" spans="1:18" ht="15.75" customHeight="1" x14ac:dyDescent="0.2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</row>
    <row r="246" spans="1:18" ht="15.75" customHeight="1" x14ac:dyDescent="0.2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</row>
    <row r="247" spans="1:18" ht="15.75" customHeight="1" x14ac:dyDescent="0.2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</row>
    <row r="248" spans="1:18" ht="15.75" customHeight="1" x14ac:dyDescent="0.2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</row>
    <row r="249" spans="1:18" ht="15.75" customHeight="1" x14ac:dyDescent="0.2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</row>
    <row r="250" spans="1:18" ht="15.75" customHeight="1" x14ac:dyDescent="0.2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</row>
    <row r="251" spans="1:18" ht="15.75" customHeight="1" x14ac:dyDescent="0.2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</row>
    <row r="252" spans="1:18" ht="15.75" customHeight="1" x14ac:dyDescent="0.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</row>
    <row r="253" spans="1:18" ht="15.75" customHeight="1" x14ac:dyDescent="0.2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</row>
    <row r="254" spans="1:18" ht="15.75" customHeight="1" x14ac:dyDescent="0.2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</row>
    <row r="255" spans="1:18" ht="15.75" customHeight="1" x14ac:dyDescent="0.2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</row>
    <row r="256" spans="1:18" ht="15.75" customHeight="1" x14ac:dyDescent="0.2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</row>
    <row r="257" spans="1:18" ht="15.75" customHeight="1" x14ac:dyDescent="0.2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</row>
    <row r="258" spans="1:18" ht="15.75" customHeight="1" x14ac:dyDescent="0.2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</row>
    <row r="259" spans="1:18" ht="15.75" customHeight="1" x14ac:dyDescent="0.2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</row>
    <row r="260" spans="1:18" ht="15.75" customHeight="1" x14ac:dyDescent="0.2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</row>
    <row r="261" spans="1:18" ht="15.75" customHeight="1" x14ac:dyDescent="0.2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</row>
    <row r="262" spans="1:18" ht="15.75" customHeight="1" x14ac:dyDescent="0.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</row>
    <row r="263" spans="1:18" ht="15.75" customHeight="1" x14ac:dyDescent="0.2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</row>
    <row r="264" spans="1:18" ht="15.75" customHeight="1" x14ac:dyDescent="0.2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</row>
    <row r="265" spans="1:18" ht="15.75" customHeight="1" x14ac:dyDescent="0.2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</row>
    <row r="266" spans="1:18" ht="15.75" customHeight="1" x14ac:dyDescent="0.2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</row>
    <row r="267" spans="1:18" ht="15.75" customHeight="1" x14ac:dyDescent="0.2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</row>
    <row r="268" spans="1:18" ht="15.75" customHeight="1" x14ac:dyDescent="0.2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</row>
    <row r="269" spans="1:18" ht="15.75" customHeight="1" x14ac:dyDescent="0.2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</row>
    <row r="270" spans="1:18" ht="15.75" customHeight="1" x14ac:dyDescent="0.2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</row>
    <row r="271" spans="1:18" ht="15.75" customHeight="1" x14ac:dyDescent="0.2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</row>
    <row r="272" spans="1:18" ht="15.75" customHeight="1" x14ac:dyDescent="0.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</row>
    <row r="273" spans="1:18" ht="15.75" customHeight="1" x14ac:dyDescent="0.2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</row>
    <row r="274" spans="1:18" ht="15.75" customHeight="1" x14ac:dyDescent="0.2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</row>
    <row r="275" spans="1:18" ht="15.75" customHeight="1" x14ac:dyDescent="0.2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</row>
    <row r="276" spans="1:18" ht="15.75" customHeight="1" x14ac:dyDescent="0.2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</row>
    <row r="277" spans="1:18" ht="15.75" customHeight="1" x14ac:dyDescent="0.2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</row>
    <row r="278" spans="1:18" ht="15.75" customHeight="1" x14ac:dyDescent="0.2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</row>
    <row r="279" spans="1:18" ht="15.75" customHeight="1" x14ac:dyDescent="0.2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</row>
    <row r="280" spans="1:18" ht="15.75" customHeight="1" x14ac:dyDescent="0.2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</row>
    <row r="281" spans="1:18" ht="15.75" customHeight="1" x14ac:dyDescent="0.2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</row>
    <row r="282" spans="1:18" ht="15.75" customHeight="1" x14ac:dyDescent="0.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</row>
    <row r="283" spans="1:18" ht="15.75" customHeight="1" x14ac:dyDescent="0.2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</row>
    <row r="284" spans="1:18" ht="15.75" customHeight="1" x14ac:dyDescent="0.2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</row>
    <row r="285" spans="1:18" ht="15.75" customHeight="1" x14ac:dyDescent="0.2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</row>
    <row r="286" spans="1:18" ht="15.75" customHeight="1" x14ac:dyDescent="0.2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</row>
    <row r="287" spans="1:18" ht="15.75" customHeight="1" x14ac:dyDescent="0.2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</row>
    <row r="288" spans="1:18" ht="15.75" customHeight="1" x14ac:dyDescent="0.2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</row>
    <row r="289" spans="1:18" ht="15.75" customHeight="1" x14ac:dyDescent="0.2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</row>
    <row r="290" spans="1:18" ht="15.75" customHeight="1" x14ac:dyDescent="0.2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</row>
    <row r="291" spans="1:18" ht="15.75" customHeight="1" x14ac:dyDescent="0.2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</row>
    <row r="292" spans="1:18" ht="15.75" customHeight="1" x14ac:dyDescent="0.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</row>
    <row r="293" spans="1:18" ht="15.75" customHeight="1" x14ac:dyDescent="0.2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</row>
    <row r="294" spans="1:18" ht="15.75" customHeight="1" x14ac:dyDescent="0.2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</row>
    <row r="295" spans="1:18" ht="15.75" customHeight="1" x14ac:dyDescent="0.2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</row>
    <row r="296" spans="1:18" ht="15.75" customHeight="1" x14ac:dyDescent="0.2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</row>
    <row r="297" spans="1:18" ht="15.75" customHeight="1" x14ac:dyDescent="0.2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</row>
    <row r="298" spans="1:18" ht="15.75" customHeight="1" x14ac:dyDescent="0.2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</row>
    <row r="299" spans="1:18" ht="15.75" customHeight="1" x14ac:dyDescent="0.2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</row>
    <row r="300" spans="1:18" ht="15.75" customHeight="1" x14ac:dyDescent="0.2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</row>
    <row r="301" spans="1:18" ht="15.75" customHeight="1" x14ac:dyDescent="0.2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</row>
    <row r="302" spans="1:18" ht="15.75" customHeight="1" x14ac:dyDescent="0.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</row>
    <row r="303" spans="1:18" ht="15.75" customHeight="1" x14ac:dyDescent="0.2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</row>
    <row r="304" spans="1:18" ht="15.75" customHeight="1" x14ac:dyDescent="0.2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</row>
    <row r="305" spans="1:18" ht="15.75" customHeight="1" x14ac:dyDescent="0.2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</row>
    <row r="306" spans="1:18" ht="15.75" customHeight="1" x14ac:dyDescent="0.2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</row>
    <row r="307" spans="1:18" ht="15.75" customHeight="1" x14ac:dyDescent="0.2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</row>
    <row r="308" spans="1:18" ht="15.75" customHeight="1" x14ac:dyDescent="0.2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</row>
    <row r="309" spans="1:18" ht="15.75" customHeight="1" x14ac:dyDescent="0.2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</row>
    <row r="310" spans="1:18" ht="15.75" customHeight="1" x14ac:dyDescent="0.2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</row>
    <row r="311" spans="1:18" ht="15.75" customHeight="1" x14ac:dyDescent="0.2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</row>
    <row r="312" spans="1:18" ht="15.75" customHeight="1" x14ac:dyDescent="0.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</row>
    <row r="313" spans="1:18" ht="15.75" customHeight="1" x14ac:dyDescent="0.2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</row>
    <row r="314" spans="1:18" ht="15.75" customHeight="1" x14ac:dyDescent="0.2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</row>
    <row r="315" spans="1:18" ht="15.75" customHeight="1" x14ac:dyDescent="0.2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</row>
    <row r="316" spans="1:18" ht="15.75" customHeight="1" x14ac:dyDescent="0.2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</row>
    <row r="317" spans="1:18" ht="15.75" customHeight="1" x14ac:dyDescent="0.2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</row>
    <row r="318" spans="1:18" ht="15.75" customHeight="1" x14ac:dyDescent="0.2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</row>
    <row r="319" spans="1:18" ht="15.75" customHeight="1" x14ac:dyDescent="0.2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</row>
    <row r="320" spans="1:18" ht="15.75" customHeight="1" x14ac:dyDescent="0.2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</row>
    <row r="321" spans="1:18" ht="15.75" customHeight="1" x14ac:dyDescent="0.2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</row>
    <row r="322" spans="1:18" ht="15.75" customHeight="1" x14ac:dyDescent="0.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</row>
    <row r="323" spans="1:18" ht="15.75" customHeight="1" x14ac:dyDescent="0.2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</row>
    <row r="324" spans="1:18" ht="15.75" customHeight="1" x14ac:dyDescent="0.2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</row>
    <row r="325" spans="1:18" ht="15.75" customHeight="1" x14ac:dyDescent="0.2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</row>
    <row r="326" spans="1:18" ht="15.75" customHeight="1" x14ac:dyDescent="0.2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</row>
    <row r="327" spans="1:18" ht="15.75" customHeight="1" x14ac:dyDescent="0.2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</row>
    <row r="328" spans="1:18" ht="15.75" customHeight="1" x14ac:dyDescent="0.2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</row>
    <row r="329" spans="1:18" ht="15.75" customHeight="1" x14ac:dyDescent="0.2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</row>
    <row r="330" spans="1:18" ht="15.75" customHeight="1" x14ac:dyDescent="0.2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</row>
    <row r="331" spans="1:18" ht="15.75" customHeight="1" x14ac:dyDescent="0.2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</row>
    <row r="332" spans="1:18" ht="15.75" customHeight="1" x14ac:dyDescent="0.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</row>
    <row r="333" spans="1:18" ht="15.75" customHeight="1" x14ac:dyDescent="0.2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</row>
    <row r="334" spans="1:18" ht="15.75" customHeight="1" x14ac:dyDescent="0.2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</row>
    <row r="335" spans="1:18" ht="15.75" customHeight="1" x14ac:dyDescent="0.2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</row>
    <row r="336" spans="1:18" ht="15.75" customHeight="1" x14ac:dyDescent="0.2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</row>
    <row r="337" spans="1:18" ht="15.75" customHeight="1" x14ac:dyDescent="0.2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</row>
    <row r="338" spans="1:18" ht="15.75" customHeight="1" x14ac:dyDescent="0.2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</row>
    <row r="339" spans="1:18" ht="15.75" customHeight="1" x14ac:dyDescent="0.2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</row>
    <row r="340" spans="1:18" ht="15.75" customHeight="1" x14ac:dyDescent="0.2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</row>
    <row r="341" spans="1:18" ht="15.75" customHeight="1" x14ac:dyDescent="0.2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</row>
    <row r="342" spans="1:18" ht="15.75" customHeight="1" x14ac:dyDescent="0.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</row>
    <row r="343" spans="1:18" ht="15.75" customHeight="1" x14ac:dyDescent="0.2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</row>
    <row r="344" spans="1:18" ht="15.75" customHeight="1" x14ac:dyDescent="0.2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</row>
    <row r="345" spans="1:18" ht="15.75" customHeight="1" x14ac:dyDescent="0.2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</row>
    <row r="346" spans="1:18" ht="15.75" customHeight="1" x14ac:dyDescent="0.2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</row>
    <row r="347" spans="1:18" ht="15.75" customHeight="1" x14ac:dyDescent="0.2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</row>
    <row r="348" spans="1:18" ht="15.75" customHeight="1" x14ac:dyDescent="0.2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</row>
    <row r="349" spans="1:18" ht="15.75" customHeight="1" x14ac:dyDescent="0.2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</row>
    <row r="350" spans="1:18" ht="15.75" customHeight="1" x14ac:dyDescent="0.2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</row>
    <row r="351" spans="1:18" ht="15.75" customHeight="1" x14ac:dyDescent="0.2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</row>
    <row r="352" spans="1:18" ht="15.75" customHeight="1" x14ac:dyDescent="0.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</row>
    <row r="353" spans="1:18" ht="15.75" customHeight="1" x14ac:dyDescent="0.2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</row>
    <row r="354" spans="1:18" ht="15.75" customHeight="1" x14ac:dyDescent="0.2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</row>
    <row r="355" spans="1:18" ht="15.75" customHeight="1" x14ac:dyDescent="0.2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</row>
    <row r="356" spans="1:18" ht="15.75" customHeight="1" x14ac:dyDescent="0.2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</row>
    <row r="357" spans="1:18" ht="15.75" customHeight="1" x14ac:dyDescent="0.2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</row>
    <row r="358" spans="1:18" ht="15.75" customHeight="1" x14ac:dyDescent="0.2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</row>
    <row r="359" spans="1:18" ht="15.75" customHeight="1" x14ac:dyDescent="0.2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</row>
    <row r="360" spans="1:18" ht="15.75" customHeight="1" x14ac:dyDescent="0.2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</row>
    <row r="361" spans="1:18" ht="15.75" customHeight="1" x14ac:dyDescent="0.2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</row>
    <row r="362" spans="1:18" ht="15.75" customHeight="1" x14ac:dyDescent="0.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</row>
    <row r="363" spans="1:18" ht="15.75" customHeight="1" x14ac:dyDescent="0.2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</row>
    <row r="364" spans="1:18" ht="15.75" customHeight="1" x14ac:dyDescent="0.2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</row>
    <row r="365" spans="1:18" ht="15.75" customHeight="1" x14ac:dyDescent="0.2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</row>
    <row r="366" spans="1:18" ht="15.75" customHeight="1" x14ac:dyDescent="0.2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</row>
    <row r="367" spans="1:18" ht="15.75" customHeight="1" x14ac:dyDescent="0.2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</row>
    <row r="368" spans="1:18" ht="15.75" customHeight="1" x14ac:dyDescent="0.2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</row>
    <row r="369" spans="1:18" ht="15.75" customHeight="1" x14ac:dyDescent="0.2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</row>
    <row r="370" spans="1:18" ht="15.75" customHeight="1" x14ac:dyDescent="0.2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</row>
    <row r="371" spans="1:18" ht="15.75" customHeight="1" x14ac:dyDescent="0.2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</row>
    <row r="372" spans="1:18" ht="15.75" customHeight="1" x14ac:dyDescent="0.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</row>
    <row r="373" spans="1:18" ht="15.75" customHeight="1" x14ac:dyDescent="0.2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</row>
    <row r="374" spans="1:18" ht="15.75" customHeight="1" x14ac:dyDescent="0.2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</row>
    <row r="375" spans="1:18" ht="15.75" customHeight="1" x14ac:dyDescent="0.2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</row>
    <row r="376" spans="1:18" ht="15.75" customHeight="1" x14ac:dyDescent="0.2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</row>
    <row r="377" spans="1:18" ht="15.75" customHeight="1" x14ac:dyDescent="0.2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</row>
    <row r="378" spans="1:18" ht="15.75" customHeight="1" x14ac:dyDescent="0.2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</row>
    <row r="379" spans="1:18" ht="15.75" customHeight="1" x14ac:dyDescent="0.2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</row>
    <row r="380" spans="1:18" ht="15.75" customHeight="1" x14ac:dyDescent="0.2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</row>
    <row r="381" spans="1:18" ht="15.75" customHeight="1" x14ac:dyDescent="0.2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</row>
    <row r="382" spans="1:18" ht="15.75" customHeight="1" x14ac:dyDescent="0.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</row>
    <row r="383" spans="1:18" ht="15.75" customHeight="1" x14ac:dyDescent="0.2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</row>
    <row r="384" spans="1:18" ht="15.75" customHeight="1" x14ac:dyDescent="0.2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</row>
    <row r="385" spans="1:18" ht="15.75" customHeight="1" x14ac:dyDescent="0.2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</row>
    <row r="386" spans="1:18" ht="15.75" customHeight="1" x14ac:dyDescent="0.2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</row>
    <row r="387" spans="1:18" ht="15.75" customHeight="1" x14ac:dyDescent="0.2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</row>
    <row r="388" spans="1:18" ht="15.75" customHeight="1" x14ac:dyDescent="0.2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</row>
    <row r="389" spans="1:18" ht="15.75" customHeight="1" x14ac:dyDescent="0.2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</row>
    <row r="390" spans="1:18" ht="15.75" customHeight="1" x14ac:dyDescent="0.2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</row>
    <row r="391" spans="1:18" ht="15.75" customHeight="1" x14ac:dyDescent="0.2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</row>
    <row r="392" spans="1:18" ht="15.75" customHeight="1" x14ac:dyDescent="0.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</row>
    <row r="393" spans="1:18" ht="15.75" customHeight="1" x14ac:dyDescent="0.2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</row>
    <row r="394" spans="1:18" ht="15.75" customHeight="1" x14ac:dyDescent="0.2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</row>
    <row r="395" spans="1:18" ht="15.75" customHeight="1" x14ac:dyDescent="0.2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</row>
    <row r="396" spans="1:18" ht="15.75" customHeight="1" x14ac:dyDescent="0.2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</row>
    <row r="397" spans="1:18" ht="15.75" customHeight="1" x14ac:dyDescent="0.2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</row>
    <row r="398" spans="1:18" ht="15.75" customHeight="1" x14ac:dyDescent="0.2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</row>
    <row r="399" spans="1:18" ht="15.75" customHeight="1" x14ac:dyDescent="0.2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</row>
    <row r="400" spans="1:18" ht="15.75" customHeight="1" x14ac:dyDescent="0.2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</row>
    <row r="401" spans="1:18" ht="15.75" customHeight="1" x14ac:dyDescent="0.2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</row>
    <row r="402" spans="1:18" ht="15.75" customHeight="1" x14ac:dyDescent="0.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</row>
    <row r="403" spans="1:18" ht="15.75" customHeight="1" x14ac:dyDescent="0.2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</row>
    <row r="404" spans="1:18" ht="15.75" customHeight="1" x14ac:dyDescent="0.2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</row>
    <row r="405" spans="1:18" ht="15.75" customHeight="1" x14ac:dyDescent="0.2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</row>
    <row r="406" spans="1:18" ht="15.75" customHeight="1" x14ac:dyDescent="0.2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</row>
    <row r="407" spans="1:18" ht="15.75" customHeight="1" x14ac:dyDescent="0.2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</row>
    <row r="408" spans="1:18" ht="15.75" customHeight="1" x14ac:dyDescent="0.2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</row>
    <row r="409" spans="1:18" ht="15.75" customHeight="1" x14ac:dyDescent="0.2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</row>
    <row r="410" spans="1:18" ht="15.75" customHeight="1" x14ac:dyDescent="0.2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</row>
    <row r="411" spans="1:18" ht="15.75" customHeight="1" x14ac:dyDescent="0.2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</row>
    <row r="412" spans="1:18" ht="15.75" customHeight="1" x14ac:dyDescent="0.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</row>
    <row r="413" spans="1:18" ht="15.75" customHeight="1" x14ac:dyDescent="0.2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</row>
    <row r="414" spans="1:18" ht="15.75" customHeight="1" x14ac:dyDescent="0.2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</row>
    <row r="415" spans="1:18" ht="15.75" customHeight="1" x14ac:dyDescent="0.2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</row>
    <row r="416" spans="1:18" ht="15.75" customHeight="1" x14ac:dyDescent="0.2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</row>
    <row r="417" spans="1:18" ht="15.75" customHeight="1" x14ac:dyDescent="0.2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</row>
    <row r="418" spans="1:18" ht="15.75" customHeight="1" x14ac:dyDescent="0.2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</row>
    <row r="419" spans="1:18" ht="15.75" customHeight="1" x14ac:dyDescent="0.2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</row>
    <row r="420" spans="1:18" ht="15.75" customHeight="1" x14ac:dyDescent="0.2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</row>
    <row r="421" spans="1:18" ht="15.75" customHeight="1" x14ac:dyDescent="0.2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</row>
    <row r="422" spans="1:18" ht="15.75" customHeight="1" x14ac:dyDescent="0.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</row>
    <row r="423" spans="1:18" ht="15.75" customHeight="1" x14ac:dyDescent="0.2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</row>
    <row r="424" spans="1:18" ht="15.75" customHeight="1" x14ac:dyDescent="0.2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</row>
    <row r="425" spans="1:18" ht="15.75" customHeight="1" x14ac:dyDescent="0.2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</row>
    <row r="426" spans="1:18" ht="15.75" customHeight="1" x14ac:dyDescent="0.2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</row>
    <row r="427" spans="1:18" ht="15.75" customHeight="1" x14ac:dyDescent="0.2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</row>
    <row r="428" spans="1:18" ht="15.75" customHeight="1" x14ac:dyDescent="0.2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</row>
    <row r="429" spans="1:18" ht="15.75" customHeight="1" x14ac:dyDescent="0.2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</row>
    <row r="430" spans="1:18" ht="15.75" customHeight="1" x14ac:dyDescent="0.2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</row>
    <row r="431" spans="1:18" ht="15.75" customHeight="1" x14ac:dyDescent="0.2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</row>
    <row r="432" spans="1:18" ht="15.75" customHeight="1" x14ac:dyDescent="0.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</row>
    <row r="433" spans="1:18" ht="15.75" customHeight="1" x14ac:dyDescent="0.2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</row>
    <row r="434" spans="1:18" ht="15.75" customHeight="1" x14ac:dyDescent="0.2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</row>
    <row r="435" spans="1:18" ht="15.75" customHeight="1" x14ac:dyDescent="0.2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</row>
    <row r="436" spans="1:18" ht="15.75" customHeight="1" x14ac:dyDescent="0.2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</row>
    <row r="437" spans="1:18" ht="15.75" customHeight="1" x14ac:dyDescent="0.2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</row>
    <row r="438" spans="1:18" ht="15.75" customHeight="1" x14ac:dyDescent="0.2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</row>
    <row r="439" spans="1:18" ht="15.75" customHeight="1" x14ac:dyDescent="0.2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</row>
    <row r="440" spans="1:18" ht="15.75" customHeight="1" x14ac:dyDescent="0.2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</row>
    <row r="441" spans="1:18" ht="15.75" customHeight="1" x14ac:dyDescent="0.2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</row>
    <row r="442" spans="1:18" ht="15.75" customHeight="1" x14ac:dyDescent="0.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</row>
    <row r="443" spans="1:18" ht="15.75" customHeight="1" x14ac:dyDescent="0.2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</row>
    <row r="444" spans="1:18" ht="15.75" customHeight="1" x14ac:dyDescent="0.2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</row>
    <row r="445" spans="1:18" ht="15.75" customHeight="1" x14ac:dyDescent="0.2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</row>
    <row r="446" spans="1:18" ht="15.75" customHeight="1" x14ac:dyDescent="0.2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</row>
    <row r="447" spans="1:18" ht="15.75" customHeight="1" x14ac:dyDescent="0.2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</row>
    <row r="448" spans="1:18" ht="15.75" customHeight="1" x14ac:dyDescent="0.2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</row>
    <row r="449" spans="1:18" ht="15.75" customHeight="1" x14ac:dyDescent="0.2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</row>
    <row r="450" spans="1:18" ht="15.75" customHeight="1" x14ac:dyDescent="0.2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</row>
    <row r="451" spans="1:18" ht="15.75" customHeight="1" x14ac:dyDescent="0.2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</row>
    <row r="452" spans="1:18" ht="15.75" customHeight="1" x14ac:dyDescent="0.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</row>
    <row r="453" spans="1:18" ht="15.75" customHeight="1" x14ac:dyDescent="0.2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</row>
    <row r="454" spans="1:18" ht="15.75" customHeight="1" x14ac:dyDescent="0.2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</row>
    <row r="455" spans="1:18" ht="15.75" customHeight="1" x14ac:dyDescent="0.2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</row>
    <row r="456" spans="1:18" ht="15.75" customHeight="1" x14ac:dyDescent="0.2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</row>
    <row r="457" spans="1:18" ht="15.75" customHeight="1" x14ac:dyDescent="0.2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</row>
    <row r="458" spans="1:18" ht="15.75" customHeight="1" x14ac:dyDescent="0.2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</row>
    <row r="459" spans="1:18" ht="15.75" customHeight="1" x14ac:dyDescent="0.2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</row>
    <row r="460" spans="1:18" ht="15.75" customHeight="1" x14ac:dyDescent="0.2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</row>
    <row r="461" spans="1:18" ht="15.75" customHeight="1" x14ac:dyDescent="0.2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</row>
    <row r="462" spans="1:18" ht="15.75" customHeight="1" x14ac:dyDescent="0.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</row>
    <row r="463" spans="1:18" ht="15.75" customHeight="1" x14ac:dyDescent="0.2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</row>
    <row r="464" spans="1:18" ht="15.75" customHeight="1" x14ac:dyDescent="0.2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</row>
    <row r="465" spans="1:18" ht="15.75" customHeight="1" x14ac:dyDescent="0.2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</row>
    <row r="466" spans="1:18" ht="15.75" customHeight="1" x14ac:dyDescent="0.2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</row>
    <row r="467" spans="1:18" ht="15.75" customHeight="1" x14ac:dyDescent="0.2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</row>
    <row r="468" spans="1:18" ht="15.75" customHeight="1" x14ac:dyDescent="0.2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</row>
    <row r="469" spans="1:18" ht="15.75" customHeight="1" x14ac:dyDescent="0.2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</row>
    <row r="470" spans="1:18" ht="15.75" customHeight="1" x14ac:dyDescent="0.2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</row>
    <row r="471" spans="1:18" ht="15.75" customHeight="1" x14ac:dyDescent="0.2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</row>
    <row r="472" spans="1:18" ht="15.75" customHeight="1" x14ac:dyDescent="0.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</row>
    <row r="473" spans="1:18" ht="15.75" customHeight="1" x14ac:dyDescent="0.2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</row>
    <row r="474" spans="1:18" ht="15.75" customHeight="1" x14ac:dyDescent="0.2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</row>
    <row r="475" spans="1:18" ht="15.75" customHeight="1" x14ac:dyDescent="0.2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</row>
    <row r="476" spans="1:18" ht="15.75" customHeight="1" x14ac:dyDescent="0.2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</row>
    <row r="477" spans="1:18" ht="15.75" customHeight="1" x14ac:dyDescent="0.2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</row>
    <row r="478" spans="1:18" ht="15.75" customHeight="1" x14ac:dyDescent="0.2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</row>
    <row r="479" spans="1:18" ht="15.75" customHeight="1" x14ac:dyDescent="0.2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</row>
    <row r="480" spans="1:18" ht="15.75" customHeight="1" x14ac:dyDescent="0.2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</row>
    <row r="481" spans="1:18" ht="15.75" customHeight="1" x14ac:dyDescent="0.2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</row>
    <row r="482" spans="1:18" ht="15.75" customHeight="1" x14ac:dyDescent="0.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</row>
    <row r="483" spans="1:18" ht="15.75" customHeight="1" x14ac:dyDescent="0.2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</row>
    <row r="484" spans="1:18" ht="15.75" customHeight="1" x14ac:dyDescent="0.2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</row>
    <row r="485" spans="1:18" ht="15.75" customHeight="1" x14ac:dyDescent="0.2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</row>
    <row r="486" spans="1:18" ht="15.75" customHeight="1" x14ac:dyDescent="0.2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</row>
    <row r="487" spans="1:18" ht="15.75" customHeight="1" x14ac:dyDescent="0.2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</row>
    <row r="488" spans="1:18" ht="15.75" customHeight="1" x14ac:dyDescent="0.2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</row>
    <row r="489" spans="1:18" ht="15.75" customHeight="1" x14ac:dyDescent="0.2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</row>
    <row r="490" spans="1:18" ht="15.75" customHeight="1" x14ac:dyDescent="0.2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</row>
    <row r="491" spans="1:18" ht="15.75" customHeight="1" x14ac:dyDescent="0.2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</row>
    <row r="492" spans="1:18" ht="15.75" customHeight="1" x14ac:dyDescent="0.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</row>
    <row r="493" spans="1:18" ht="15.75" customHeight="1" x14ac:dyDescent="0.2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</row>
    <row r="494" spans="1:18" ht="15.75" customHeight="1" x14ac:dyDescent="0.2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</row>
    <row r="495" spans="1:18" ht="15.75" customHeight="1" x14ac:dyDescent="0.2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</row>
    <row r="496" spans="1:18" ht="15.75" customHeight="1" x14ac:dyDescent="0.2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</row>
    <row r="497" spans="1:18" ht="15.75" customHeight="1" x14ac:dyDescent="0.2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</row>
    <row r="498" spans="1:18" ht="15.75" customHeight="1" x14ac:dyDescent="0.2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</row>
    <row r="499" spans="1:18" ht="15.75" customHeight="1" x14ac:dyDescent="0.2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</row>
    <row r="500" spans="1:18" ht="15.75" customHeight="1" x14ac:dyDescent="0.2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</row>
    <row r="501" spans="1:18" ht="15.75" customHeight="1" x14ac:dyDescent="0.2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</row>
    <row r="502" spans="1:18" ht="15.75" customHeight="1" x14ac:dyDescent="0.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</row>
    <row r="503" spans="1:18" ht="15.75" customHeight="1" x14ac:dyDescent="0.2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</row>
    <row r="504" spans="1:18" ht="15.75" customHeight="1" x14ac:dyDescent="0.2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</row>
    <row r="505" spans="1:18" ht="15.75" customHeight="1" x14ac:dyDescent="0.2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</row>
    <row r="506" spans="1:18" ht="15.75" customHeight="1" x14ac:dyDescent="0.2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</row>
    <row r="507" spans="1:18" ht="15.75" customHeight="1" x14ac:dyDescent="0.2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</row>
    <row r="508" spans="1:18" ht="15.75" customHeight="1" x14ac:dyDescent="0.2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</row>
    <row r="509" spans="1:18" ht="15.75" customHeight="1" x14ac:dyDescent="0.2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</row>
    <row r="510" spans="1:18" ht="15.75" customHeight="1" x14ac:dyDescent="0.2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</row>
    <row r="511" spans="1:18" ht="15.75" customHeight="1" x14ac:dyDescent="0.2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</row>
    <row r="512" spans="1:18" ht="15.75" customHeight="1" x14ac:dyDescent="0.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</row>
    <row r="513" spans="1:18" ht="15.75" customHeight="1" x14ac:dyDescent="0.2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</row>
    <row r="514" spans="1:18" ht="15.75" customHeight="1" x14ac:dyDescent="0.2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</row>
    <row r="515" spans="1:18" ht="15.75" customHeight="1" x14ac:dyDescent="0.2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</row>
    <row r="516" spans="1:18" ht="15.75" customHeight="1" x14ac:dyDescent="0.2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</row>
    <row r="517" spans="1:18" ht="15.75" customHeight="1" x14ac:dyDescent="0.2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</row>
    <row r="518" spans="1:18" ht="15.75" customHeight="1" x14ac:dyDescent="0.2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</row>
    <row r="519" spans="1:18" ht="15.75" customHeight="1" x14ac:dyDescent="0.2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</row>
    <row r="520" spans="1:18" ht="15.75" customHeight="1" x14ac:dyDescent="0.2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</row>
    <row r="521" spans="1:18" ht="15.75" customHeight="1" x14ac:dyDescent="0.2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</row>
    <row r="522" spans="1:18" ht="15.75" customHeight="1" x14ac:dyDescent="0.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</row>
    <row r="523" spans="1:18" ht="15.75" customHeight="1" x14ac:dyDescent="0.2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</row>
    <row r="524" spans="1:18" ht="15.75" customHeight="1" x14ac:dyDescent="0.2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</row>
    <row r="525" spans="1:18" ht="15.75" customHeight="1" x14ac:dyDescent="0.2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</row>
    <row r="526" spans="1:18" ht="15.75" customHeight="1" x14ac:dyDescent="0.2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</row>
    <row r="527" spans="1:18" ht="15.75" customHeight="1" x14ac:dyDescent="0.2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</row>
    <row r="528" spans="1:18" ht="15.75" customHeight="1" x14ac:dyDescent="0.2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</row>
    <row r="529" spans="1:18" ht="15.75" customHeight="1" x14ac:dyDescent="0.2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</row>
    <row r="530" spans="1:18" ht="15.75" customHeight="1" x14ac:dyDescent="0.2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</row>
    <row r="531" spans="1:18" ht="15.75" customHeight="1" x14ac:dyDescent="0.2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</row>
    <row r="532" spans="1:18" ht="15.75" customHeight="1" x14ac:dyDescent="0.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</row>
    <row r="533" spans="1:18" ht="15.75" customHeight="1" x14ac:dyDescent="0.2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</row>
    <row r="534" spans="1:18" ht="15.75" customHeight="1" x14ac:dyDescent="0.2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</row>
    <row r="535" spans="1:18" ht="15.75" customHeight="1" x14ac:dyDescent="0.2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</row>
    <row r="536" spans="1:18" ht="15.75" customHeight="1" x14ac:dyDescent="0.2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</row>
    <row r="537" spans="1:18" ht="15.75" customHeight="1" x14ac:dyDescent="0.2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</row>
    <row r="538" spans="1:18" ht="15.75" customHeight="1" x14ac:dyDescent="0.2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</row>
    <row r="539" spans="1:18" ht="15.75" customHeight="1" x14ac:dyDescent="0.2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</row>
    <row r="540" spans="1:18" ht="15.75" customHeight="1" x14ac:dyDescent="0.2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</row>
    <row r="541" spans="1:18" ht="15.75" customHeight="1" x14ac:dyDescent="0.2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</row>
    <row r="542" spans="1:18" ht="15.75" customHeight="1" x14ac:dyDescent="0.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</row>
    <row r="543" spans="1:18" ht="15.75" customHeight="1" x14ac:dyDescent="0.2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</row>
    <row r="544" spans="1:18" ht="15.75" customHeight="1" x14ac:dyDescent="0.2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</row>
    <row r="545" spans="1:18" ht="15.75" customHeight="1" x14ac:dyDescent="0.2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</row>
    <row r="546" spans="1:18" ht="15.75" customHeight="1" x14ac:dyDescent="0.2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</row>
    <row r="547" spans="1:18" ht="15.75" customHeight="1" x14ac:dyDescent="0.2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</row>
    <row r="548" spans="1:18" ht="15.75" customHeight="1" x14ac:dyDescent="0.2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</row>
    <row r="549" spans="1:18" ht="15.75" customHeight="1" x14ac:dyDescent="0.2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</row>
    <row r="550" spans="1:18" ht="15.75" customHeight="1" x14ac:dyDescent="0.2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</row>
    <row r="551" spans="1:18" ht="15.75" customHeight="1" x14ac:dyDescent="0.2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</row>
    <row r="552" spans="1:18" ht="15.75" customHeight="1" x14ac:dyDescent="0.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</row>
    <row r="553" spans="1:18" ht="15.75" customHeight="1" x14ac:dyDescent="0.2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</row>
    <row r="554" spans="1:18" ht="15.75" customHeight="1" x14ac:dyDescent="0.2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</row>
    <row r="555" spans="1:18" ht="15.75" customHeight="1" x14ac:dyDescent="0.2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</row>
    <row r="556" spans="1:18" ht="15.75" customHeight="1" x14ac:dyDescent="0.2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</row>
    <row r="557" spans="1:18" ht="15.75" customHeight="1" x14ac:dyDescent="0.2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</row>
    <row r="558" spans="1:18" ht="15.75" customHeight="1" x14ac:dyDescent="0.2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</row>
    <row r="559" spans="1:18" ht="15.75" customHeight="1" x14ac:dyDescent="0.2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</row>
    <row r="560" spans="1:18" ht="15.75" customHeight="1" x14ac:dyDescent="0.2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</row>
    <row r="561" spans="1:18" ht="15.75" customHeight="1" x14ac:dyDescent="0.2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</row>
    <row r="562" spans="1:18" ht="15.75" customHeight="1" x14ac:dyDescent="0.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</row>
    <row r="563" spans="1:18" ht="15.75" customHeight="1" x14ac:dyDescent="0.2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</row>
    <row r="564" spans="1:18" ht="15.75" customHeight="1" x14ac:dyDescent="0.2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</row>
    <row r="565" spans="1:18" ht="15.75" customHeight="1" x14ac:dyDescent="0.2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</row>
    <row r="566" spans="1:18" ht="15.75" customHeight="1" x14ac:dyDescent="0.2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</row>
    <row r="567" spans="1:18" ht="15.75" customHeight="1" x14ac:dyDescent="0.2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</row>
    <row r="568" spans="1:18" ht="15.75" customHeight="1" x14ac:dyDescent="0.2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</row>
    <row r="569" spans="1:18" ht="15.75" customHeight="1" x14ac:dyDescent="0.2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</row>
    <row r="570" spans="1:18" ht="15.75" customHeight="1" x14ac:dyDescent="0.2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</row>
    <row r="571" spans="1:18" ht="15.75" customHeight="1" x14ac:dyDescent="0.2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</row>
    <row r="572" spans="1:18" ht="15.75" customHeight="1" x14ac:dyDescent="0.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</row>
    <row r="573" spans="1:18" ht="15.75" customHeight="1" x14ac:dyDescent="0.2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</row>
    <row r="574" spans="1:18" ht="15.75" customHeight="1" x14ac:dyDescent="0.2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</row>
    <row r="575" spans="1:18" ht="15.75" customHeight="1" x14ac:dyDescent="0.2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</row>
    <row r="576" spans="1:18" ht="15.75" customHeight="1" x14ac:dyDescent="0.2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</row>
    <row r="577" spans="1:18" ht="15.75" customHeight="1" x14ac:dyDescent="0.2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</row>
    <row r="578" spans="1:18" ht="15.75" customHeight="1" x14ac:dyDescent="0.2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</row>
    <row r="579" spans="1:18" ht="15.75" customHeight="1" x14ac:dyDescent="0.2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</row>
    <row r="580" spans="1:18" ht="15.75" customHeight="1" x14ac:dyDescent="0.2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</row>
    <row r="581" spans="1:18" ht="15.75" customHeight="1" x14ac:dyDescent="0.2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</row>
    <row r="582" spans="1:18" ht="15.75" customHeight="1" x14ac:dyDescent="0.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</row>
    <row r="583" spans="1:18" ht="15.75" customHeight="1" x14ac:dyDescent="0.2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</row>
    <row r="584" spans="1:18" ht="15.75" customHeight="1" x14ac:dyDescent="0.2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</row>
    <row r="585" spans="1:18" ht="15.75" customHeight="1" x14ac:dyDescent="0.2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</row>
    <row r="586" spans="1:18" ht="15.75" customHeight="1" x14ac:dyDescent="0.2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</row>
    <row r="587" spans="1:18" ht="15.75" customHeight="1" x14ac:dyDescent="0.2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</row>
    <row r="588" spans="1:18" ht="15.75" customHeight="1" x14ac:dyDescent="0.2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</row>
    <row r="589" spans="1:18" ht="15.75" customHeight="1" x14ac:dyDescent="0.2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</row>
    <row r="590" spans="1:18" ht="15.75" customHeight="1" x14ac:dyDescent="0.2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</row>
    <row r="591" spans="1:18" ht="15.75" customHeight="1" x14ac:dyDescent="0.2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</row>
    <row r="592" spans="1:18" ht="15.75" customHeight="1" x14ac:dyDescent="0.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</row>
    <row r="593" spans="1:18" ht="15.75" customHeight="1" x14ac:dyDescent="0.2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</row>
    <row r="594" spans="1:18" ht="15.75" customHeight="1" x14ac:dyDescent="0.2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</row>
    <row r="595" spans="1:18" ht="15.75" customHeight="1" x14ac:dyDescent="0.2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</row>
    <row r="596" spans="1:18" ht="15.75" customHeight="1" x14ac:dyDescent="0.2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</row>
    <row r="597" spans="1:18" ht="15.75" customHeight="1" x14ac:dyDescent="0.2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</row>
    <row r="598" spans="1:18" ht="15.75" customHeight="1" x14ac:dyDescent="0.2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</row>
    <row r="599" spans="1:18" ht="15.75" customHeight="1" x14ac:dyDescent="0.2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</row>
    <row r="600" spans="1:18" ht="15.75" customHeight="1" x14ac:dyDescent="0.2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</row>
    <row r="601" spans="1:18" ht="15.75" customHeight="1" x14ac:dyDescent="0.2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</row>
    <row r="602" spans="1:18" ht="15.75" customHeight="1" x14ac:dyDescent="0.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</row>
    <row r="603" spans="1:18" ht="15.75" customHeight="1" x14ac:dyDescent="0.2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</row>
    <row r="604" spans="1:18" ht="15.75" customHeight="1" x14ac:dyDescent="0.2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</row>
    <row r="605" spans="1:18" ht="15.75" customHeight="1" x14ac:dyDescent="0.2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</row>
    <row r="606" spans="1:18" ht="15.75" customHeight="1" x14ac:dyDescent="0.2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</row>
    <row r="607" spans="1:18" ht="15.75" customHeight="1" x14ac:dyDescent="0.2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</row>
    <row r="608" spans="1:18" ht="15.75" customHeight="1" x14ac:dyDescent="0.2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</row>
    <row r="609" spans="1:18" ht="15.75" customHeight="1" x14ac:dyDescent="0.2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</row>
    <row r="610" spans="1:18" ht="15.75" customHeight="1" x14ac:dyDescent="0.2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</row>
    <row r="611" spans="1:18" ht="15.75" customHeight="1" x14ac:dyDescent="0.2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</row>
    <row r="612" spans="1:18" ht="15.75" customHeight="1" x14ac:dyDescent="0.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</row>
    <row r="613" spans="1:18" ht="15.75" customHeight="1" x14ac:dyDescent="0.2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</row>
    <row r="614" spans="1:18" ht="15.75" customHeight="1" x14ac:dyDescent="0.2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</row>
    <row r="615" spans="1:18" ht="15.75" customHeight="1" x14ac:dyDescent="0.2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</row>
    <row r="616" spans="1:18" ht="15.75" customHeight="1" x14ac:dyDescent="0.2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</row>
    <row r="617" spans="1:18" ht="15.75" customHeight="1" x14ac:dyDescent="0.2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</row>
    <row r="618" spans="1:18" ht="15.75" customHeight="1" x14ac:dyDescent="0.2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</row>
    <row r="619" spans="1:18" ht="15.75" customHeight="1" x14ac:dyDescent="0.2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</row>
    <row r="620" spans="1:18" ht="15.75" customHeight="1" x14ac:dyDescent="0.2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</row>
    <row r="621" spans="1:18" ht="15.75" customHeight="1" x14ac:dyDescent="0.2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</row>
    <row r="622" spans="1:18" ht="15.75" customHeight="1" x14ac:dyDescent="0.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</row>
    <row r="623" spans="1:18" ht="15.75" customHeight="1" x14ac:dyDescent="0.2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</row>
    <row r="624" spans="1:18" ht="15.75" customHeight="1" x14ac:dyDescent="0.2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</row>
    <row r="625" spans="1:18" ht="15.75" customHeight="1" x14ac:dyDescent="0.2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</row>
    <row r="626" spans="1:18" ht="15.75" customHeight="1" x14ac:dyDescent="0.2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</row>
    <row r="627" spans="1:18" ht="15.75" customHeight="1" x14ac:dyDescent="0.2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</row>
    <row r="628" spans="1:18" ht="15.75" customHeight="1" x14ac:dyDescent="0.2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</row>
    <row r="629" spans="1:18" ht="15.75" customHeight="1" x14ac:dyDescent="0.2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</row>
    <row r="630" spans="1:18" ht="15.75" customHeight="1" x14ac:dyDescent="0.2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</row>
    <row r="631" spans="1:18" ht="15.75" customHeight="1" x14ac:dyDescent="0.2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</row>
    <row r="632" spans="1:18" ht="15.75" customHeight="1" x14ac:dyDescent="0.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</row>
    <row r="633" spans="1:18" ht="15.75" customHeight="1" x14ac:dyDescent="0.2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</row>
    <row r="634" spans="1:18" ht="15.75" customHeight="1" x14ac:dyDescent="0.2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</row>
    <row r="635" spans="1:18" ht="15.75" customHeight="1" x14ac:dyDescent="0.2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</row>
    <row r="636" spans="1:18" ht="15.75" customHeight="1" x14ac:dyDescent="0.2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</row>
    <row r="637" spans="1:18" ht="15.75" customHeight="1" x14ac:dyDescent="0.2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</row>
    <row r="638" spans="1:18" ht="15.75" customHeight="1" x14ac:dyDescent="0.2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</row>
    <row r="639" spans="1:18" ht="15.75" customHeight="1" x14ac:dyDescent="0.2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</row>
    <row r="640" spans="1:18" ht="15.75" customHeight="1" x14ac:dyDescent="0.2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</row>
    <row r="641" spans="1:18" ht="15.75" customHeight="1" x14ac:dyDescent="0.2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</row>
    <row r="642" spans="1:18" ht="15.75" customHeight="1" x14ac:dyDescent="0.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</row>
    <row r="643" spans="1:18" ht="15.75" customHeight="1" x14ac:dyDescent="0.2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</row>
    <row r="644" spans="1:18" ht="15.75" customHeight="1" x14ac:dyDescent="0.2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</row>
    <row r="645" spans="1:18" ht="15.75" customHeight="1" x14ac:dyDescent="0.2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</row>
    <row r="646" spans="1:18" ht="15.75" customHeight="1" x14ac:dyDescent="0.2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</row>
    <row r="647" spans="1:18" ht="15.75" customHeight="1" x14ac:dyDescent="0.2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</row>
    <row r="648" spans="1:18" ht="15.75" customHeight="1" x14ac:dyDescent="0.2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</row>
    <row r="649" spans="1:18" ht="15.75" customHeight="1" x14ac:dyDescent="0.2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</row>
    <row r="650" spans="1:18" ht="15.75" customHeight="1" x14ac:dyDescent="0.2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</row>
    <row r="651" spans="1:18" ht="15.75" customHeight="1" x14ac:dyDescent="0.2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</row>
    <row r="652" spans="1:18" ht="15.75" customHeight="1" x14ac:dyDescent="0.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</row>
    <row r="653" spans="1:18" ht="15.75" customHeight="1" x14ac:dyDescent="0.2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</row>
    <row r="654" spans="1:18" ht="15.75" customHeight="1" x14ac:dyDescent="0.2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</row>
    <row r="655" spans="1:18" ht="15.75" customHeight="1" x14ac:dyDescent="0.2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</row>
    <row r="656" spans="1:18" ht="15.75" customHeight="1" x14ac:dyDescent="0.2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</row>
    <row r="657" spans="1:18" ht="15.75" customHeight="1" x14ac:dyDescent="0.2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</row>
    <row r="658" spans="1:18" ht="15.75" customHeight="1" x14ac:dyDescent="0.2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</row>
    <row r="659" spans="1:18" ht="15.75" customHeight="1" x14ac:dyDescent="0.2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</row>
    <row r="660" spans="1:18" ht="15.75" customHeight="1" x14ac:dyDescent="0.2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</row>
    <row r="661" spans="1:18" ht="15.75" customHeight="1" x14ac:dyDescent="0.2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</row>
    <row r="662" spans="1:18" ht="15.75" customHeight="1" x14ac:dyDescent="0.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</row>
    <row r="663" spans="1:18" ht="15.75" customHeight="1" x14ac:dyDescent="0.2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</row>
    <row r="664" spans="1:18" ht="15.75" customHeight="1" x14ac:dyDescent="0.2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</row>
    <row r="665" spans="1:18" ht="15.75" customHeight="1" x14ac:dyDescent="0.2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</row>
    <row r="666" spans="1:18" ht="15.75" customHeight="1" x14ac:dyDescent="0.2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</row>
    <row r="667" spans="1:18" ht="15.75" customHeight="1" x14ac:dyDescent="0.2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</row>
    <row r="668" spans="1:18" ht="15.75" customHeight="1" x14ac:dyDescent="0.2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</row>
    <row r="669" spans="1:18" ht="15.75" customHeight="1" x14ac:dyDescent="0.2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</row>
    <row r="670" spans="1:18" ht="15.75" customHeight="1" x14ac:dyDescent="0.2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</row>
    <row r="671" spans="1:18" ht="15.75" customHeight="1" x14ac:dyDescent="0.2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</row>
    <row r="672" spans="1:18" ht="15.75" customHeight="1" x14ac:dyDescent="0.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</row>
    <row r="673" spans="1:18" ht="15.75" customHeight="1" x14ac:dyDescent="0.2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</row>
    <row r="674" spans="1:18" ht="15.75" customHeight="1" x14ac:dyDescent="0.2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</row>
    <row r="675" spans="1:18" ht="15.75" customHeight="1" x14ac:dyDescent="0.2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</row>
    <row r="676" spans="1:18" ht="15.75" customHeight="1" x14ac:dyDescent="0.2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</row>
    <row r="677" spans="1:18" ht="15.75" customHeight="1" x14ac:dyDescent="0.2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</row>
    <row r="678" spans="1:18" ht="15.75" customHeight="1" x14ac:dyDescent="0.2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</row>
    <row r="679" spans="1:18" ht="15.75" customHeight="1" x14ac:dyDescent="0.2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</row>
    <row r="680" spans="1:18" ht="15.75" customHeight="1" x14ac:dyDescent="0.2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</row>
    <row r="681" spans="1:18" ht="15.75" customHeight="1" x14ac:dyDescent="0.2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</row>
    <row r="682" spans="1:18" ht="15.75" customHeight="1" x14ac:dyDescent="0.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</row>
    <row r="683" spans="1:18" ht="15.75" customHeight="1" x14ac:dyDescent="0.2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</row>
    <row r="684" spans="1:18" ht="15.75" customHeight="1" x14ac:dyDescent="0.2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</row>
    <row r="685" spans="1:18" ht="15.75" customHeight="1" x14ac:dyDescent="0.2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</row>
    <row r="686" spans="1:18" ht="15.75" customHeight="1" x14ac:dyDescent="0.2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</row>
    <row r="687" spans="1:18" ht="15.75" customHeight="1" x14ac:dyDescent="0.2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</row>
    <row r="688" spans="1:18" ht="15.75" customHeight="1" x14ac:dyDescent="0.2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</row>
    <row r="689" spans="1:18" ht="15.75" customHeight="1" x14ac:dyDescent="0.2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</row>
    <row r="690" spans="1:18" ht="15.75" customHeight="1" x14ac:dyDescent="0.2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</row>
    <row r="691" spans="1:18" ht="15.75" customHeight="1" x14ac:dyDescent="0.2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</row>
    <row r="692" spans="1:18" ht="15.75" customHeight="1" x14ac:dyDescent="0.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</row>
    <row r="693" spans="1:18" ht="15.75" customHeight="1" x14ac:dyDescent="0.2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</row>
    <row r="694" spans="1:18" ht="15.75" customHeight="1" x14ac:dyDescent="0.2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</row>
    <row r="695" spans="1:18" ht="15.75" customHeight="1" x14ac:dyDescent="0.2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</row>
    <row r="696" spans="1:18" ht="15.75" customHeight="1" x14ac:dyDescent="0.2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</row>
    <row r="697" spans="1:18" ht="15.75" customHeight="1" x14ac:dyDescent="0.2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</row>
    <row r="698" spans="1:18" ht="15.75" customHeight="1" x14ac:dyDescent="0.2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</row>
    <row r="699" spans="1:18" ht="15.75" customHeight="1" x14ac:dyDescent="0.2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</row>
    <row r="700" spans="1:18" ht="15.75" customHeight="1" x14ac:dyDescent="0.2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</row>
    <row r="701" spans="1:18" ht="15.75" customHeight="1" x14ac:dyDescent="0.2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</row>
    <row r="702" spans="1:18" ht="15.75" customHeight="1" x14ac:dyDescent="0.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</row>
    <row r="703" spans="1:18" ht="15.75" customHeight="1" x14ac:dyDescent="0.2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</row>
    <row r="704" spans="1:18" ht="15.75" customHeight="1" x14ac:dyDescent="0.2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</row>
    <row r="705" spans="1:18" ht="15.75" customHeight="1" x14ac:dyDescent="0.2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</row>
    <row r="706" spans="1:18" ht="15.75" customHeight="1" x14ac:dyDescent="0.2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</row>
    <row r="707" spans="1:18" ht="15.75" customHeight="1" x14ac:dyDescent="0.2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</row>
    <row r="708" spans="1:18" ht="15.75" customHeight="1" x14ac:dyDescent="0.2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</row>
    <row r="709" spans="1:18" ht="15.75" customHeight="1" x14ac:dyDescent="0.2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</row>
    <row r="710" spans="1:18" ht="15.75" customHeight="1" x14ac:dyDescent="0.2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</row>
    <row r="711" spans="1:18" ht="15.75" customHeight="1" x14ac:dyDescent="0.2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</row>
    <row r="712" spans="1:18" ht="15.75" customHeight="1" x14ac:dyDescent="0.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</row>
    <row r="713" spans="1:18" ht="15.75" customHeight="1" x14ac:dyDescent="0.2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</row>
    <row r="714" spans="1:18" ht="15.75" customHeight="1" x14ac:dyDescent="0.2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</row>
    <row r="715" spans="1:18" ht="15.75" customHeight="1" x14ac:dyDescent="0.2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</row>
    <row r="716" spans="1:18" ht="15.75" customHeight="1" x14ac:dyDescent="0.2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</row>
    <row r="717" spans="1:18" ht="15.75" customHeight="1" x14ac:dyDescent="0.2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</row>
    <row r="718" spans="1:18" ht="15.75" customHeight="1" x14ac:dyDescent="0.2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</row>
    <row r="719" spans="1:18" ht="15.75" customHeight="1" x14ac:dyDescent="0.2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</row>
    <row r="720" spans="1:18" ht="15.75" customHeight="1" x14ac:dyDescent="0.2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</row>
    <row r="721" spans="1:18" ht="15.75" customHeight="1" x14ac:dyDescent="0.2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</row>
    <row r="722" spans="1:18" ht="15.75" customHeight="1" x14ac:dyDescent="0.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</row>
    <row r="723" spans="1:18" ht="15.75" customHeight="1" x14ac:dyDescent="0.2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</row>
    <row r="724" spans="1:18" ht="15.75" customHeight="1" x14ac:dyDescent="0.2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</row>
    <row r="725" spans="1:18" ht="15.75" customHeight="1" x14ac:dyDescent="0.2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</row>
    <row r="726" spans="1:18" ht="15.75" customHeight="1" x14ac:dyDescent="0.2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</row>
    <row r="727" spans="1:18" ht="15.75" customHeight="1" x14ac:dyDescent="0.2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</row>
    <row r="728" spans="1:18" ht="15.75" customHeight="1" x14ac:dyDescent="0.2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</row>
    <row r="729" spans="1:18" ht="15.75" customHeight="1" x14ac:dyDescent="0.2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</row>
    <row r="730" spans="1:18" ht="15.75" customHeight="1" x14ac:dyDescent="0.2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</row>
    <row r="731" spans="1:18" ht="15.75" customHeight="1" x14ac:dyDescent="0.2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</row>
    <row r="732" spans="1:18" ht="15.75" customHeight="1" x14ac:dyDescent="0.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</row>
    <row r="733" spans="1:18" ht="15.75" customHeight="1" x14ac:dyDescent="0.2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</row>
    <row r="734" spans="1:18" ht="15.75" customHeight="1" x14ac:dyDescent="0.2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</row>
    <row r="735" spans="1:18" ht="15.75" customHeight="1" x14ac:dyDescent="0.2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</row>
    <row r="736" spans="1:18" ht="15.75" customHeight="1" x14ac:dyDescent="0.2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</row>
    <row r="737" spans="1:18" ht="15.75" customHeight="1" x14ac:dyDescent="0.2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</row>
    <row r="738" spans="1:18" ht="15.75" customHeight="1" x14ac:dyDescent="0.2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</row>
    <row r="739" spans="1:18" ht="15.75" customHeight="1" x14ac:dyDescent="0.2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</row>
    <row r="740" spans="1:18" ht="15.75" customHeight="1" x14ac:dyDescent="0.2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</row>
    <row r="741" spans="1:18" ht="15.75" customHeight="1" x14ac:dyDescent="0.2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</row>
    <row r="742" spans="1:18" ht="15.75" customHeight="1" x14ac:dyDescent="0.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</row>
    <row r="743" spans="1:18" ht="15.75" customHeight="1" x14ac:dyDescent="0.2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</row>
    <row r="744" spans="1:18" ht="15.75" customHeight="1" x14ac:dyDescent="0.2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</row>
    <row r="745" spans="1:18" ht="15.75" customHeight="1" x14ac:dyDescent="0.2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</row>
    <row r="746" spans="1:18" ht="15.75" customHeight="1" x14ac:dyDescent="0.2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</row>
    <row r="747" spans="1:18" ht="15.75" customHeight="1" x14ac:dyDescent="0.2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</row>
    <row r="748" spans="1:18" ht="15.75" customHeight="1" x14ac:dyDescent="0.2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</row>
    <row r="749" spans="1:18" ht="15.75" customHeight="1" x14ac:dyDescent="0.2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</row>
    <row r="750" spans="1:18" ht="15.75" customHeight="1" x14ac:dyDescent="0.2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</row>
    <row r="751" spans="1:18" ht="15.75" customHeight="1" x14ac:dyDescent="0.2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</row>
    <row r="752" spans="1:18" ht="15.75" customHeight="1" x14ac:dyDescent="0.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</row>
    <row r="753" spans="1:18" ht="15.75" customHeight="1" x14ac:dyDescent="0.2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</row>
    <row r="754" spans="1:18" ht="15.75" customHeight="1" x14ac:dyDescent="0.2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</row>
    <row r="755" spans="1:18" ht="15.75" customHeight="1" x14ac:dyDescent="0.2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</row>
    <row r="756" spans="1:18" ht="15.75" customHeight="1" x14ac:dyDescent="0.2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</row>
    <row r="757" spans="1:18" ht="15.75" customHeight="1" x14ac:dyDescent="0.2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</row>
    <row r="758" spans="1:18" ht="15.75" customHeight="1" x14ac:dyDescent="0.2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</row>
    <row r="759" spans="1:18" ht="15.75" customHeight="1" x14ac:dyDescent="0.2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</row>
    <row r="760" spans="1:18" ht="15.75" customHeight="1" x14ac:dyDescent="0.2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</row>
    <row r="761" spans="1:18" ht="15.75" customHeight="1" x14ac:dyDescent="0.2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</row>
    <row r="762" spans="1:18" ht="15.75" customHeight="1" x14ac:dyDescent="0.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</row>
    <row r="763" spans="1:18" ht="15.75" customHeight="1" x14ac:dyDescent="0.2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</row>
    <row r="764" spans="1:18" ht="15.75" customHeight="1" x14ac:dyDescent="0.2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</row>
    <row r="765" spans="1:18" ht="15.75" customHeight="1" x14ac:dyDescent="0.2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</row>
    <row r="766" spans="1:18" ht="15.75" customHeight="1" x14ac:dyDescent="0.2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</row>
    <row r="767" spans="1:18" ht="15.75" customHeight="1" x14ac:dyDescent="0.2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</row>
    <row r="768" spans="1:18" ht="15.75" customHeight="1" x14ac:dyDescent="0.2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</row>
    <row r="769" spans="1:18" ht="15.75" customHeight="1" x14ac:dyDescent="0.2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</row>
    <row r="770" spans="1:18" ht="15.75" customHeight="1" x14ac:dyDescent="0.2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</row>
    <row r="771" spans="1:18" ht="15.75" customHeight="1" x14ac:dyDescent="0.2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</row>
    <row r="772" spans="1:18" ht="15.75" customHeight="1" x14ac:dyDescent="0.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</row>
    <row r="773" spans="1:18" ht="15.75" customHeight="1" x14ac:dyDescent="0.2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</row>
    <row r="774" spans="1:18" ht="15.75" customHeight="1" x14ac:dyDescent="0.2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</row>
    <row r="775" spans="1:18" ht="15.75" customHeight="1" x14ac:dyDescent="0.2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</row>
    <row r="776" spans="1:18" ht="15.75" customHeight="1" x14ac:dyDescent="0.2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</row>
    <row r="777" spans="1:18" ht="15.75" customHeight="1" x14ac:dyDescent="0.2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</row>
    <row r="778" spans="1:18" ht="15.75" customHeight="1" x14ac:dyDescent="0.2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</row>
    <row r="779" spans="1:18" ht="15.75" customHeight="1" x14ac:dyDescent="0.2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</row>
    <row r="780" spans="1:18" ht="15.75" customHeight="1" x14ac:dyDescent="0.2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</row>
    <row r="781" spans="1:18" ht="15.75" customHeight="1" x14ac:dyDescent="0.2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</row>
    <row r="782" spans="1:18" ht="15.75" customHeight="1" x14ac:dyDescent="0.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</row>
    <row r="783" spans="1:18" ht="15.75" customHeight="1" x14ac:dyDescent="0.2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</row>
    <row r="784" spans="1:18" ht="15.75" customHeight="1" x14ac:dyDescent="0.2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</row>
    <row r="785" spans="1:18" ht="15.75" customHeight="1" x14ac:dyDescent="0.2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</row>
    <row r="786" spans="1:18" ht="15.75" customHeight="1" x14ac:dyDescent="0.2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</row>
    <row r="787" spans="1:18" ht="15.75" customHeight="1" x14ac:dyDescent="0.2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</row>
    <row r="788" spans="1:18" ht="15.75" customHeight="1" x14ac:dyDescent="0.2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</row>
    <row r="789" spans="1:18" ht="15.75" customHeight="1" x14ac:dyDescent="0.2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</row>
    <row r="790" spans="1:18" ht="15.75" customHeight="1" x14ac:dyDescent="0.2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</row>
    <row r="791" spans="1:18" ht="15.75" customHeight="1" x14ac:dyDescent="0.2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</row>
    <row r="792" spans="1:18" ht="15.75" customHeight="1" x14ac:dyDescent="0.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</row>
    <row r="793" spans="1:18" ht="15.75" customHeight="1" x14ac:dyDescent="0.2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</row>
    <row r="794" spans="1:18" ht="15.75" customHeight="1" x14ac:dyDescent="0.2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</row>
    <row r="795" spans="1:18" ht="15.75" customHeight="1" x14ac:dyDescent="0.2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</row>
    <row r="796" spans="1:18" ht="15.75" customHeight="1" x14ac:dyDescent="0.2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</row>
    <row r="797" spans="1:18" ht="15.75" customHeight="1" x14ac:dyDescent="0.2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</row>
    <row r="798" spans="1:18" ht="15.75" customHeight="1" x14ac:dyDescent="0.2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</row>
    <row r="799" spans="1:18" ht="15.75" customHeight="1" x14ac:dyDescent="0.2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</row>
    <row r="800" spans="1:18" ht="15.75" customHeight="1" x14ac:dyDescent="0.2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</row>
    <row r="801" spans="1:18" ht="15.75" customHeight="1" x14ac:dyDescent="0.2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</row>
    <row r="802" spans="1:18" ht="15.75" customHeight="1" x14ac:dyDescent="0.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</row>
    <row r="803" spans="1:18" ht="15.75" customHeight="1" x14ac:dyDescent="0.2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</row>
    <row r="804" spans="1:18" ht="15.75" customHeight="1" x14ac:dyDescent="0.2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</row>
    <row r="805" spans="1:18" ht="15.75" customHeight="1" x14ac:dyDescent="0.2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</row>
    <row r="806" spans="1:18" ht="15.75" customHeight="1" x14ac:dyDescent="0.2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</row>
    <row r="807" spans="1:18" ht="15.75" customHeight="1" x14ac:dyDescent="0.2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</row>
    <row r="808" spans="1:18" ht="15.75" customHeight="1" x14ac:dyDescent="0.2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</row>
    <row r="809" spans="1:18" ht="15.75" customHeight="1" x14ac:dyDescent="0.2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</row>
    <row r="810" spans="1:18" ht="15.75" customHeight="1" x14ac:dyDescent="0.2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</row>
    <row r="811" spans="1:18" ht="15.75" customHeight="1" x14ac:dyDescent="0.2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</row>
    <row r="812" spans="1:18" ht="15.75" customHeight="1" x14ac:dyDescent="0.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</row>
    <row r="813" spans="1:18" ht="15.75" customHeight="1" x14ac:dyDescent="0.2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</row>
    <row r="814" spans="1:18" ht="15.75" customHeight="1" x14ac:dyDescent="0.2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</row>
    <row r="815" spans="1:18" ht="15.75" customHeight="1" x14ac:dyDescent="0.2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</row>
    <row r="816" spans="1:18" ht="15.75" customHeight="1" x14ac:dyDescent="0.2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</row>
    <row r="817" spans="1:18" ht="15.75" customHeight="1" x14ac:dyDescent="0.2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</row>
    <row r="818" spans="1:18" ht="15.75" customHeight="1" x14ac:dyDescent="0.2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</row>
    <row r="819" spans="1:18" ht="15.75" customHeight="1" x14ac:dyDescent="0.2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</row>
    <row r="820" spans="1:18" ht="15.75" customHeight="1" x14ac:dyDescent="0.2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</row>
    <row r="821" spans="1:18" ht="15.75" customHeight="1" x14ac:dyDescent="0.2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</row>
    <row r="822" spans="1:18" ht="15.75" customHeight="1" x14ac:dyDescent="0.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</row>
    <row r="823" spans="1:18" ht="15.75" customHeight="1" x14ac:dyDescent="0.2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</row>
    <row r="824" spans="1:18" ht="15.75" customHeight="1" x14ac:dyDescent="0.2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</row>
    <row r="825" spans="1:18" ht="15.75" customHeight="1" x14ac:dyDescent="0.2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</row>
    <row r="826" spans="1:18" ht="15.75" customHeight="1" x14ac:dyDescent="0.2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</row>
    <row r="827" spans="1:18" ht="15.75" customHeight="1" x14ac:dyDescent="0.2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</row>
    <row r="828" spans="1:18" ht="15.75" customHeight="1" x14ac:dyDescent="0.2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</row>
    <row r="829" spans="1:18" ht="15.75" customHeight="1" x14ac:dyDescent="0.2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</row>
    <row r="830" spans="1:18" ht="15.75" customHeight="1" x14ac:dyDescent="0.2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</row>
    <row r="831" spans="1:18" ht="15.75" customHeight="1" x14ac:dyDescent="0.2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</row>
    <row r="832" spans="1:18" ht="15.75" customHeight="1" x14ac:dyDescent="0.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</row>
    <row r="833" spans="1:18" ht="15.75" customHeight="1" x14ac:dyDescent="0.2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</row>
    <row r="834" spans="1:18" ht="15.75" customHeight="1" x14ac:dyDescent="0.2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</row>
    <row r="835" spans="1:18" ht="15.75" customHeight="1" x14ac:dyDescent="0.2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</row>
    <row r="836" spans="1:18" ht="15.75" customHeight="1" x14ac:dyDescent="0.2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</row>
    <row r="837" spans="1:18" ht="15.75" customHeight="1" x14ac:dyDescent="0.2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</row>
    <row r="838" spans="1:18" ht="15.75" customHeight="1" x14ac:dyDescent="0.2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</row>
    <row r="839" spans="1:18" ht="15.75" customHeight="1" x14ac:dyDescent="0.2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</row>
    <row r="840" spans="1:18" ht="15.75" customHeight="1" x14ac:dyDescent="0.2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</row>
    <row r="841" spans="1:18" ht="15.75" customHeight="1" x14ac:dyDescent="0.2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</row>
    <row r="842" spans="1:18" ht="15.75" customHeight="1" x14ac:dyDescent="0.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</row>
    <row r="843" spans="1:18" ht="15.75" customHeight="1" x14ac:dyDescent="0.2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</row>
    <row r="844" spans="1:18" ht="15.75" customHeight="1" x14ac:dyDescent="0.2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</row>
    <row r="845" spans="1:18" ht="15.75" customHeight="1" x14ac:dyDescent="0.2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</row>
    <row r="846" spans="1:18" ht="15.75" customHeight="1" x14ac:dyDescent="0.2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</row>
    <row r="847" spans="1:18" ht="15.75" customHeight="1" x14ac:dyDescent="0.2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</row>
    <row r="848" spans="1:18" ht="15.75" customHeight="1" x14ac:dyDescent="0.2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</row>
    <row r="849" spans="1:18" ht="15.75" customHeight="1" x14ac:dyDescent="0.2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</row>
    <row r="850" spans="1:18" ht="15.75" customHeight="1" x14ac:dyDescent="0.2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</row>
    <row r="851" spans="1:18" ht="15.75" customHeight="1" x14ac:dyDescent="0.2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</row>
    <row r="852" spans="1:18" ht="15.75" customHeight="1" x14ac:dyDescent="0.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</row>
    <row r="853" spans="1:18" ht="15.75" customHeight="1" x14ac:dyDescent="0.2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</row>
    <row r="854" spans="1:18" ht="15.75" customHeight="1" x14ac:dyDescent="0.2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</row>
    <row r="855" spans="1:18" ht="15.75" customHeight="1" x14ac:dyDescent="0.2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</row>
    <row r="856" spans="1:18" ht="15.75" customHeight="1" x14ac:dyDescent="0.2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</row>
    <row r="857" spans="1:18" ht="15.75" customHeight="1" x14ac:dyDescent="0.2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</row>
    <row r="858" spans="1:18" ht="15.75" customHeight="1" x14ac:dyDescent="0.2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</row>
    <row r="859" spans="1:18" ht="15.75" customHeight="1" x14ac:dyDescent="0.2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</row>
    <row r="860" spans="1:18" ht="15.75" customHeight="1" x14ac:dyDescent="0.2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</row>
    <row r="861" spans="1:18" ht="15.75" customHeight="1" x14ac:dyDescent="0.2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</row>
    <row r="862" spans="1:18" ht="15.75" customHeight="1" x14ac:dyDescent="0.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</row>
    <row r="863" spans="1:18" ht="15.75" customHeight="1" x14ac:dyDescent="0.2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</row>
    <row r="864" spans="1:18" ht="15.75" customHeight="1" x14ac:dyDescent="0.2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</row>
    <row r="865" spans="1:18" ht="15.75" customHeight="1" x14ac:dyDescent="0.2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</row>
    <row r="866" spans="1:18" ht="15.75" customHeight="1" x14ac:dyDescent="0.2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</row>
    <row r="867" spans="1:18" ht="15.75" customHeight="1" x14ac:dyDescent="0.2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</row>
    <row r="868" spans="1:18" ht="15.75" customHeight="1" x14ac:dyDescent="0.2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</row>
    <row r="869" spans="1:18" ht="15.75" customHeight="1" x14ac:dyDescent="0.2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</row>
    <row r="870" spans="1:18" ht="15.75" customHeight="1" x14ac:dyDescent="0.2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</row>
    <row r="871" spans="1:18" ht="15.75" customHeight="1" x14ac:dyDescent="0.2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</row>
    <row r="872" spans="1:18" ht="15.75" customHeight="1" x14ac:dyDescent="0.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</row>
    <row r="873" spans="1:18" ht="15.75" customHeight="1" x14ac:dyDescent="0.2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</row>
    <row r="874" spans="1:18" ht="15.75" customHeight="1" x14ac:dyDescent="0.2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</row>
    <row r="875" spans="1:18" ht="15.75" customHeight="1" x14ac:dyDescent="0.2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</row>
    <row r="876" spans="1:18" ht="15.75" customHeight="1" x14ac:dyDescent="0.2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</row>
    <row r="877" spans="1:18" ht="15.75" customHeight="1" x14ac:dyDescent="0.2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</row>
    <row r="878" spans="1:18" ht="15.75" customHeight="1" x14ac:dyDescent="0.2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</row>
    <row r="879" spans="1:18" ht="15.75" customHeight="1" x14ac:dyDescent="0.2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</row>
    <row r="880" spans="1:18" ht="15.75" customHeight="1" x14ac:dyDescent="0.2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</row>
    <row r="881" spans="1:18" ht="15.75" customHeight="1" x14ac:dyDescent="0.2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</row>
    <row r="882" spans="1:18" ht="15.75" customHeight="1" x14ac:dyDescent="0.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</row>
    <row r="883" spans="1:18" ht="15.75" customHeight="1" x14ac:dyDescent="0.2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</row>
    <row r="884" spans="1:18" ht="15.75" customHeight="1" x14ac:dyDescent="0.2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</row>
    <row r="885" spans="1:18" ht="15.75" customHeight="1" x14ac:dyDescent="0.2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</row>
    <row r="886" spans="1:18" ht="15.75" customHeight="1" x14ac:dyDescent="0.2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</row>
    <row r="887" spans="1:18" ht="15.75" customHeight="1" x14ac:dyDescent="0.2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</row>
    <row r="888" spans="1:18" ht="15.75" customHeight="1" x14ac:dyDescent="0.2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</row>
    <row r="889" spans="1:18" ht="15.75" customHeight="1" x14ac:dyDescent="0.2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</row>
    <row r="890" spans="1:18" ht="15.75" customHeight="1" x14ac:dyDescent="0.2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</row>
    <row r="891" spans="1:18" ht="15.75" customHeight="1" x14ac:dyDescent="0.2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</row>
    <row r="892" spans="1:18" ht="15.75" customHeight="1" x14ac:dyDescent="0.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</row>
    <row r="893" spans="1:18" ht="15.75" customHeight="1" x14ac:dyDescent="0.2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</row>
    <row r="894" spans="1:18" ht="15.75" customHeight="1" x14ac:dyDescent="0.2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</row>
    <row r="895" spans="1:18" ht="15.75" customHeight="1" x14ac:dyDescent="0.2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</row>
    <row r="896" spans="1:18" ht="15.75" customHeight="1" x14ac:dyDescent="0.2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</row>
    <row r="897" spans="1:18" ht="15.75" customHeight="1" x14ac:dyDescent="0.2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</row>
    <row r="898" spans="1:18" ht="15.75" customHeight="1" x14ac:dyDescent="0.2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</row>
    <row r="899" spans="1:18" ht="15.75" customHeight="1" x14ac:dyDescent="0.2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</row>
    <row r="900" spans="1:18" ht="15.75" customHeight="1" x14ac:dyDescent="0.2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</row>
    <row r="901" spans="1:18" ht="15.75" customHeight="1" x14ac:dyDescent="0.2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</row>
    <row r="902" spans="1:18" ht="15.75" customHeight="1" x14ac:dyDescent="0.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</row>
    <row r="903" spans="1:18" ht="15.75" customHeight="1" x14ac:dyDescent="0.2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</row>
    <row r="904" spans="1:18" ht="15.75" customHeight="1" x14ac:dyDescent="0.2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</row>
    <row r="905" spans="1:18" ht="15.75" customHeight="1" x14ac:dyDescent="0.2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</row>
    <row r="906" spans="1:18" ht="15.75" customHeight="1" x14ac:dyDescent="0.2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</row>
    <row r="907" spans="1:18" ht="15.75" customHeight="1" x14ac:dyDescent="0.2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</row>
    <row r="908" spans="1:18" ht="15.75" customHeight="1" x14ac:dyDescent="0.2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</row>
    <row r="909" spans="1:18" ht="15.75" customHeight="1" x14ac:dyDescent="0.2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</row>
    <row r="910" spans="1:18" ht="15.75" customHeight="1" x14ac:dyDescent="0.2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</row>
    <row r="911" spans="1:18" ht="15.75" customHeight="1" x14ac:dyDescent="0.2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</row>
    <row r="912" spans="1:18" ht="15.75" customHeight="1" x14ac:dyDescent="0.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</row>
    <row r="913" spans="1:18" ht="15.75" customHeight="1" x14ac:dyDescent="0.2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</row>
    <row r="914" spans="1:18" ht="15.75" customHeight="1" x14ac:dyDescent="0.2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</row>
    <row r="915" spans="1:18" ht="15.75" customHeight="1" x14ac:dyDescent="0.2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</row>
    <row r="916" spans="1:18" ht="15.75" customHeight="1" x14ac:dyDescent="0.2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</row>
    <row r="917" spans="1:18" ht="15.75" customHeight="1" x14ac:dyDescent="0.2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</row>
    <row r="918" spans="1:18" ht="15.75" customHeight="1" x14ac:dyDescent="0.2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</row>
    <row r="919" spans="1:18" ht="15.75" customHeight="1" x14ac:dyDescent="0.2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</row>
    <row r="920" spans="1:18" ht="15.75" customHeight="1" x14ac:dyDescent="0.2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</row>
    <row r="921" spans="1:18" ht="15.75" customHeight="1" x14ac:dyDescent="0.2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</row>
    <row r="922" spans="1:18" ht="15.75" customHeight="1" x14ac:dyDescent="0.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</row>
    <row r="923" spans="1:18" ht="15.75" customHeight="1" x14ac:dyDescent="0.2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</row>
    <row r="924" spans="1:18" ht="15.75" customHeight="1" x14ac:dyDescent="0.2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</row>
    <row r="925" spans="1:18" ht="15.75" customHeight="1" x14ac:dyDescent="0.2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</row>
    <row r="926" spans="1:18" ht="15.75" customHeight="1" x14ac:dyDescent="0.2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</row>
    <row r="927" spans="1:18" ht="15.75" customHeight="1" x14ac:dyDescent="0.2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</row>
    <row r="928" spans="1:18" ht="15.75" customHeight="1" x14ac:dyDescent="0.2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</row>
    <row r="929" spans="1:18" ht="15.75" customHeight="1" x14ac:dyDescent="0.2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</row>
    <row r="930" spans="1:18" ht="15.75" customHeight="1" x14ac:dyDescent="0.2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</row>
    <row r="931" spans="1:18" ht="15.75" customHeight="1" x14ac:dyDescent="0.2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</row>
    <row r="932" spans="1:18" ht="15.75" customHeight="1" x14ac:dyDescent="0.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</row>
    <row r="933" spans="1:18" ht="15.75" customHeight="1" x14ac:dyDescent="0.2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</row>
    <row r="934" spans="1:18" ht="15.75" customHeight="1" x14ac:dyDescent="0.2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</row>
    <row r="935" spans="1:18" ht="15.75" customHeight="1" x14ac:dyDescent="0.2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</row>
    <row r="936" spans="1:18" ht="15.75" customHeight="1" x14ac:dyDescent="0.2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</row>
    <row r="937" spans="1:18" ht="15.75" customHeight="1" x14ac:dyDescent="0.2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</row>
    <row r="938" spans="1:18" ht="15.75" customHeight="1" x14ac:dyDescent="0.2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</row>
    <row r="939" spans="1:18" ht="15.75" customHeight="1" x14ac:dyDescent="0.2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</row>
    <row r="940" spans="1:18" ht="15.75" customHeight="1" x14ac:dyDescent="0.2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</row>
    <row r="941" spans="1:18" ht="15.75" customHeight="1" x14ac:dyDescent="0.2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</row>
    <row r="942" spans="1:18" ht="15.75" customHeight="1" x14ac:dyDescent="0.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</row>
    <row r="943" spans="1:18" ht="15.75" customHeight="1" x14ac:dyDescent="0.2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</row>
    <row r="944" spans="1:18" ht="15.75" customHeight="1" x14ac:dyDescent="0.2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</row>
    <row r="945" spans="1:18" ht="15.75" customHeight="1" x14ac:dyDescent="0.2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</row>
    <row r="946" spans="1:18" ht="15.75" customHeight="1" x14ac:dyDescent="0.2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</row>
    <row r="947" spans="1:18" ht="15.75" customHeight="1" x14ac:dyDescent="0.2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</row>
    <row r="948" spans="1:18" ht="15.75" customHeight="1" x14ac:dyDescent="0.2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</row>
    <row r="949" spans="1:18" ht="15.75" customHeight="1" x14ac:dyDescent="0.2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</row>
    <row r="950" spans="1:18" ht="15.75" customHeight="1" x14ac:dyDescent="0.2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</row>
    <row r="951" spans="1:18" ht="15.75" customHeight="1" x14ac:dyDescent="0.2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</row>
    <row r="952" spans="1:18" ht="15.75" customHeight="1" x14ac:dyDescent="0.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</row>
    <row r="953" spans="1:18" ht="15.75" customHeight="1" x14ac:dyDescent="0.2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</row>
    <row r="954" spans="1:18" ht="15.75" customHeight="1" x14ac:dyDescent="0.2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</row>
    <row r="955" spans="1:18" ht="15.75" customHeight="1" x14ac:dyDescent="0.2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</row>
    <row r="956" spans="1:18" ht="15.75" customHeight="1" x14ac:dyDescent="0.2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</row>
    <row r="957" spans="1:18" ht="15.75" customHeight="1" x14ac:dyDescent="0.2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</row>
    <row r="958" spans="1:18" ht="15.75" customHeight="1" x14ac:dyDescent="0.2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</row>
    <row r="959" spans="1:18" ht="15.75" customHeight="1" x14ac:dyDescent="0.2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</row>
    <row r="960" spans="1:18" ht="15.75" customHeight="1" x14ac:dyDescent="0.2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</row>
    <row r="961" spans="1:18" ht="15.75" customHeight="1" x14ac:dyDescent="0.2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</row>
    <row r="962" spans="1:18" ht="15.75" customHeight="1" x14ac:dyDescent="0.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</row>
    <row r="963" spans="1:18" ht="15.75" customHeight="1" x14ac:dyDescent="0.2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</row>
    <row r="964" spans="1:18" ht="15.75" customHeight="1" x14ac:dyDescent="0.2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</row>
    <row r="965" spans="1:18" ht="15.75" customHeight="1" x14ac:dyDescent="0.2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</row>
    <row r="966" spans="1:18" ht="15.75" customHeight="1" x14ac:dyDescent="0.2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</row>
    <row r="967" spans="1:18" ht="15.75" customHeight="1" x14ac:dyDescent="0.2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</row>
    <row r="968" spans="1:18" ht="15.75" customHeight="1" x14ac:dyDescent="0.2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</row>
    <row r="969" spans="1:18" ht="15.75" customHeight="1" x14ac:dyDescent="0.2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</row>
    <row r="970" spans="1:18" ht="15.75" customHeight="1" x14ac:dyDescent="0.2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</row>
    <row r="971" spans="1:18" ht="15.75" customHeight="1" x14ac:dyDescent="0.2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</row>
    <row r="972" spans="1:18" ht="15.75" customHeight="1" x14ac:dyDescent="0.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</row>
    <row r="973" spans="1:18" ht="15.75" customHeight="1" x14ac:dyDescent="0.2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</row>
    <row r="974" spans="1:18" ht="15.75" customHeight="1" x14ac:dyDescent="0.2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</row>
    <row r="975" spans="1:18" ht="15.75" customHeight="1" x14ac:dyDescent="0.2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</row>
    <row r="976" spans="1:18" ht="15.75" customHeight="1" x14ac:dyDescent="0.2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</row>
    <row r="977" spans="1:18" ht="15.75" customHeight="1" x14ac:dyDescent="0.2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</row>
    <row r="978" spans="1:18" ht="15.75" customHeight="1" x14ac:dyDescent="0.2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</row>
    <row r="979" spans="1:18" ht="15.75" customHeight="1" x14ac:dyDescent="0.2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</row>
    <row r="980" spans="1:18" ht="15.75" customHeight="1" x14ac:dyDescent="0.2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</row>
    <row r="981" spans="1:18" ht="15.75" customHeight="1" x14ac:dyDescent="0.2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</row>
    <row r="982" spans="1:18" ht="15.75" customHeight="1" x14ac:dyDescent="0.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</row>
    <row r="983" spans="1:18" ht="15.75" customHeight="1" x14ac:dyDescent="0.2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</row>
    <row r="984" spans="1:18" ht="15.75" customHeight="1" x14ac:dyDescent="0.2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</row>
    <row r="985" spans="1:18" ht="15.75" customHeight="1" x14ac:dyDescent="0.2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</row>
    <row r="986" spans="1:18" ht="15.75" customHeight="1" x14ac:dyDescent="0.2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</row>
    <row r="987" spans="1:18" ht="15.75" customHeight="1" x14ac:dyDescent="0.2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</row>
    <row r="988" spans="1:18" ht="15.75" customHeight="1" x14ac:dyDescent="0.2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</row>
    <row r="989" spans="1:18" ht="15.75" customHeight="1" x14ac:dyDescent="0.2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</row>
    <row r="990" spans="1:18" ht="15.75" customHeight="1" x14ac:dyDescent="0.2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</row>
    <row r="991" spans="1:18" ht="15.75" customHeight="1" x14ac:dyDescent="0.2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</row>
    <row r="992" spans="1:18" ht="15.75" customHeight="1" x14ac:dyDescent="0.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</row>
    <row r="993" spans="1:18" ht="15.75" customHeight="1" x14ac:dyDescent="0.2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</row>
    <row r="994" spans="1:18" ht="15.75" customHeight="1" x14ac:dyDescent="0.2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</row>
    <row r="995" spans="1:18" ht="15.75" customHeight="1" x14ac:dyDescent="0.2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</row>
    <row r="996" spans="1:18" ht="15.75" customHeight="1" x14ac:dyDescent="0.2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</row>
  </sheetData>
  <mergeCells count="8">
    <mergeCell ref="A1:M1"/>
    <mergeCell ref="A2:M2"/>
    <mergeCell ref="A4:A5"/>
    <mergeCell ref="H4:J4"/>
    <mergeCell ref="K4:M4"/>
    <mergeCell ref="B4:D4"/>
    <mergeCell ref="E4:G4"/>
    <mergeCell ref="A3:M3"/>
  </mergeCells>
  <printOptions horizontalCentered="1"/>
  <pageMargins left="0.62992125984251968" right="0.62992125984251968" top="0.55118110236220474" bottom="0.55118110236220474" header="0" footer="0"/>
  <pageSetup paperSize="9" scale="56" orientation="landscape" r:id="rId1"/>
  <headerFooter>
    <oddHeader>&amp;R</oddHeader>
  </headerFooter>
  <rowBreaks count="2" manualBreakCount="2">
    <brk id="31" max="12" man="1"/>
    <brk id="55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4.42578125" defaultRowHeight="15" customHeight="1" x14ac:dyDescent="0.2"/>
  <cols>
    <col min="1" max="1" width="6.5703125" customWidth="1"/>
    <col min="2" max="2" width="23.28515625" customWidth="1"/>
    <col min="3" max="3" width="26" customWidth="1"/>
    <col min="4" max="4" width="13" customWidth="1"/>
    <col min="5" max="5" width="12.42578125" customWidth="1"/>
    <col min="6" max="6" width="14.85546875" customWidth="1"/>
    <col min="7" max="9" width="23.28515625" customWidth="1"/>
    <col min="10" max="10" width="19.7109375" customWidth="1"/>
    <col min="11" max="11" width="10" customWidth="1"/>
    <col min="12" max="14" width="9.140625" customWidth="1"/>
    <col min="15" max="15" width="12.140625" customWidth="1"/>
    <col min="16" max="26" width="8.7109375" customWidth="1"/>
  </cols>
  <sheetData>
    <row r="1" spans="1:26" ht="19.5" customHeight="1" x14ac:dyDescent="0.2">
      <c r="A1" s="3"/>
      <c r="B1" s="4" t="s">
        <v>75</v>
      </c>
      <c r="C1" s="4" t="s">
        <v>184</v>
      </c>
      <c r="D1" s="4"/>
      <c r="E1" s="4"/>
      <c r="F1" s="4"/>
      <c r="G1" s="4"/>
      <c r="H1" s="4"/>
      <c r="I1" s="4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36.75" customHeight="1" x14ac:dyDescent="0.2">
      <c r="A2" s="186" t="s">
        <v>185</v>
      </c>
      <c r="B2" s="186" t="s">
        <v>3</v>
      </c>
      <c r="C2" s="188" t="s">
        <v>186</v>
      </c>
      <c r="D2" s="7" t="s">
        <v>187</v>
      </c>
      <c r="E2" s="7" t="s">
        <v>188</v>
      </c>
      <c r="F2" s="7" t="s">
        <v>189</v>
      </c>
      <c r="G2" s="188" t="s">
        <v>190</v>
      </c>
      <c r="H2" s="182" t="s">
        <v>191</v>
      </c>
      <c r="I2" s="8"/>
      <c r="J2" s="9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9.5" customHeight="1" x14ac:dyDescent="0.2">
      <c r="A3" s="187"/>
      <c r="B3" s="187"/>
      <c r="C3" s="187"/>
      <c r="D3" s="10"/>
      <c r="E3" s="10"/>
      <c r="F3" s="10"/>
      <c r="G3" s="187"/>
      <c r="H3" s="183"/>
      <c r="I3" s="11"/>
      <c r="J3" s="9" t="s">
        <v>192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9.5" customHeight="1" x14ac:dyDescent="0.2">
      <c r="A4" s="12">
        <v>1</v>
      </c>
      <c r="B4" s="13" t="s">
        <v>193</v>
      </c>
      <c r="C4" s="13"/>
      <c r="D4" s="13"/>
      <c r="E4" s="13"/>
      <c r="F4" s="13">
        <f t="shared" ref="F4:F8" si="0">E4+D4</f>
        <v>0</v>
      </c>
      <c r="G4" s="13"/>
      <c r="H4" s="14"/>
      <c r="I4" s="14"/>
      <c r="J4" s="9">
        <v>0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9.5" customHeight="1" x14ac:dyDescent="0.2">
      <c r="A5" s="12">
        <v>2</v>
      </c>
      <c r="B5" s="13" t="s">
        <v>194</v>
      </c>
      <c r="C5" s="13"/>
      <c r="D5" s="13"/>
      <c r="E5" s="13"/>
      <c r="F5" s="13">
        <f t="shared" si="0"/>
        <v>0</v>
      </c>
      <c r="G5" s="13"/>
      <c r="H5" s="14"/>
      <c r="I5" s="14"/>
      <c r="J5" s="9">
        <v>0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9.5" customHeight="1" x14ac:dyDescent="0.2">
      <c r="A6" s="12">
        <v>3</v>
      </c>
      <c r="B6" s="13" t="s">
        <v>195</v>
      </c>
      <c r="C6" s="13"/>
      <c r="D6" s="13"/>
      <c r="E6" s="13"/>
      <c r="F6" s="13">
        <f t="shared" si="0"/>
        <v>0</v>
      </c>
      <c r="G6" s="13"/>
      <c r="H6" s="14"/>
      <c r="I6" s="14"/>
      <c r="J6" s="9">
        <v>0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9.5" customHeight="1" x14ac:dyDescent="0.2">
      <c r="A7" s="12">
        <v>4</v>
      </c>
      <c r="B7" s="15" t="s">
        <v>196</v>
      </c>
      <c r="C7" s="13" t="s">
        <v>197</v>
      </c>
      <c r="D7" s="13">
        <v>7623</v>
      </c>
      <c r="E7" s="13">
        <v>4856</v>
      </c>
      <c r="F7" s="13">
        <f t="shared" si="0"/>
        <v>12479</v>
      </c>
      <c r="G7" s="13">
        <v>61.1</v>
      </c>
      <c r="H7" s="14">
        <f t="shared" ref="H7:H8" si="1">G7*F7</f>
        <v>762466.9</v>
      </c>
      <c r="I7" s="14"/>
      <c r="J7" s="9">
        <v>27460</v>
      </c>
      <c r="K7" s="6"/>
      <c r="L7" s="6"/>
      <c r="M7" s="6">
        <v>22400</v>
      </c>
      <c r="N7" s="6">
        <v>81.83</v>
      </c>
      <c r="O7" s="6">
        <f>N7*M7</f>
        <v>1832992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9.5" customHeight="1" x14ac:dyDescent="0.2">
      <c r="A8" s="12"/>
      <c r="B8" s="13"/>
      <c r="C8" s="13" t="s">
        <v>198</v>
      </c>
      <c r="D8" s="13">
        <v>5264.12</v>
      </c>
      <c r="E8" s="13">
        <v>3862.08</v>
      </c>
      <c r="F8" s="13">
        <f t="shared" si="0"/>
        <v>9126.2000000000007</v>
      </c>
      <c r="G8" s="13">
        <v>73.8</v>
      </c>
      <c r="H8" s="14">
        <f t="shared" si="1"/>
        <v>673513.56</v>
      </c>
      <c r="I8" s="14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9.5" customHeight="1" x14ac:dyDescent="0.2">
      <c r="A9" s="16"/>
      <c r="B9" s="17" t="s">
        <v>199</v>
      </c>
      <c r="C9" s="17"/>
      <c r="D9" s="17">
        <f t="shared" ref="D9:E9" si="2">SUM(D7:D8)</f>
        <v>12887.119999999999</v>
      </c>
      <c r="E9" s="17">
        <f t="shared" si="2"/>
        <v>8718.08</v>
      </c>
      <c r="F9" s="15">
        <f>F7+F8</f>
        <v>21605.200000000001</v>
      </c>
      <c r="G9" s="18">
        <f>H9/F9</f>
        <v>66.464576120563564</v>
      </c>
      <c r="H9" s="19">
        <f>SUM(H7:H8)</f>
        <v>1435980.46</v>
      </c>
      <c r="I9" s="20">
        <f>H9/F9*1000</f>
        <v>66464.576120563564</v>
      </c>
      <c r="J9" s="21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9.5" customHeight="1" x14ac:dyDescent="0.2">
      <c r="A10" s="12">
        <v>5</v>
      </c>
      <c r="B10" s="13" t="s">
        <v>200</v>
      </c>
      <c r="C10" s="13"/>
      <c r="D10" s="13"/>
      <c r="E10" s="13"/>
      <c r="F10" s="13">
        <f t="shared" ref="F10:F17" si="3">E10+D10</f>
        <v>0</v>
      </c>
      <c r="G10" s="13"/>
      <c r="H10" s="14"/>
      <c r="I10" s="14"/>
      <c r="J10" s="9">
        <v>0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9.5" customHeight="1" x14ac:dyDescent="0.2">
      <c r="A11" s="12">
        <v>6</v>
      </c>
      <c r="B11" s="13" t="s">
        <v>201</v>
      </c>
      <c r="C11" s="13"/>
      <c r="D11" s="13"/>
      <c r="E11" s="13"/>
      <c r="F11" s="13">
        <f t="shared" si="3"/>
        <v>0</v>
      </c>
      <c r="G11" s="13"/>
      <c r="H11" s="14"/>
      <c r="I11" s="14"/>
      <c r="J11" s="9">
        <v>0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9.5" customHeight="1" x14ac:dyDescent="0.2">
      <c r="A12" s="12">
        <v>7</v>
      </c>
      <c r="B12" s="13" t="s">
        <v>202</v>
      </c>
      <c r="C12" s="13"/>
      <c r="D12" s="13"/>
      <c r="E12" s="13"/>
      <c r="F12" s="13">
        <f t="shared" si="3"/>
        <v>0</v>
      </c>
      <c r="G12" s="13"/>
      <c r="H12" s="14"/>
      <c r="I12" s="14"/>
      <c r="J12" s="9">
        <v>0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9.5" customHeight="1" x14ac:dyDescent="0.2">
      <c r="A13" s="12">
        <v>8</v>
      </c>
      <c r="B13" s="13" t="s">
        <v>203</v>
      </c>
      <c r="C13" s="13"/>
      <c r="D13" s="13"/>
      <c r="E13" s="13"/>
      <c r="F13" s="13">
        <f t="shared" si="3"/>
        <v>0</v>
      </c>
      <c r="G13" s="13"/>
      <c r="H13" s="14"/>
      <c r="I13" s="14"/>
      <c r="J13" s="9">
        <v>3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9.5" customHeight="1" x14ac:dyDescent="0.2">
      <c r="A14" s="12">
        <v>9</v>
      </c>
      <c r="B14" s="13" t="s">
        <v>204</v>
      </c>
      <c r="C14" s="13"/>
      <c r="D14" s="13"/>
      <c r="E14" s="13"/>
      <c r="F14" s="13">
        <f t="shared" si="3"/>
        <v>0</v>
      </c>
      <c r="G14" s="13"/>
      <c r="H14" s="14"/>
      <c r="I14" s="14"/>
      <c r="J14" s="9">
        <v>0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9.5" customHeight="1" x14ac:dyDescent="0.2">
      <c r="A15" s="12">
        <v>10</v>
      </c>
      <c r="B15" s="15" t="s">
        <v>205</v>
      </c>
      <c r="C15" s="13" t="s">
        <v>206</v>
      </c>
      <c r="D15" s="13">
        <v>7496</v>
      </c>
      <c r="E15" s="13">
        <v>4864</v>
      </c>
      <c r="F15" s="15">
        <f t="shared" si="3"/>
        <v>12360</v>
      </c>
      <c r="G15" s="18">
        <v>76.22</v>
      </c>
      <c r="H15" s="14">
        <f t="shared" ref="H15:H17" si="4">G15*F15</f>
        <v>942079.2</v>
      </c>
      <c r="I15" s="20">
        <f t="shared" ref="I15:I16" si="5">H15/F15*1000</f>
        <v>76220</v>
      </c>
      <c r="J15" s="9">
        <v>9386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9.5" customHeight="1" x14ac:dyDescent="0.2">
      <c r="A16" s="12">
        <v>11</v>
      </c>
      <c r="B16" s="15" t="s">
        <v>207</v>
      </c>
      <c r="C16" s="13" t="s">
        <v>208</v>
      </c>
      <c r="D16" s="23">
        <v>8530</v>
      </c>
      <c r="E16" s="23">
        <v>5558</v>
      </c>
      <c r="F16" s="13">
        <f t="shared" si="3"/>
        <v>14088</v>
      </c>
      <c r="G16" s="13">
        <v>75.849999999999994</v>
      </c>
      <c r="H16" s="14">
        <f t="shared" si="4"/>
        <v>1068574.7999999998</v>
      </c>
      <c r="I16" s="20">
        <f t="shared" si="5"/>
        <v>75849.999999999985</v>
      </c>
      <c r="J16" s="9">
        <v>15034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9.5" customHeight="1" x14ac:dyDescent="0.2">
      <c r="A17" s="12"/>
      <c r="B17" s="13"/>
      <c r="C17" s="13" t="s">
        <v>209</v>
      </c>
      <c r="D17" s="13">
        <v>2616</v>
      </c>
      <c r="E17" s="13">
        <v>3926</v>
      </c>
      <c r="F17" s="13">
        <f t="shared" si="3"/>
        <v>6542</v>
      </c>
      <c r="G17" s="13">
        <v>64</v>
      </c>
      <c r="H17" s="14">
        <f t="shared" si="4"/>
        <v>418688</v>
      </c>
      <c r="I17" s="14"/>
      <c r="J17" s="9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9.5" customHeight="1" x14ac:dyDescent="0.2">
      <c r="A18" s="16"/>
      <c r="B18" s="17" t="s">
        <v>199</v>
      </c>
      <c r="C18" s="17"/>
      <c r="D18" s="17">
        <f t="shared" ref="D18:E18" si="6">SUM(D15:D17)</f>
        <v>18642</v>
      </c>
      <c r="E18" s="17">
        <f t="shared" si="6"/>
        <v>14348</v>
      </c>
      <c r="F18" s="15">
        <f>F16+F17</f>
        <v>20630</v>
      </c>
      <c r="G18" s="18">
        <f>H18/F18</f>
        <v>72.092234609791561</v>
      </c>
      <c r="H18" s="19">
        <f>SUM(H16:H17)</f>
        <v>1487262.7999999998</v>
      </c>
      <c r="I18" s="20">
        <f>H18/F18*1000</f>
        <v>72092.234609791558</v>
      </c>
      <c r="J18" s="21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9.5" customHeight="1" x14ac:dyDescent="0.2">
      <c r="A19" s="12">
        <v>12</v>
      </c>
      <c r="B19" s="13" t="s">
        <v>210</v>
      </c>
      <c r="C19" s="13"/>
      <c r="D19" s="13"/>
      <c r="E19" s="13"/>
      <c r="F19" s="13">
        <f t="shared" ref="F19:F28" si="7">E19+D19</f>
        <v>0</v>
      </c>
      <c r="G19" s="13" t="s">
        <v>211</v>
      </c>
      <c r="H19" s="14"/>
      <c r="I19" s="20"/>
      <c r="J19" s="9">
        <v>19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9.5" customHeight="1" x14ac:dyDescent="0.2">
      <c r="A20" s="12">
        <v>13</v>
      </c>
      <c r="B20" s="13" t="s">
        <v>212</v>
      </c>
      <c r="C20" s="13"/>
      <c r="D20" s="13"/>
      <c r="E20" s="13"/>
      <c r="F20" s="13">
        <f t="shared" si="7"/>
        <v>0</v>
      </c>
      <c r="G20" s="13"/>
      <c r="H20" s="14"/>
      <c r="I20" s="20"/>
      <c r="J20" s="9">
        <v>0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9.5" customHeight="1" x14ac:dyDescent="0.2">
      <c r="A21" s="12">
        <v>14</v>
      </c>
      <c r="B21" s="13" t="s">
        <v>213</v>
      </c>
      <c r="C21" s="13"/>
      <c r="D21" s="13"/>
      <c r="E21" s="13"/>
      <c r="F21" s="13">
        <f t="shared" si="7"/>
        <v>0</v>
      </c>
      <c r="G21" s="13"/>
      <c r="H21" s="14"/>
      <c r="I21" s="20"/>
      <c r="J21" s="9">
        <v>0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9.5" customHeight="1" x14ac:dyDescent="0.2">
      <c r="A22" s="12">
        <v>15</v>
      </c>
      <c r="B22" s="15" t="s">
        <v>214</v>
      </c>
      <c r="C22" s="13" t="s">
        <v>215</v>
      </c>
      <c r="D22" s="23">
        <v>10518</v>
      </c>
      <c r="E22" s="23">
        <v>9020</v>
      </c>
      <c r="F22" s="13">
        <f t="shared" si="7"/>
        <v>19538</v>
      </c>
      <c r="G22" s="13">
        <v>80.58</v>
      </c>
      <c r="H22" s="14">
        <f t="shared" ref="H22:H28" si="8">G22*F22</f>
        <v>1574372.04</v>
      </c>
      <c r="I22" s="20">
        <f>H22/F22*1000</f>
        <v>80580</v>
      </c>
      <c r="J22" s="9">
        <v>84373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9.5" customHeight="1" x14ac:dyDescent="0.2">
      <c r="A23" s="12"/>
      <c r="B23" s="13"/>
      <c r="C23" s="13" t="s">
        <v>216</v>
      </c>
      <c r="D23" s="13">
        <v>9357.2099999999991</v>
      </c>
      <c r="E23" s="13">
        <v>6400.64</v>
      </c>
      <c r="F23" s="13">
        <f t="shared" si="7"/>
        <v>15757.849999999999</v>
      </c>
      <c r="G23" s="13">
        <v>68.59</v>
      </c>
      <c r="H23" s="14">
        <f t="shared" si="8"/>
        <v>1080830.9314999999</v>
      </c>
      <c r="I23" s="14"/>
      <c r="J23" s="9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9.5" customHeight="1" x14ac:dyDescent="0.2">
      <c r="A24" s="12"/>
      <c r="B24" s="13"/>
      <c r="C24" s="13" t="s">
        <v>217</v>
      </c>
      <c r="D24" s="13">
        <v>2880.86</v>
      </c>
      <c r="E24" s="13">
        <v>2625.33</v>
      </c>
      <c r="F24" s="13">
        <f t="shared" si="7"/>
        <v>5506.1900000000005</v>
      </c>
      <c r="G24" s="13">
        <v>73.38</v>
      </c>
      <c r="H24" s="14">
        <f t="shared" si="8"/>
        <v>404044.22220000002</v>
      </c>
      <c r="I24" s="14"/>
      <c r="J24" s="9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9.5" customHeight="1" x14ac:dyDescent="0.2">
      <c r="A25" s="12"/>
      <c r="B25" s="13"/>
      <c r="C25" s="13" t="s">
        <v>218</v>
      </c>
      <c r="D25" s="13">
        <v>5852.72</v>
      </c>
      <c r="E25" s="13">
        <v>4947.72</v>
      </c>
      <c r="F25" s="13">
        <f t="shared" si="7"/>
        <v>10800.44</v>
      </c>
      <c r="G25" s="13">
        <v>74.650000000000006</v>
      </c>
      <c r="H25" s="14">
        <f t="shared" si="8"/>
        <v>806252.84600000014</v>
      </c>
      <c r="I25" s="14"/>
      <c r="J25" s="9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9.5" customHeight="1" x14ac:dyDescent="0.2">
      <c r="A26" s="12"/>
      <c r="B26" s="13"/>
      <c r="C26" s="13" t="s">
        <v>219</v>
      </c>
      <c r="D26" s="13">
        <v>5784.1</v>
      </c>
      <c r="E26" s="13">
        <v>4266.82</v>
      </c>
      <c r="F26" s="13">
        <f t="shared" si="7"/>
        <v>10050.92</v>
      </c>
      <c r="G26" s="13">
        <v>69.08</v>
      </c>
      <c r="H26" s="14">
        <f t="shared" si="8"/>
        <v>694317.55359999998</v>
      </c>
      <c r="I26" s="14"/>
      <c r="J26" s="9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9.5" customHeight="1" x14ac:dyDescent="0.2">
      <c r="A27" s="12"/>
      <c r="B27" s="13"/>
      <c r="C27" s="13" t="s">
        <v>220</v>
      </c>
      <c r="D27" s="13">
        <v>2780</v>
      </c>
      <c r="E27" s="13">
        <v>1848</v>
      </c>
      <c r="F27" s="13">
        <f t="shared" si="7"/>
        <v>4628</v>
      </c>
      <c r="G27" s="13">
        <v>64.06</v>
      </c>
      <c r="H27" s="14">
        <f t="shared" si="8"/>
        <v>296469.68</v>
      </c>
      <c r="I27" s="14"/>
      <c r="J27" s="9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9.5" customHeight="1" x14ac:dyDescent="0.2">
      <c r="A28" s="12"/>
      <c r="B28" s="13"/>
      <c r="C28" s="13" t="s">
        <v>221</v>
      </c>
      <c r="D28" s="13">
        <v>1885</v>
      </c>
      <c r="E28" s="13">
        <v>714</v>
      </c>
      <c r="F28" s="13">
        <f t="shared" si="7"/>
        <v>2599</v>
      </c>
      <c r="G28" s="13">
        <v>57</v>
      </c>
      <c r="H28" s="14">
        <f t="shared" si="8"/>
        <v>148143</v>
      </c>
      <c r="I28" s="14"/>
      <c r="J28" s="9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8.75" customHeight="1" x14ac:dyDescent="0.2">
      <c r="A29" s="16"/>
      <c r="B29" s="17" t="s">
        <v>199</v>
      </c>
      <c r="C29" s="17"/>
      <c r="D29" s="17">
        <f t="shared" ref="D29:F29" si="9">SUM(D22:D28)</f>
        <v>39057.89</v>
      </c>
      <c r="E29" s="17">
        <f t="shared" si="9"/>
        <v>29822.510000000002</v>
      </c>
      <c r="F29" s="15">
        <f t="shared" si="9"/>
        <v>68880.399999999994</v>
      </c>
      <c r="G29" s="18">
        <f>H29/F29</f>
        <v>72.653908416617796</v>
      </c>
      <c r="H29" s="19">
        <f>SUM(H22:H28)</f>
        <v>5004430.2733000005</v>
      </c>
      <c r="I29" s="20">
        <f t="shared" ref="I29:I34" si="10">H29/F29*1000</f>
        <v>72653.908416617793</v>
      </c>
      <c r="J29" s="21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9.5" customHeight="1" x14ac:dyDescent="0.2">
      <c r="A30" s="12">
        <v>16</v>
      </c>
      <c r="B30" s="15" t="s">
        <v>222</v>
      </c>
      <c r="C30" s="13" t="s">
        <v>223</v>
      </c>
      <c r="D30" s="13"/>
      <c r="E30" s="13"/>
      <c r="F30" s="13">
        <f t="shared" ref="F30:F31" si="11">E30+D30</f>
        <v>0</v>
      </c>
      <c r="G30" s="13">
        <v>0</v>
      </c>
      <c r="H30" s="14">
        <v>0</v>
      </c>
      <c r="I30" s="20" t="e">
        <f t="shared" si="10"/>
        <v>#DIV/0!</v>
      </c>
      <c r="J30" s="9">
        <v>22402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9.5" customHeight="1" x14ac:dyDescent="0.2">
      <c r="A31" s="12"/>
      <c r="B31" s="13"/>
      <c r="C31" s="13" t="s">
        <v>224</v>
      </c>
      <c r="D31" s="13"/>
      <c r="E31" s="13"/>
      <c r="F31" s="13">
        <f t="shared" si="11"/>
        <v>0</v>
      </c>
      <c r="G31" s="13">
        <v>0</v>
      </c>
      <c r="H31" s="14">
        <v>0</v>
      </c>
      <c r="I31" s="20" t="e">
        <f t="shared" si="10"/>
        <v>#DIV/0!</v>
      </c>
      <c r="J31" s="9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9.5" customHeight="1" x14ac:dyDescent="0.2">
      <c r="A32" s="16"/>
      <c r="B32" s="17" t="s">
        <v>199</v>
      </c>
      <c r="C32" s="17"/>
      <c r="D32" s="17">
        <f t="shared" ref="D32:E32" si="12">SUM(D30:D31)</f>
        <v>0</v>
      </c>
      <c r="E32" s="17">
        <f t="shared" si="12"/>
        <v>0</v>
      </c>
      <c r="F32" s="15">
        <f>F30+F31</f>
        <v>0</v>
      </c>
      <c r="G32" s="18" t="e">
        <f>H32/F32</f>
        <v>#DIV/0!</v>
      </c>
      <c r="H32" s="15">
        <f>SUM(H30:H31)</f>
        <v>0</v>
      </c>
      <c r="I32" s="20" t="e">
        <f t="shared" si="10"/>
        <v>#DIV/0!</v>
      </c>
      <c r="J32" s="21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9.5" customHeight="1" x14ac:dyDescent="0.2">
      <c r="A33" s="12">
        <v>17</v>
      </c>
      <c r="B33" s="15" t="s">
        <v>225</v>
      </c>
      <c r="C33" s="13" t="s">
        <v>226</v>
      </c>
      <c r="D33" s="13">
        <v>5260</v>
      </c>
      <c r="E33" s="13">
        <v>3258</v>
      </c>
      <c r="F33" s="15">
        <f t="shared" ref="F33:F36" si="13">E33+D33</f>
        <v>8518</v>
      </c>
      <c r="G33" s="18">
        <v>65.3</v>
      </c>
      <c r="H33" s="19">
        <f t="shared" ref="H33:H36" si="14">G33*F33</f>
        <v>556225.4</v>
      </c>
      <c r="I33" s="20">
        <f t="shared" si="10"/>
        <v>65300</v>
      </c>
      <c r="J33" s="9">
        <v>7406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9.5" customHeight="1" x14ac:dyDescent="0.2">
      <c r="A34" s="12">
        <v>18</v>
      </c>
      <c r="B34" s="15" t="s">
        <v>227</v>
      </c>
      <c r="C34" s="13" t="s">
        <v>228</v>
      </c>
      <c r="D34" s="13">
        <v>5900</v>
      </c>
      <c r="E34" s="13">
        <v>5500</v>
      </c>
      <c r="F34" s="13">
        <f t="shared" si="13"/>
        <v>11400</v>
      </c>
      <c r="G34" s="13">
        <v>75.5</v>
      </c>
      <c r="H34" s="14">
        <f t="shared" si="14"/>
        <v>860700</v>
      </c>
      <c r="I34" s="20">
        <f t="shared" si="10"/>
        <v>75500</v>
      </c>
      <c r="J34" s="9">
        <v>8561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9.5" customHeight="1" x14ac:dyDescent="0.2">
      <c r="A35" s="12"/>
      <c r="B35" s="13"/>
      <c r="C35" s="13" t="s">
        <v>229</v>
      </c>
      <c r="D35" s="13">
        <v>3500</v>
      </c>
      <c r="E35" s="13">
        <v>1600</v>
      </c>
      <c r="F35" s="13">
        <f t="shared" si="13"/>
        <v>5100</v>
      </c>
      <c r="G35" s="13">
        <v>58.2</v>
      </c>
      <c r="H35" s="14">
        <f t="shared" si="14"/>
        <v>296820</v>
      </c>
      <c r="I35" s="14"/>
      <c r="J35" s="9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9.5" customHeight="1" x14ac:dyDescent="0.2">
      <c r="A36" s="12"/>
      <c r="B36" s="13"/>
      <c r="C36" s="13" t="s">
        <v>230</v>
      </c>
      <c r="D36" s="13">
        <v>3962</v>
      </c>
      <c r="E36" s="13">
        <v>2423</v>
      </c>
      <c r="F36" s="13">
        <f t="shared" si="13"/>
        <v>6385</v>
      </c>
      <c r="G36" s="13">
        <v>49.55</v>
      </c>
      <c r="H36" s="14">
        <f t="shared" si="14"/>
        <v>316376.75</v>
      </c>
      <c r="I36" s="14"/>
      <c r="J36" s="9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8.75" customHeight="1" x14ac:dyDescent="0.2">
      <c r="A37" s="16"/>
      <c r="B37" s="17" t="s">
        <v>199</v>
      </c>
      <c r="C37" s="17"/>
      <c r="D37" s="17">
        <f t="shared" ref="D37:E37" si="15">SUM(D30:D36)</f>
        <v>18622</v>
      </c>
      <c r="E37" s="17">
        <f t="shared" si="15"/>
        <v>12781</v>
      </c>
      <c r="F37" s="15">
        <f>F34+F35+F36</f>
        <v>22885</v>
      </c>
      <c r="G37" s="18">
        <f>H37/F37</f>
        <v>64.404489840506884</v>
      </c>
      <c r="H37" s="19">
        <f>SUM(H34:H36)</f>
        <v>1473896.75</v>
      </c>
      <c r="I37" s="20">
        <f>H37/F37*1000</f>
        <v>64404.489840506882</v>
      </c>
      <c r="J37" s="21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9.5" customHeight="1" x14ac:dyDescent="0.2">
      <c r="A38" s="12">
        <v>19</v>
      </c>
      <c r="B38" s="13" t="s">
        <v>231</v>
      </c>
      <c r="C38" s="24"/>
      <c r="D38" s="24"/>
      <c r="E38" s="24"/>
      <c r="F38" s="13">
        <f t="shared" ref="F38:F47" si="16">E38+D38</f>
        <v>0</v>
      </c>
      <c r="G38" s="24"/>
      <c r="H38" s="25"/>
      <c r="I38" s="25"/>
      <c r="J38" s="9">
        <v>6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9.5" customHeight="1" x14ac:dyDescent="0.2">
      <c r="A39" s="12">
        <v>20</v>
      </c>
      <c r="B39" s="13" t="s">
        <v>232</v>
      </c>
      <c r="C39" s="24"/>
      <c r="D39" s="24"/>
      <c r="E39" s="24"/>
      <c r="F39" s="13">
        <f t="shared" si="16"/>
        <v>0</v>
      </c>
      <c r="G39" s="24"/>
      <c r="H39" s="25"/>
      <c r="I39" s="25"/>
      <c r="J39" s="9">
        <v>95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9.5" customHeight="1" x14ac:dyDescent="0.2">
      <c r="A40" s="12">
        <v>21</v>
      </c>
      <c r="B40" s="13" t="s">
        <v>233</v>
      </c>
      <c r="C40" s="24"/>
      <c r="D40" s="24"/>
      <c r="E40" s="24"/>
      <c r="F40" s="13">
        <f t="shared" si="16"/>
        <v>0</v>
      </c>
      <c r="G40" s="24"/>
      <c r="H40" s="25"/>
      <c r="I40" s="25"/>
      <c r="J40" s="9">
        <v>0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9.5" customHeight="1" x14ac:dyDescent="0.2">
      <c r="A41" s="12">
        <v>22</v>
      </c>
      <c r="B41" s="13" t="s">
        <v>234</v>
      </c>
      <c r="C41" s="13" t="s">
        <v>235</v>
      </c>
      <c r="D41" s="13">
        <v>5000</v>
      </c>
      <c r="E41" s="13">
        <v>200</v>
      </c>
      <c r="F41" s="13">
        <f t="shared" si="16"/>
        <v>5200</v>
      </c>
      <c r="G41" s="13">
        <v>74.599999999999994</v>
      </c>
      <c r="H41" s="14">
        <f>G41*F41</f>
        <v>387919.99999999994</v>
      </c>
      <c r="I41" s="14"/>
      <c r="J41" s="9">
        <v>1445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8.75" customHeight="1" x14ac:dyDescent="0.2">
      <c r="A42" s="12"/>
      <c r="B42" s="13"/>
      <c r="C42" s="13" t="s">
        <v>236</v>
      </c>
      <c r="D42" s="13">
        <v>0</v>
      </c>
      <c r="E42" s="13">
        <v>0</v>
      </c>
      <c r="F42" s="13">
        <f t="shared" si="16"/>
        <v>0</v>
      </c>
      <c r="G42" s="13">
        <v>0</v>
      </c>
      <c r="H42" s="13">
        <v>0</v>
      </c>
      <c r="I42" s="14"/>
      <c r="J42" s="24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8.75" customHeight="1" x14ac:dyDescent="0.2">
      <c r="A43" s="16"/>
      <c r="B43" s="17" t="s">
        <v>199</v>
      </c>
      <c r="C43" s="17"/>
      <c r="D43" s="17">
        <f t="shared" ref="D43:E43" si="17">SUM(D41:D42)</f>
        <v>5000</v>
      </c>
      <c r="E43" s="17">
        <f t="shared" si="17"/>
        <v>200</v>
      </c>
      <c r="F43" s="17">
        <f t="shared" si="16"/>
        <v>5200</v>
      </c>
      <c r="G43" s="18">
        <f>H43/F43</f>
        <v>74.599999999999994</v>
      </c>
      <c r="H43" s="20">
        <f>SUM(H41:H42)</f>
        <v>387919.99999999994</v>
      </c>
      <c r="I43" s="20"/>
      <c r="J43" s="21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9.5" customHeight="1" x14ac:dyDescent="0.2">
      <c r="A44" s="12">
        <v>23</v>
      </c>
      <c r="B44" s="13" t="s">
        <v>237</v>
      </c>
      <c r="C44" s="24"/>
      <c r="D44" s="24"/>
      <c r="E44" s="24"/>
      <c r="F44" s="13">
        <f t="shared" si="16"/>
        <v>0</v>
      </c>
      <c r="G44" s="24"/>
      <c r="H44" s="25"/>
      <c r="I44" s="25"/>
      <c r="J44" s="9">
        <v>65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9.5" customHeight="1" x14ac:dyDescent="0.2">
      <c r="A45" s="12">
        <v>24</v>
      </c>
      <c r="B45" s="13" t="s">
        <v>238</v>
      </c>
      <c r="C45" s="24"/>
      <c r="D45" s="24"/>
      <c r="E45" s="24"/>
      <c r="F45" s="13">
        <f t="shared" si="16"/>
        <v>0</v>
      </c>
      <c r="G45" s="24"/>
      <c r="H45" s="25"/>
      <c r="I45" s="25"/>
      <c r="J45" s="9">
        <v>0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9.5" customHeight="1" x14ac:dyDescent="0.2">
      <c r="A46" s="12">
        <v>25</v>
      </c>
      <c r="B46" s="13" t="s">
        <v>239</v>
      </c>
      <c r="C46" s="24"/>
      <c r="D46" s="24"/>
      <c r="E46" s="24"/>
      <c r="F46" s="13">
        <f t="shared" si="16"/>
        <v>0</v>
      </c>
      <c r="G46" s="24"/>
      <c r="H46" s="25"/>
      <c r="I46" s="25"/>
      <c r="J46" s="9">
        <v>35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9.5" customHeight="1" x14ac:dyDescent="0.2">
      <c r="A47" s="12">
        <v>26</v>
      </c>
      <c r="B47" s="13" t="s">
        <v>240</v>
      </c>
      <c r="C47" s="24"/>
      <c r="D47" s="24"/>
      <c r="E47" s="24"/>
      <c r="F47" s="13">
        <f t="shared" si="16"/>
        <v>0</v>
      </c>
      <c r="G47" s="24"/>
      <c r="H47" s="25"/>
      <c r="I47" s="25"/>
      <c r="J47" s="9">
        <v>45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9.5" customHeight="1" x14ac:dyDescent="0.2">
      <c r="A48" s="184" t="s">
        <v>41</v>
      </c>
      <c r="B48" s="185"/>
      <c r="C48" s="26"/>
      <c r="D48" s="26"/>
      <c r="E48" s="26"/>
      <c r="F48" s="27">
        <f>F29+F37+F18+F9+F15+F32+F33+F43</f>
        <v>160078.6</v>
      </c>
      <c r="G48" s="28">
        <f>H48/F48</f>
        <v>70.514077979817401</v>
      </c>
      <c r="H48" s="29">
        <f>H37+H33+H32+H29+H18+H15+H9+H43</f>
        <v>11287794.883299999</v>
      </c>
      <c r="I48" s="30"/>
      <c r="J48" s="9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2">
      <c r="A49" s="3"/>
      <c r="B49" s="3"/>
      <c r="C49" s="3">
        <f t="shared" ref="C49:E49" si="18">SUM(C4:C47)</f>
        <v>0</v>
      </c>
      <c r="D49" s="3">
        <f t="shared" si="18"/>
        <v>188418.02</v>
      </c>
      <c r="E49" s="3">
        <f t="shared" si="18"/>
        <v>131739.18000000002</v>
      </c>
      <c r="F49" s="3">
        <f>SUM(F4:F48)</f>
        <v>459357.80000000005</v>
      </c>
      <c r="G49" s="3" t="e">
        <f t="shared" ref="G49:H49" si="19">SUM(G4:G47)</f>
        <v>#DIV/0!</v>
      </c>
      <c r="H49" s="3">
        <f t="shared" si="19"/>
        <v>21077285.1666</v>
      </c>
      <c r="I49" s="3">
        <f>H49/F49*1000</f>
        <v>45884.243538696843</v>
      </c>
      <c r="J49" s="13">
        <f>SUM(J4:J47)</f>
        <v>176335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5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5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5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5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5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5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5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5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5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5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5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5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5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5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5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5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5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5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5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5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5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5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5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5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5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5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5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5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5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5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5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5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5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5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5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5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5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5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5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5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5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5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5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5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5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5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5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5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5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5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5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5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5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5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5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5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5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5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5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5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5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5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5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5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5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5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5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5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5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5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5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5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5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5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5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5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5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5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5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5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5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5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5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5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5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5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5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5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5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5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5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5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5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5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5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5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5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5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5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5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5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5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5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5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5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5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5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5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5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5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5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5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5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5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5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5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5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5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5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5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5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5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5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5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5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5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5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5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5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5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5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5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5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5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5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5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5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5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5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5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5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5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5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5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5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5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5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5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5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5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5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5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5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5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5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5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5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5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5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5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5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5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5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5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5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5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5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5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5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5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5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5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5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5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5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5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5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5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5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5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5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5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5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5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5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5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5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5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5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5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5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5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5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5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5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5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5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5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5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5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5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5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5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5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5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5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5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5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5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5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5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5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5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5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5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5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5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5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5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5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5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5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5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5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5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5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5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5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5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5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5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5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5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5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5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5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5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5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5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5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5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5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5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5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5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5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5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5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5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5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5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5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5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5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5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5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5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5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5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5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5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5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5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5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5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5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5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5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5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5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5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5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5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5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5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5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5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5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5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5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5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5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5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5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5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5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5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5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5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5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5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5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5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5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5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5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5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5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5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5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5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5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5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5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5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5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5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5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5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5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5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5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5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5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5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5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5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5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5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5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5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5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5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5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5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5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5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5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5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5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5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5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5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5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5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5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5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5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5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5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5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5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5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5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5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5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5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5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5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5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5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5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5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5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5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5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5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5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5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5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5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5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5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5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5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5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5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5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5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5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5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5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5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5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5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5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5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5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5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5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5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5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5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5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5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5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5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5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5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5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5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5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5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5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5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5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5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5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5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5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5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5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5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5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5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5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5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5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5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5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5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5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5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5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5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5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5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5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5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5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5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5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5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5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5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5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5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5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5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5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5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5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5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5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5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5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5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5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5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5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5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5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5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5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5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5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5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5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5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5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5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5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5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5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5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5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5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5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5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5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5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5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5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5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5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5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5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5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5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5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5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5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5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5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5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5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5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5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5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5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5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5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5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5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5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5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5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5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5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5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5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5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5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5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5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5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5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5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5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5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5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5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5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5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5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5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5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5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5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5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5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5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5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5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5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5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5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5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5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5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5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5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5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5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5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5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5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5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5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5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5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5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5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5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5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5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5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5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5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5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5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5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5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5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5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5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5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5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5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5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5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5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5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5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5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5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5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5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5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5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5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5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5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5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5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5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5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5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5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5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5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5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5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5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5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5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5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5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5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5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5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5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5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5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5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5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5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5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5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5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5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5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5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5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5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5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5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5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5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5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5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5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5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5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5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5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5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5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5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5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5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5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5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5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5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5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5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5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5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5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5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5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5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5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5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5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5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5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5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5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5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5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5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5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5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5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5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5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5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5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5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5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5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5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5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5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5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5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5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5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5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5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5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5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5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5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5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5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5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5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5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5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5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5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5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5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5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5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5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5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5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5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5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5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5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5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5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5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5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5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5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5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5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5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5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5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5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5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5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5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5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5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5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5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5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5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5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5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5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5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5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5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5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5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5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5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5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5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5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5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5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5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5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5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5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5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5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5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5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5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5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5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5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5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5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5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5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5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5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5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5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5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5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5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5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5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5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5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5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5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5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5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5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5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5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5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5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5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5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5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5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5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5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5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5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5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5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5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5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5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5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5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5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5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5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5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5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5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5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5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5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5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5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5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5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5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5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5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5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5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5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5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5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5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5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5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5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5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5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5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5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5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5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5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5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5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5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5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5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5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5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5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5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5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5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5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5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5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5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5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5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5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5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5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5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5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5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5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5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5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5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5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5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5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5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5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5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5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5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5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5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5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5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5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5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5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5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5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5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5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5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5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5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5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5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5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5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5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5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5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5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5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5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5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5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5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5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5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5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5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5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5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5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5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5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5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5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5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5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5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5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5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5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5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5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5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5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5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5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5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5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5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5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5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5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5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5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5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5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5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5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5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5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5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5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5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5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5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5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5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5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5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5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5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5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5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5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5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5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5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5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5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5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5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5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5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5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5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5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5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5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5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5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5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5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5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5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5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5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5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5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5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5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5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5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5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5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5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5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5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5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5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5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5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5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5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5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5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5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5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5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">
    <mergeCell ref="H2:H3"/>
    <mergeCell ref="A48:B48"/>
    <mergeCell ref="A2:A3"/>
    <mergeCell ref="B2:B3"/>
    <mergeCell ref="C2:C3"/>
    <mergeCell ref="G2:G3"/>
  </mergeCells>
  <printOptions horizontalCentered="1"/>
  <pageMargins left="0.2361111111111111" right="0.2361111111111111" top="0.94236111111111109" bottom="0.74791666666666667" header="0" footer="0"/>
  <pageSetup paperSize="9" scale="57" orientation="portrait"/>
  <headerFooter>
    <oddHeader>&amp;LStatement showing district-wise Area, Production and Yield in Gujarat state based on Final Forecast reports for the year 2010-11 to 2012-13 .&amp;R Area in 00 Ha., Production in 00 M.T., Yield in Kg/Ha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 x14ac:dyDescent="0.2"/>
  <cols>
    <col min="1" max="1" width="16" customWidth="1"/>
    <col min="2" max="2" width="13.42578125" customWidth="1"/>
    <col min="3" max="26" width="8.85546875" customWidth="1"/>
  </cols>
  <sheetData>
    <row r="1" spans="1:26" ht="12.75" customHeight="1" x14ac:dyDescent="0.2">
      <c r="A1" s="31"/>
      <c r="B1" s="32" t="s">
        <v>75</v>
      </c>
      <c r="C1" s="33"/>
      <c r="D1" s="34"/>
      <c r="E1" s="3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189" t="s">
        <v>185</v>
      </c>
      <c r="B2" s="191" t="s">
        <v>3</v>
      </c>
      <c r="C2" s="192" t="s">
        <v>241</v>
      </c>
      <c r="D2" s="193"/>
      <c r="E2" s="19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">
      <c r="A3" s="190"/>
      <c r="B3" s="190"/>
      <c r="C3" s="35" t="s">
        <v>5</v>
      </c>
      <c r="D3" s="35" t="s">
        <v>6</v>
      </c>
      <c r="E3" s="35" t="s">
        <v>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">
      <c r="A4" s="36">
        <v>1</v>
      </c>
      <c r="B4" s="37" t="s">
        <v>193</v>
      </c>
      <c r="C4" s="38">
        <v>0</v>
      </c>
      <c r="D4" s="39">
        <f t="shared" ref="D4:D29" si="0">E4*C4/1000</f>
        <v>0</v>
      </c>
      <c r="E4" s="40">
        <v>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36">
        <v>2</v>
      </c>
      <c r="B5" s="37" t="s">
        <v>194</v>
      </c>
      <c r="C5" s="38">
        <v>0</v>
      </c>
      <c r="D5" s="39">
        <f t="shared" si="0"/>
        <v>0</v>
      </c>
      <c r="E5" s="40"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">
      <c r="A6" s="36">
        <v>3</v>
      </c>
      <c r="B6" s="37" t="s">
        <v>195</v>
      </c>
      <c r="C6" s="38">
        <v>0</v>
      </c>
      <c r="D6" s="39">
        <f t="shared" si="0"/>
        <v>0</v>
      </c>
      <c r="E6" s="40">
        <v>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">
      <c r="A7" s="36">
        <v>4</v>
      </c>
      <c r="B7" s="37" t="s">
        <v>196</v>
      </c>
      <c r="C7" s="38">
        <v>209.95</v>
      </c>
      <c r="D7" s="39">
        <f t="shared" si="0"/>
        <v>1395.3277</v>
      </c>
      <c r="E7" s="40">
        <v>6646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">
      <c r="A8" s="36">
        <v>5</v>
      </c>
      <c r="B8" s="37" t="s">
        <v>200</v>
      </c>
      <c r="C8" s="38">
        <v>0</v>
      </c>
      <c r="D8" s="39">
        <f t="shared" si="0"/>
        <v>0</v>
      </c>
      <c r="E8" s="40">
        <v>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36">
        <v>6</v>
      </c>
      <c r="B9" s="37" t="s">
        <v>201</v>
      </c>
      <c r="C9" s="38">
        <v>0</v>
      </c>
      <c r="D9" s="39">
        <f t="shared" si="0"/>
        <v>0</v>
      </c>
      <c r="E9" s="40"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36">
        <v>7</v>
      </c>
      <c r="B10" s="37" t="s">
        <v>202</v>
      </c>
      <c r="C10" s="38">
        <v>0</v>
      </c>
      <c r="D10" s="41">
        <f t="shared" si="0"/>
        <v>0</v>
      </c>
      <c r="E10" s="40">
        <v>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36">
        <v>8</v>
      </c>
      <c r="B11" s="37" t="s">
        <v>203</v>
      </c>
      <c r="C11" s="38">
        <v>0.02</v>
      </c>
      <c r="D11" s="41">
        <f t="shared" si="0"/>
        <v>0</v>
      </c>
      <c r="E11" s="40">
        <v>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36">
        <v>9</v>
      </c>
      <c r="B12" s="37" t="s">
        <v>204</v>
      </c>
      <c r="C12" s="38">
        <v>0</v>
      </c>
      <c r="D12" s="41">
        <f t="shared" si="0"/>
        <v>0</v>
      </c>
      <c r="E12" s="40"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36">
        <v>10</v>
      </c>
      <c r="B13" s="37" t="s">
        <v>205</v>
      </c>
      <c r="C13" s="38">
        <v>52.35</v>
      </c>
      <c r="D13" s="41">
        <f t="shared" si="0"/>
        <v>399.01170000000002</v>
      </c>
      <c r="E13" s="40">
        <v>7622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36">
        <v>11</v>
      </c>
      <c r="B14" s="37" t="s">
        <v>207</v>
      </c>
      <c r="C14" s="38">
        <v>110.17</v>
      </c>
      <c r="D14" s="41">
        <f t="shared" si="0"/>
        <v>794.23976740000001</v>
      </c>
      <c r="E14" s="40">
        <v>7209.22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36">
        <v>12</v>
      </c>
      <c r="B15" s="37" t="s">
        <v>210</v>
      </c>
      <c r="C15" s="38">
        <v>0</v>
      </c>
      <c r="D15" s="41">
        <f t="shared" si="0"/>
        <v>0</v>
      </c>
      <c r="E15" s="40">
        <v>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36">
        <v>13</v>
      </c>
      <c r="B16" s="37" t="s">
        <v>212</v>
      </c>
      <c r="C16" s="38">
        <v>0</v>
      </c>
      <c r="D16" s="41">
        <f t="shared" si="0"/>
        <v>0</v>
      </c>
      <c r="E16" s="40">
        <v>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36">
        <v>14</v>
      </c>
      <c r="B17" s="37" t="s">
        <v>213</v>
      </c>
      <c r="C17" s="38">
        <v>0</v>
      </c>
      <c r="D17" s="41">
        <f t="shared" si="0"/>
        <v>0</v>
      </c>
      <c r="E17" s="40">
        <v>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36">
        <v>15</v>
      </c>
      <c r="B18" s="37" t="s">
        <v>214</v>
      </c>
      <c r="C18" s="38">
        <v>879.05</v>
      </c>
      <c r="D18" s="41">
        <f t="shared" si="0"/>
        <v>6386.6410795000002</v>
      </c>
      <c r="E18" s="40">
        <v>7265.39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36">
        <v>16</v>
      </c>
      <c r="B19" s="37" t="s">
        <v>222</v>
      </c>
      <c r="C19" s="38">
        <v>256.01</v>
      </c>
      <c r="D19" s="41">
        <f t="shared" si="0"/>
        <v>1805.1265100000001</v>
      </c>
      <c r="E19" s="40">
        <v>7051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36">
        <v>17</v>
      </c>
      <c r="B20" s="37" t="s">
        <v>225</v>
      </c>
      <c r="C20" s="38">
        <v>74.5</v>
      </c>
      <c r="D20" s="41">
        <f t="shared" si="0"/>
        <v>486.48500000000001</v>
      </c>
      <c r="E20" s="40">
        <v>6530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36">
        <v>18</v>
      </c>
      <c r="B21" s="37" t="s">
        <v>227</v>
      </c>
      <c r="C21" s="38">
        <v>86.02</v>
      </c>
      <c r="D21" s="41">
        <f t="shared" si="0"/>
        <v>554.00664879999999</v>
      </c>
      <c r="E21" s="40">
        <v>6440.44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36">
        <v>19</v>
      </c>
      <c r="B22" s="37" t="s">
        <v>231</v>
      </c>
      <c r="C22" s="38">
        <v>0.03</v>
      </c>
      <c r="D22" s="41">
        <f t="shared" si="0"/>
        <v>0</v>
      </c>
      <c r="E22" s="40">
        <v>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36">
        <v>20</v>
      </c>
      <c r="B23" s="37" t="s">
        <v>232</v>
      </c>
      <c r="C23" s="38">
        <v>0.21</v>
      </c>
      <c r="D23" s="41">
        <f t="shared" si="0"/>
        <v>0</v>
      </c>
      <c r="E23" s="40">
        <v>0</v>
      </c>
      <c r="F23" s="2"/>
      <c r="G23" s="2"/>
      <c r="H23" s="42">
        <v>877.54666666666662</v>
      </c>
      <c r="I23" s="42">
        <v>1573.5</v>
      </c>
      <c r="J23" s="43">
        <v>1793.0670353713383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36">
        <v>21</v>
      </c>
      <c r="B24" s="37" t="s">
        <v>233</v>
      </c>
      <c r="C24" s="38">
        <v>3.45</v>
      </c>
      <c r="D24" s="41">
        <f t="shared" si="0"/>
        <v>24.325950000000002</v>
      </c>
      <c r="E24" s="40">
        <v>7051</v>
      </c>
      <c r="F24" s="2"/>
      <c r="G24" s="2"/>
      <c r="H24" s="42">
        <v>877.54666666666662</v>
      </c>
      <c r="I24" s="42">
        <v>1573.5</v>
      </c>
      <c r="J24" s="43">
        <f>I24/H24*1000</f>
        <v>1793.0670353713383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36">
        <v>22</v>
      </c>
      <c r="B25" s="37" t="s">
        <v>234</v>
      </c>
      <c r="C25" s="38">
        <v>57.75</v>
      </c>
      <c r="D25" s="41">
        <f t="shared" si="0"/>
        <v>430.815</v>
      </c>
      <c r="E25" s="40">
        <v>7460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36">
        <v>23</v>
      </c>
      <c r="B26" s="37" t="s">
        <v>237</v>
      </c>
      <c r="C26" s="38">
        <v>0</v>
      </c>
      <c r="D26" s="41">
        <f t="shared" si="0"/>
        <v>0</v>
      </c>
      <c r="E26" s="40"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36">
        <v>24</v>
      </c>
      <c r="B27" s="37" t="s">
        <v>238</v>
      </c>
      <c r="C27" s="38">
        <v>0</v>
      </c>
      <c r="D27" s="41">
        <f t="shared" si="0"/>
        <v>0</v>
      </c>
      <c r="E27" s="40"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36">
        <v>25</v>
      </c>
      <c r="B28" s="37" t="s">
        <v>239</v>
      </c>
      <c r="C28" s="38">
        <v>0.59</v>
      </c>
      <c r="D28" s="41">
        <f t="shared" si="0"/>
        <v>4.1600900000000003</v>
      </c>
      <c r="E28" s="40">
        <v>7051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36">
        <v>26</v>
      </c>
      <c r="B29" s="37" t="s">
        <v>240</v>
      </c>
      <c r="C29" s="38">
        <v>0.55000000000000004</v>
      </c>
      <c r="D29" s="41">
        <f t="shared" si="0"/>
        <v>3.87805</v>
      </c>
      <c r="E29" s="40">
        <v>7051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192" t="s">
        <v>41</v>
      </c>
      <c r="B30" s="194"/>
      <c r="C30" s="44">
        <f t="shared" ref="C30:D30" si="1">SUM(C4:C29)</f>
        <v>1730.6499999999999</v>
      </c>
      <c r="D30" s="45">
        <f t="shared" si="1"/>
        <v>12284.0174957</v>
      </c>
      <c r="E30" s="46">
        <f>D30/C30*1000</f>
        <v>7097.9212987605824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1"/>
      <c r="B31" s="47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2:A3"/>
    <mergeCell ref="B2:B3"/>
    <mergeCell ref="C2:E2"/>
    <mergeCell ref="A30:B30"/>
  </mergeCells>
  <pageMargins left="0.69861111111111107" right="0.6986111111111110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4.42578125" defaultRowHeight="15" customHeight="1" x14ac:dyDescent="0.2"/>
  <cols>
    <col min="1" max="1" width="6.5703125" customWidth="1"/>
    <col min="2" max="2" width="23.28515625" customWidth="1"/>
    <col min="3" max="3" width="26" customWidth="1"/>
    <col min="4" max="4" width="13" customWidth="1"/>
    <col min="5" max="5" width="12.42578125" customWidth="1"/>
    <col min="6" max="6" width="14.85546875" customWidth="1"/>
    <col min="7" max="9" width="23.28515625" customWidth="1"/>
    <col min="10" max="10" width="19.7109375" customWidth="1"/>
    <col min="11" max="26" width="8.7109375" customWidth="1"/>
  </cols>
  <sheetData>
    <row r="1" spans="1:26" ht="19.5" customHeight="1" x14ac:dyDescent="0.2">
      <c r="A1" s="3"/>
      <c r="B1" s="4" t="s">
        <v>75</v>
      </c>
      <c r="C1" s="4" t="s">
        <v>184</v>
      </c>
      <c r="D1" s="4"/>
      <c r="E1" s="4"/>
      <c r="F1" s="4"/>
      <c r="G1" s="4"/>
      <c r="H1" s="4"/>
      <c r="I1" s="4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36.75" customHeight="1" x14ac:dyDescent="0.2">
      <c r="A2" s="186" t="s">
        <v>185</v>
      </c>
      <c r="B2" s="186" t="s">
        <v>3</v>
      </c>
      <c r="C2" s="188" t="s">
        <v>186</v>
      </c>
      <c r="D2" s="7" t="s">
        <v>187</v>
      </c>
      <c r="E2" s="7" t="s">
        <v>188</v>
      </c>
      <c r="F2" s="7" t="s">
        <v>189</v>
      </c>
      <c r="G2" s="188" t="s">
        <v>190</v>
      </c>
      <c r="H2" s="182" t="s">
        <v>191</v>
      </c>
      <c r="I2" s="8"/>
      <c r="J2" s="9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9.5" customHeight="1" x14ac:dyDescent="0.2">
      <c r="A3" s="187"/>
      <c r="B3" s="187"/>
      <c r="C3" s="187"/>
      <c r="D3" s="10"/>
      <c r="E3" s="10"/>
      <c r="F3" s="10"/>
      <c r="G3" s="187"/>
      <c r="H3" s="183"/>
      <c r="I3" s="11"/>
      <c r="J3" s="9" t="s">
        <v>192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9.5" customHeight="1" x14ac:dyDescent="0.2">
      <c r="A4" s="12">
        <v>18</v>
      </c>
      <c r="B4" s="15" t="s">
        <v>227</v>
      </c>
      <c r="C4" s="13" t="s">
        <v>228</v>
      </c>
      <c r="D4" s="13">
        <v>8034</v>
      </c>
      <c r="E4" s="13">
        <v>3950</v>
      </c>
      <c r="F4" s="13">
        <f t="shared" ref="F4:F6" si="0">E4+D4</f>
        <v>11984</v>
      </c>
      <c r="G4" s="13">
        <v>83.9</v>
      </c>
      <c r="H4" s="14">
        <f t="shared" ref="H4:H6" si="1">G4*F4</f>
        <v>1005457.6000000001</v>
      </c>
      <c r="I4" s="20">
        <f>H4/F4*1000</f>
        <v>83900</v>
      </c>
      <c r="J4" s="9">
        <v>8561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9.5" customHeight="1" x14ac:dyDescent="0.2">
      <c r="A5" s="12"/>
      <c r="B5" s="13"/>
      <c r="C5" s="13" t="s">
        <v>229</v>
      </c>
      <c r="D5" s="13">
        <v>4556.4799999999996</v>
      </c>
      <c r="E5" s="13">
        <v>1812.04</v>
      </c>
      <c r="F5" s="13">
        <f t="shared" si="0"/>
        <v>6368.5199999999995</v>
      </c>
      <c r="G5" s="13">
        <v>54</v>
      </c>
      <c r="H5" s="14">
        <f t="shared" si="1"/>
        <v>343900.07999999996</v>
      </c>
      <c r="I5" s="14"/>
      <c r="J5" s="9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9.5" customHeight="1" x14ac:dyDescent="0.2">
      <c r="A6" s="12"/>
      <c r="B6" s="13"/>
      <c r="C6" s="13" t="s">
        <v>230</v>
      </c>
      <c r="D6" s="13">
        <v>2863</v>
      </c>
      <c r="E6" s="13">
        <v>2135</v>
      </c>
      <c r="F6" s="13">
        <f t="shared" si="0"/>
        <v>4998</v>
      </c>
      <c r="G6" s="13">
        <v>59</v>
      </c>
      <c r="H6" s="14">
        <f t="shared" si="1"/>
        <v>294882</v>
      </c>
      <c r="I6" s="14"/>
      <c r="J6" s="9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8.75" customHeight="1" x14ac:dyDescent="0.2">
      <c r="A7" s="16"/>
      <c r="B7" s="17" t="s">
        <v>199</v>
      </c>
      <c r="C7" s="17"/>
      <c r="D7" s="17">
        <f t="shared" ref="D7:E7" si="2">SUM(D4:D6)</f>
        <v>15453.48</v>
      </c>
      <c r="E7" s="17">
        <f t="shared" si="2"/>
        <v>7897.04</v>
      </c>
      <c r="F7" s="15">
        <f>F4+F5+F6</f>
        <v>23350.52</v>
      </c>
      <c r="G7" s="18">
        <f>H7/F7</f>
        <v>70.415548775787443</v>
      </c>
      <c r="H7" s="19">
        <f>SUM(H4:H6)</f>
        <v>1644239.6800000002</v>
      </c>
      <c r="I7" s="20">
        <f>H7/F7*1000</f>
        <v>70415.548775787436</v>
      </c>
      <c r="J7" s="21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5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5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5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5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5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5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5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5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5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5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5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5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5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5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5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5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5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5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5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5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5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5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5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5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5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5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5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5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5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5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5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5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5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5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5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5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5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5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5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5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5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5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5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5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5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5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5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5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5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5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5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5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5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5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5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5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5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5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5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5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5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5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5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5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5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5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5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5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5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5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5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5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5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5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5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5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5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5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5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5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5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5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5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5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5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5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5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5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5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5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5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5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5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5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5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5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5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5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5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5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5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5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5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5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5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5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5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5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5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5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5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5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5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5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5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5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5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5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5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5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5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5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5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5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5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5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5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5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5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5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5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5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5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5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5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5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5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5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5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5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5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5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5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5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5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5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5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5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5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5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5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5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5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5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5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5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5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5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5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5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5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5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5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5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5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5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5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5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5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5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5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5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5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5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5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5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5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5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5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5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5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5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5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5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5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5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5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5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5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5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5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5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5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5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5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5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5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5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5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5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5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5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5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5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5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5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5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5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5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5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5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5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5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5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5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5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5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5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5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5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5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5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5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5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5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5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5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5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5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5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5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5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5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5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5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5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5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5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5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5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5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5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5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5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5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5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5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5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5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5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5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5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5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5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5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5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5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5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5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5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5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5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5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5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5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5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5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5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5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5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5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5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5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5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5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5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5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5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5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5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5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5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5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5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5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5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5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5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5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5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5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5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5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5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5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5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5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5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5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5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5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5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5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5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5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5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5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5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5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5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5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5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5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5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5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5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5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5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5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5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5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5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5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5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5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5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5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5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5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5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5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5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5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5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5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5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5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5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5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5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5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5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5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5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5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5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5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5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5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5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5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5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5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5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5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5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5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5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5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5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5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5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5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5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5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5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5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5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5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5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5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5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5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5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5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5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5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5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5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5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5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5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5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5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5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5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5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5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5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5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5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5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5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5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5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5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5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5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5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5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5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5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5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5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5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5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5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5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5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5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5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5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5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5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5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5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5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5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5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5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5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5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5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5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5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5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5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5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5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5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5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5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5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5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5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5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5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5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5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5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5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5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5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5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5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5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5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5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5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5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5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5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5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5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5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5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5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5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5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5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5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5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5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5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5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5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5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5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5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5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5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5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5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5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5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5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5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5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5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5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5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5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5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5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5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5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5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5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5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5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5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5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5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5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5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5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5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5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5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5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5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5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5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5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5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5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5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5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5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5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5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5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5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5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5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5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5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5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5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5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5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5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5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5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5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5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5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5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5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5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5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5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5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5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5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5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5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5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5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5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5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5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5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5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5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5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5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5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5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5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5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5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5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5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5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5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5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5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5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5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5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5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5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5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5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5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5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5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5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5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5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5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5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5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5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5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5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5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5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5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5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5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5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5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5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5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5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5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5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5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5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5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5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5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5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5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5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5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5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5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5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5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5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5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5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5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5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5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5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5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5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5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5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5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5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5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5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5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5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5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5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5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5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5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5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5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5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5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5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5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5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5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5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5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5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5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5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5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5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5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5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5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5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5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5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5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5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5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5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5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5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5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5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5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5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5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5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5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5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5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5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5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5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5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5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5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5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5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5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5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5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5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5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5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5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5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5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5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5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5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5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5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5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5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5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5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5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5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5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5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5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5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5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5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5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5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5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5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5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5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5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5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5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5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5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5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5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5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5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5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5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5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5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5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5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5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5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5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5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5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5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5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5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5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5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5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5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5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5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5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5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5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5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5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5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5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5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5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5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5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5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5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5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5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5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5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5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5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5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5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5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5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5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5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5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5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5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5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5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5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5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5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5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5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5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5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5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5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5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5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5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5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5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5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5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5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5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5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5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5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5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5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5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5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5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5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5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5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5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5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5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5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5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5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5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5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5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5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5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5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5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5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5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5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5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5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5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5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5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5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5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5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5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5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5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5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5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5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5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5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5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5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5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5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5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5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5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5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5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5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5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5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5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5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5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5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5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5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5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5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5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5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5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5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5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5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5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5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5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5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5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5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5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5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5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5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5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5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5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5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5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5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5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5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5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5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5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5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5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5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5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5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5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5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5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5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5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5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5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5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5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5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5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5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5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5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5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5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5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5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5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5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5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5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5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5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5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5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5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5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5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5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5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5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5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5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5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5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5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5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5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5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5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5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5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5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5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5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5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5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5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5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5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5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5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5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5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5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5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5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5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5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5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5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5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5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5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5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5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5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5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5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5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5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5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5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5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5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5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5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5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5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5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5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5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5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5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5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5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5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5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5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5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5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5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5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5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5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5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5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5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5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5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5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5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5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5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5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5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5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5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5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5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5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5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5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5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5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5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5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5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5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5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5">
    <mergeCell ref="A2:A3"/>
    <mergeCell ref="B2:B3"/>
    <mergeCell ref="C2:C3"/>
    <mergeCell ref="G2:G3"/>
    <mergeCell ref="H2:H3"/>
  </mergeCells>
  <printOptions horizontalCentered="1"/>
  <pageMargins left="0.2361111111111111" right="0.2361111111111111" top="0.94236111111111109" bottom="0.74791666666666667" header="0" footer="0"/>
  <pageSetup paperSize="9" scale="57" orientation="portrait"/>
  <headerFooter>
    <oddHeader>&amp;LStatement showing district-wise Area, Production and Yield in Gujarat state based on Final Forecast reports for the year 2010-11 to 2012-13 .&amp;R Area in 00 Ha., Production in 00 M.T., Yield in Kg/Ha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Final</vt:lpstr>
      <vt:lpstr>SUMMARY</vt:lpstr>
      <vt:lpstr>v. check S Cane Data</vt:lpstr>
      <vt:lpstr>A P Y SUGAR CAne</vt:lpstr>
      <vt:lpstr>VALSAD 2014-15</vt:lpstr>
      <vt:lpstr>Final!Print_Area</vt:lpstr>
      <vt:lpstr>SUMMARY!Print_Area</vt:lpstr>
      <vt:lpstr>SUMMARY!Print_Titles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VNN.R9</dc:creator>
  <cp:lastModifiedBy>New user</cp:lastModifiedBy>
  <cp:lastPrinted>2025-12-22T10:03:12Z</cp:lastPrinted>
  <dcterms:created xsi:type="dcterms:W3CDTF">2006-01-24T19:08:09Z</dcterms:created>
  <dcterms:modified xsi:type="dcterms:W3CDTF">2026-04-16T07:53:03Z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